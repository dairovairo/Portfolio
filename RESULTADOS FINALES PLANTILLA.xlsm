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05E95F70-8D05-4826-A362-75579858DC24}" xr6:coauthVersionLast="47" xr6:coauthVersionMax="47" xr10:uidLastSave="{00000000-0000-0000-0000-000000000000}"/>
  <bookViews>
    <workbookView xWindow="-108" yWindow="-108" windowWidth="23256" windowHeight="13176" tabRatio="930" firstSheet="3" activeTab="3" xr2:uid="{00000000-000D-0000-FFFF-FFFF00000000}"/>
  </bookViews>
  <sheets>
    <sheet name="INSCRIPCION " sheetId="119" r:id="rId1"/>
    <sheet name="ESCUADRAS" sheetId="2" r:id="rId2"/>
    <sheet name="PUNTUACIONES" sheetId="12" r:id="rId3"/>
    <sheet name="RESULTADOS FINALES" sheetId="166" r:id="rId4"/>
    <sheet name="1          " sheetId="76" r:id="rId5"/>
    <sheet name="2           " sheetId="168" r:id="rId6"/>
    <sheet name="3         " sheetId="169" r:id="rId7"/>
    <sheet name="4            " sheetId="170" r:id="rId8"/>
    <sheet name="EQUIPOS" sheetId="167" r:id="rId9"/>
    <sheet name="DESEMPATES" sheetId="138" r:id="rId10"/>
  </sheets>
  <definedNames>
    <definedName name="_xlnm._FilterDatabase" localSheetId="0" hidden="1">'INSCRIPCION '!$A$6:$F$211</definedName>
    <definedName name="_xlnm._FilterDatabase" localSheetId="2" hidden="1">PUNTUACIONES!$A$6:$I$187</definedName>
    <definedName name="_xlnm._FilterDatabase" localSheetId="3" hidden="1">'RESULTADOS FINALES'!$B$6:$K$210</definedName>
    <definedName name="_xlnm.Print_Area" localSheetId="4">'1          '!$A$1:$AF$1122</definedName>
    <definedName name="_xlnm.Print_Area" localSheetId="5">'2           '!$A$1:$AF$1122</definedName>
    <definedName name="_xlnm.Print_Area" localSheetId="6">'3         '!$A$1:$AF$1122</definedName>
    <definedName name="_xlnm.Print_Area" localSheetId="7">'4            '!$A$1:$AF$1122</definedName>
    <definedName name="_xlnm.Print_Area" localSheetId="9">DESEMPATES!#REF!</definedName>
    <definedName name="_xlnm.Print_Area" localSheetId="8">EQUIPOS!#REF!</definedName>
    <definedName name="_xlnm.Print_Titles" localSheetId="1">ESCUADRAS!$1:$6</definedName>
    <definedName name="_xlnm.Print_Titles" localSheetId="0">'INSCRIPCION '!$1:$6</definedName>
    <definedName name="_xlnm.Print_Titles" localSheetId="2">PUNTUACIONES!$1:$7</definedName>
    <definedName name="_xlnm.Print_Titles" localSheetId="3">'RESULTADOS FINALES'!$1:$6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66" l="1"/>
  <c r="E8" i="166"/>
  <c r="F8" i="166"/>
  <c r="G8" i="166"/>
  <c r="H8" i="166"/>
  <c r="J8" i="166"/>
  <c r="B7" i="166"/>
  <c r="E7" i="166"/>
  <c r="F7" i="166"/>
  <c r="G7" i="166"/>
  <c r="H7" i="166"/>
  <c r="J7" i="166"/>
  <c r="B10" i="166"/>
  <c r="E10" i="166"/>
  <c r="F10" i="166"/>
  <c r="G10" i="166"/>
  <c r="H10" i="166"/>
  <c r="J10" i="166"/>
  <c r="K10" i="166"/>
  <c r="B9" i="166"/>
  <c r="E9" i="166"/>
  <c r="F9" i="166"/>
  <c r="G9" i="166"/>
  <c r="H9" i="166"/>
  <c r="J9" i="166"/>
  <c r="K9" i="166"/>
  <c r="B12" i="166"/>
  <c r="E12" i="166"/>
  <c r="F12" i="166"/>
  <c r="G12" i="166"/>
  <c r="H12" i="166"/>
  <c r="J12" i="166"/>
  <c r="K12" i="166"/>
  <c r="B13" i="166"/>
  <c r="E13" i="166"/>
  <c r="F13" i="166"/>
  <c r="G13" i="166"/>
  <c r="H13" i="166"/>
  <c r="J13" i="166"/>
  <c r="K13" i="166"/>
  <c r="B14" i="166"/>
  <c r="E14" i="166"/>
  <c r="F14" i="166"/>
  <c r="G14" i="166"/>
  <c r="H14" i="166"/>
  <c r="J14" i="166"/>
  <c r="K14" i="166"/>
  <c r="B15" i="166"/>
  <c r="E15" i="166"/>
  <c r="F15" i="166"/>
  <c r="G15" i="166"/>
  <c r="H15" i="166"/>
  <c r="J15" i="166"/>
  <c r="K15" i="166"/>
  <c r="B16" i="166"/>
  <c r="E16" i="166"/>
  <c r="F16" i="166"/>
  <c r="G16" i="166"/>
  <c r="H16" i="166"/>
  <c r="J16" i="166"/>
  <c r="K16" i="166"/>
  <c r="B17" i="166"/>
  <c r="E17" i="166"/>
  <c r="F17" i="166"/>
  <c r="G17" i="166"/>
  <c r="H17" i="166"/>
  <c r="J17" i="166"/>
  <c r="K17" i="166"/>
  <c r="B18" i="166"/>
  <c r="E18" i="166"/>
  <c r="F18" i="166"/>
  <c r="G18" i="166"/>
  <c r="H18" i="166"/>
  <c r="J18" i="166"/>
  <c r="K18" i="166"/>
  <c r="B19" i="166"/>
  <c r="E19" i="166"/>
  <c r="F19" i="166"/>
  <c r="G19" i="166"/>
  <c r="H19" i="166"/>
  <c r="J19" i="166"/>
  <c r="K19" i="166"/>
  <c r="B20" i="166"/>
  <c r="E20" i="166"/>
  <c r="F20" i="166"/>
  <c r="G20" i="166"/>
  <c r="H20" i="166"/>
  <c r="J20" i="166"/>
  <c r="K20" i="166"/>
  <c r="B21" i="166"/>
  <c r="E21" i="166"/>
  <c r="F21" i="166"/>
  <c r="G21" i="166"/>
  <c r="H21" i="166"/>
  <c r="J21" i="166"/>
  <c r="K21" i="166"/>
  <c r="B22" i="166"/>
  <c r="E22" i="166"/>
  <c r="F22" i="166"/>
  <c r="G22" i="166"/>
  <c r="H22" i="166"/>
  <c r="J22" i="166"/>
  <c r="K22" i="166"/>
  <c r="B23" i="166"/>
  <c r="E23" i="166"/>
  <c r="F23" i="166"/>
  <c r="G23" i="166"/>
  <c r="H23" i="166"/>
  <c r="J23" i="166"/>
  <c r="K23" i="166"/>
  <c r="B24" i="166"/>
  <c r="E24" i="166"/>
  <c r="F24" i="166"/>
  <c r="G24" i="166"/>
  <c r="H24" i="166"/>
  <c r="J24" i="166"/>
  <c r="K24" i="166"/>
  <c r="B25" i="166"/>
  <c r="E25" i="166"/>
  <c r="F25" i="166"/>
  <c r="G25" i="166"/>
  <c r="H25" i="166"/>
  <c r="J25" i="166"/>
  <c r="K25" i="166"/>
  <c r="B26" i="166"/>
  <c r="E26" i="166"/>
  <c r="F26" i="166"/>
  <c r="G26" i="166"/>
  <c r="H26" i="166"/>
  <c r="J26" i="166"/>
  <c r="K26" i="166"/>
  <c r="B27" i="166"/>
  <c r="E27" i="166"/>
  <c r="F27" i="166"/>
  <c r="G27" i="166"/>
  <c r="H27" i="166"/>
  <c r="J27" i="166"/>
  <c r="K27" i="166"/>
  <c r="B28" i="166"/>
  <c r="E28" i="166"/>
  <c r="F28" i="166"/>
  <c r="G28" i="166"/>
  <c r="H28" i="166"/>
  <c r="J28" i="166"/>
  <c r="K28" i="166"/>
  <c r="B29" i="166"/>
  <c r="E29" i="166"/>
  <c r="F29" i="166"/>
  <c r="G29" i="166"/>
  <c r="H29" i="166"/>
  <c r="J29" i="166"/>
  <c r="K29" i="166"/>
  <c r="B30" i="166"/>
  <c r="E30" i="166"/>
  <c r="F30" i="166"/>
  <c r="G30" i="166"/>
  <c r="H30" i="166"/>
  <c r="J30" i="166"/>
  <c r="K30" i="166"/>
  <c r="B31" i="166"/>
  <c r="E31" i="166"/>
  <c r="F31" i="166"/>
  <c r="G31" i="166"/>
  <c r="H31" i="166"/>
  <c r="J31" i="166"/>
  <c r="K31" i="166"/>
  <c r="B32" i="166"/>
  <c r="E32" i="166"/>
  <c r="F32" i="166"/>
  <c r="G32" i="166"/>
  <c r="H32" i="166"/>
  <c r="J32" i="166"/>
  <c r="K32" i="166"/>
  <c r="B33" i="166"/>
  <c r="E33" i="166"/>
  <c r="F33" i="166"/>
  <c r="G33" i="166"/>
  <c r="H33" i="166"/>
  <c r="J33" i="166"/>
  <c r="K33" i="166"/>
  <c r="B34" i="166"/>
  <c r="E34" i="166"/>
  <c r="F34" i="166"/>
  <c r="G34" i="166"/>
  <c r="H34" i="166"/>
  <c r="J34" i="166"/>
  <c r="K34" i="166"/>
  <c r="B35" i="166"/>
  <c r="E35" i="166"/>
  <c r="F35" i="166"/>
  <c r="G35" i="166"/>
  <c r="H35" i="166"/>
  <c r="J35" i="166"/>
  <c r="K35" i="166"/>
  <c r="B36" i="166"/>
  <c r="E36" i="166"/>
  <c r="F36" i="166"/>
  <c r="G36" i="166"/>
  <c r="H36" i="166"/>
  <c r="J36" i="166"/>
  <c r="K36" i="166"/>
  <c r="B37" i="166"/>
  <c r="E37" i="166"/>
  <c r="F37" i="166"/>
  <c r="G37" i="166"/>
  <c r="H37" i="166"/>
  <c r="J37" i="166"/>
  <c r="K37" i="166"/>
  <c r="B38" i="166"/>
  <c r="E38" i="166"/>
  <c r="F38" i="166"/>
  <c r="G38" i="166"/>
  <c r="H38" i="166"/>
  <c r="J38" i="166"/>
  <c r="K38" i="166"/>
  <c r="B39" i="166"/>
  <c r="E39" i="166"/>
  <c r="F39" i="166"/>
  <c r="G39" i="166"/>
  <c r="H39" i="166"/>
  <c r="J39" i="166"/>
  <c r="K39" i="166"/>
  <c r="B40" i="166"/>
  <c r="E40" i="166"/>
  <c r="F40" i="166"/>
  <c r="G40" i="166"/>
  <c r="H40" i="166"/>
  <c r="J40" i="166"/>
  <c r="K40" i="166"/>
  <c r="B41" i="166"/>
  <c r="E41" i="166"/>
  <c r="F41" i="166"/>
  <c r="G41" i="166"/>
  <c r="H41" i="166"/>
  <c r="J41" i="166"/>
  <c r="K41" i="166"/>
  <c r="B42" i="166"/>
  <c r="E42" i="166"/>
  <c r="F42" i="166"/>
  <c r="G42" i="166"/>
  <c r="H42" i="166"/>
  <c r="J42" i="166"/>
  <c r="K42" i="166"/>
  <c r="B43" i="166"/>
  <c r="E43" i="166"/>
  <c r="F43" i="166"/>
  <c r="G43" i="166"/>
  <c r="H43" i="166"/>
  <c r="J43" i="166"/>
  <c r="K43" i="166"/>
  <c r="B44" i="166"/>
  <c r="E44" i="166"/>
  <c r="F44" i="166"/>
  <c r="G44" i="166"/>
  <c r="H44" i="166"/>
  <c r="J44" i="166"/>
  <c r="K44" i="166"/>
  <c r="B45" i="166"/>
  <c r="E45" i="166"/>
  <c r="F45" i="166"/>
  <c r="G45" i="166"/>
  <c r="H45" i="166"/>
  <c r="J45" i="166"/>
  <c r="K45" i="166"/>
  <c r="B46" i="166"/>
  <c r="E46" i="166"/>
  <c r="F46" i="166"/>
  <c r="G46" i="166"/>
  <c r="H46" i="166"/>
  <c r="J46" i="166"/>
  <c r="K46" i="166"/>
  <c r="B47" i="166"/>
  <c r="E47" i="166"/>
  <c r="F47" i="166"/>
  <c r="G47" i="166"/>
  <c r="H47" i="166"/>
  <c r="J47" i="166"/>
  <c r="K47" i="166"/>
  <c r="B48" i="166"/>
  <c r="E48" i="166"/>
  <c r="F48" i="166"/>
  <c r="G48" i="166"/>
  <c r="H48" i="166"/>
  <c r="J48" i="166"/>
  <c r="K48" i="166"/>
  <c r="B49" i="166"/>
  <c r="E49" i="166"/>
  <c r="F49" i="166"/>
  <c r="G49" i="166"/>
  <c r="H49" i="166"/>
  <c r="J49" i="166"/>
  <c r="K49" i="166"/>
  <c r="B50" i="166"/>
  <c r="E50" i="166"/>
  <c r="F50" i="166"/>
  <c r="G50" i="166"/>
  <c r="H50" i="166"/>
  <c r="J50" i="166"/>
  <c r="K50" i="166"/>
  <c r="B51" i="166"/>
  <c r="E51" i="166"/>
  <c r="F51" i="166"/>
  <c r="G51" i="166"/>
  <c r="H51" i="166"/>
  <c r="J51" i="166"/>
  <c r="K51" i="166"/>
  <c r="B52" i="166"/>
  <c r="E52" i="166"/>
  <c r="F52" i="166"/>
  <c r="G52" i="166"/>
  <c r="H52" i="166"/>
  <c r="J52" i="166"/>
  <c r="K52" i="166"/>
  <c r="B53" i="166"/>
  <c r="E53" i="166"/>
  <c r="F53" i="166"/>
  <c r="G53" i="166"/>
  <c r="H53" i="166"/>
  <c r="J53" i="166"/>
  <c r="K53" i="166"/>
  <c r="B54" i="166"/>
  <c r="E54" i="166"/>
  <c r="F54" i="166"/>
  <c r="G54" i="166"/>
  <c r="H54" i="166"/>
  <c r="J54" i="166"/>
  <c r="K54" i="166"/>
  <c r="B55" i="166"/>
  <c r="E55" i="166"/>
  <c r="F55" i="166"/>
  <c r="G55" i="166"/>
  <c r="H55" i="166"/>
  <c r="J55" i="166"/>
  <c r="K55" i="166"/>
  <c r="B56" i="166"/>
  <c r="E56" i="166"/>
  <c r="F56" i="166"/>
  <c r="G56" i="166"/>
  <c r="H56" i="166"/>
  <c r="J56" i="166"/>
  <c r="K56" i="166"/>
  <c r="B57" i="166"/>
  <c r="E57" i="166"/>
  <c r="F57" i="166"/>
  <c r="G57" i="166"/>
  <c r="H57" i="166"/>
  <c r="J57" i="166"/>
  <c r="K57" i="166"/>
  <c r="B58" i="166"/>
  <c r="E58" i="166"/>
  <c r="F58" i="166"/>
  <c r="G58" i="166"/>
  <c r="H58" i="166"/>
  <c r="J58" i="166"/>
  <c r="K58" i="166"/>
  <c r="B59" i="166"/>
  <c r="E59" i="166"/>
  <c r="F59" i="166"/>
  <c r="G59" i="166"/>
  <c r="H59" i="166"/>
  <c r="J59" i="166"/>
  <c r="K59" i="166"/>
  <c r="B60" i="166"/>
  <c r="E60" i="166"/>
  <c r="F60" i="166"/>
  <c r="G60" i="166"/>
  <c r="H60" i="166"/>
  <c r="J60" i="166"/>
  <c r="K60" i="166"/>
  <c r="B61" i="166"/>
  <c r="E61" i="166"/>
  <c r="F61" i="166"/>
  <c r="G61" i="166"/>
  <c r="H61" i="166"/>
  <c r="J61" i="166"/>
  <c r="K61" i="166"/>
  <c r="B62" i="166"/>
  <c r="E62" i="166"/>
  <c r="F62" i="166"/>
  <c r="G62" i="166"/>
  <c r="H62" i="166"/>
  <c r="J62" i="166"/>
  <c r="K62" i="166"/>
  <c r="B63" i="166"/>
  <c r="E63" i="166"/>
  <c r="F63" i="166"/>
  <c r="G63" i="166"/>
  <c r="H63" i="166"/>
  <c r="J63" i="166"/>
  <c r="K63" i="166"/>
  <c r="B64" i="166"/>
  <c r="E64" i="166"/>
  <c r="F64" i="166"/>
  <c r="G64" i="166"/>
  <c r="H64" i="166"/>
  <c r="J64" i="166"/>
  <c r="K64" i="166"/>
  <c r="B65" i="166"/>
  <c r="E65" i="166"/>
  <c r="F65" i="166"/>
  <c r="G65" i="166"/>
  <c r="H65" i="166"/>
  <c r="J65" i="166"/>
  <c r="K65" i="166"/>
  <c r="B66" i="166"/>
  <c r="E66" i="166"/>
  <c r="F66" i="166"/>
  <c r="G66" i="166"/>
  <c r="H66" i="166"/>
  <c r="J66" i="166"/>
  <c r="K66" i="166"/>
  <c r="B67" i="166"/>
  <c r="E67" i="166"/>
  <c r="F67" i="166"/>
  <c r="G67" i="166"/>
  <c r="H67" i="166"/>
  <c r="J67" i="166"/>
  <c r="K67" i="166"/>
  <c r="B68" i="166"/>
  <c r="E68" i="166"/>
  <c r="F68" i="166"/>
  <c r="G68" i="166"/>
  <c r="H68" i="166"/>
  <c r="J68" i="166"/>
  <c r="K68" i="166"/>
  <c r="B69" i="166"/>
  <c r="E69" i="166"/>
  <c r="F69" i="166"/>
  <c r="G69" i="166"/>
  <c r="H69" i="166"/>
  <c r="J69" i="166"/>
  <c r="K69" i="166"/>
  <c r="B70" i="166"/>
  <c r="E70" i="166"/>
  <c r="F70" i="166"/>
  <c r="G70" i="166"/>
  <c r="H70" i="166"/>
  <c r="J70" i="166"/>
  <c r="K70" i="166"/>
  <c r="B71" i="166"/>
  <c r="E71" i="166"/>
  <c r="F71" i="166"/>
  <c r="G71" i="166"/>
  <c r="H71" i="166"/>
  <c r="J71" i="166"/>
  <c r="K71" i="166"/>
  <c r="B72" i="166"/>
  <c r="E72" i="166"/>
  <c r="F72" i="166"/>
  <c r="G72" i="166"/>
  <c r="H72" i="166"/>
  <c r="J72" i="166"/>
  <c r="K72" i="166"/>
  <c r="B73" i="166"/>
  <c r="E73" i="166"/>
  <c r="F73" i="166"/>
  <c r="G73" i="166"/>
  <c r="H73" i="166"/>
  <c r="J73" i="166"/>
  <c r="K73" i="166"/>
  <c r="B74" i="166"/>
  <c r="E74" i="166"/>
  <c r="F74" i="166"/>
  <c r="G74" i="166"/>
  <c r="H74" i="166"/>
  <c r="J74" i="166"/>
  <c r="K74" i="166"/>
  <c r="B75" i="166"/>
  <c r="E75" i="166"/>
  <c r="F75" i="166"/>
  <c r="G75" i="166"/>
  <c r="H75" i="166"/>
  <c r="J75" i="166"/>
  <c r="K75" i="166"/>
  <c r="B76" i="166"/>
  <c r="E76" i="166"/>
  <c r="F76" i="166"/>
  <c r="G76" i="166"/>
  <c r="H76" i="166"/>
  <c r="J76" i="166"/>
  <c r="K76" i="166"/>
  <c r="B77" i="166"/>
  <c r="E77" i="166"/>
  <c r="F77" i="166"/>
  <c r="G77" i="166"/>
  <c r="H77" i="166"/>
  <c r="J77" i="166"/>
  <c r="K77" i="166"/>
  <c r="B78" i="166"/>
  <c r="E78" i="166"/>
  <c r="F78" i="166"/>
  <c r="G78" i="166"/>
  <c r="H78" i="166"/>
  <c r="J78" i="166"/>
  <c r="K78" i="166"/>
  <c r="B79" i="166"/>
  <c r="E79" i="166"/>
  <c r="F79" i="166"/>
  <c r="G79" i="166"/>
  <c r="H79" i="166"/>
  <c r="J79" i="166"/>
  <c r="K79" i="166"/>
  <c r="B80" i="166"/>
  <c r="E80" i="166"/>
  <c r="F80" i="166"/>
  <c r="G80" i="166"/>
  <c r="H80" i="166"/>
  <c r="J80" i="166"/>
  <c r="K80" i="166"/>
  <c r="B81" i="166"/>
  <c r="E81" i="166"/>
  <c r="F81" i="166"/>
  <c r="G81" i="166"/>
  <c r="H81" i="166"/>
  <c r="J81" i="166"/>
  <c r="K81" i="166"/>
  <c r="B82" i="166"/>
  <c r="E82" i="166"/>
  <c r="F82" i="166"/>
  <c r="G82" i="166"/>
  <c r="H82" i="166"/>
  <c r="J82" i="166"/>
  <c r="K82" i="166"/>
  <c r="B83" i="166"/>
  <c r="E83" i="166"/>
  <c r="F83" i="166"/>
  <c r="G83" i="166"/>
  <c r="H83" i="166"/>
  <c r="J83" i="166"/>
  <c r="K83" i="166"/>
  <c r="B84" i="166"/>
  <c r="E84" i="166"/>
  <c r="F84" i="166"/>
  <c r="G84" i="166"/>
  <c r="H84" i="166"/>
  <c r="J84" i="166"/>
  <c r="K84" i="166"/>
  <c r="B85" i="166"/>
  <c r="E85" i="166"/>
  <c r="F85" i="166"/>
  <c r="G85" i="166"/>
  <c r="H85" i="166"/>
  <c r="J85" i="166"/>
  <c r="K85" i="166"/>
  <c r="B86" i="166"/>
  <c r="E86" i="166"/>
  <c r="F86" i="166"/>
  <c r="G86" i="166"/>
  <c r="H86" i="166"/>
  <c r="J86" i="166"/>
  <c r="K86" i="166"/>
  <c r="B87" i="166"/>
  <c r="E87" i="166"/>
  <c r="F87" i="166"/>
  <c r="G87" i="166"/>
  <c r="H87" i="166"/>
  <c r="J87" i="166"/>
  <c r="K87" i="166"/>
  <c r="B88" i="166"/>
  <c r="E88" i="166"/>
  <c r="F88" i="166"/>
  <c r="G88" i="166"/>
  <c r="H88" i="166"/>
  <c r="J88" i="166"/>
  <c r="K88" i="166"/>
  <c r="B89" i="166"/>
  <c r="E89" i="166"/>
  <c r="F89" i="166"/>
  <c r="G89" i="166"/>
  <c r="H89" i="166"/>
  <c r="J89" i="166"/>
  <c r="K89" i="166"/>
  <c r="B90" i="166"/>
  <c r="E90" i="166"/>
  <c r="F90" i="166"/>
  <c r="G90" i="166"/>
  <c r="H90" i="166"/>
  <c r="J90" i="166"/>
  <c r="K90" i="166"/>
  <c r="B91" i="166"/>
  <c r="E91" i="166"/>
  <c r="F91" i="166"/>
  <c r="G91" i="166"/>
  <c r="H91" i="166"/>
  <c r="J91" i="166"/>
  <c r="K91" i="166"/>
  <c r="B92" i="166"/>
  <c r="E92" i="166"/>
  <c r="F92" i="166"/>
  <c r="G92" i="166"/>
  <c r="H92" i="166"/>
  <c r="J92" i="166"/>
  <c r="K92" i="166"/>
  <c r="B93" i="166"/>
  <c r="E93" i="166"/>
  <c r="F93" i="166"/>
  <c r="G93" i="166"/>
  <c r="H93" i="166"/>
  <c r="J93" i="166"/>
  <c r="K93" i="166"/>
  <c r="B94" i="166"/>
  <c r="E94" i="166"/>
  <c r="F94" i="166"/>
  <c r="G94" i="166"/>
  <c r="H94" i="166"/>
  <c r="J94" i="166"/>
  <c r="K94" i="166"/>
  <c r="B95" i="166"/>
  <c r="E95" i="166"/>
  <c r="F95" i="166"/>
  <c r="G95" i="166"/>
  <c r="H95" i="166"/>
  <c r="J95" i="166"/>
  <c r="K95" i="166"/>
  <c r="B96" i="166"/>
  <c r="E96" i="166"/>
  <c r="F96" i="166"/>
  <c r="G96" i="166"/>
  <c r="H96" i="166"/>
  <c r="J96" i="166"/>
  <c r="K96" i="166"/>
  <c r="B97" i="166"/>
  <c r="E97" i="166"/>
  <c r="F97" i="166"/>
  <c r="G97" i="166"/>
  <c r="H97" i="166"/>
  <c r="J97" i="166"/>
  <c r="K97" i="166"/>
  <c r="B98" i="166"/>
  <c r="E98" i="166"/>
  <c r="F98" i="166"/>
  <c r="G98" i="166"/>
  <c r="H98" i="166"/>
  <c r="J98" i="166"/>
  <c r="K98" i="166"/>
  <c r="B99" i="166"/>
  <c r="E99" i="166"/>
  <c r="F99" i="166"/>
  <c r="G99" i="166"/>
  <c r="H99" i="166"/>
  <c r="J99" i="166"/>
  <c r="K99" i="166"/>
  <c r="B100" i="166"/>
  <c r="E100" i="166"/>
  <c r="F100" i="166"/>
  <c r="G100" i="166"/>
  <c r="H100" i="166"/>
  <c r="J100" i="166"/>
  <c r="K100" i="166"/>
  <c r="B101" i="166"/>
  <c r="E101" i="166"/>
  <c r="F101" i="166"/>
  <c r="G101" i="166"/>
  <c r="H101" i="166"/>
  <c r="J101" i="166"/>
  <c r="K101" i="166"/>
  <c r="B102" i="166"/>
  <c r="E102" i="166"/>
  <c r="F102" i="166"/>
  <c r="G102" i="166"/>
  <c r="H102" i="166"/>
  <c r="I102" i="166"/>
  <c r="J102" i="166"/>
  <c r="K102" i="166"/>
  <c r="B103" i="166"/>
  <c r="E103" i="166"/>
  <c r="F103" i="166"/>
  <c r="G103" i="166"/>
  <c r="H103" i="166"/>
  <c r="J103" i="166"/>
  <c r="K103" i="166"/>
  <c r="B104" i="166"/>
  <c r="E104" i="166"/>
  <c r="F104" i="166"/>
  <c r="G104" i="166"/>
  <c r="H104" i="166"/>
  <c r="J104" i="166"/>
  <c r="K104" i="166"/>
  <c r="B105" i="166"/>
  <c r="E105" i="166"/>
  <c r="F105" i="166"/>
  <c r="G105" i="166"/>
  <c r="H105" i="166"/>
  <c r="J105" i="166"/>
  <c r="K105" i="166"/>
  <c r="B106" i="166"/>
  <c r="E106" i="166"/>
  <c r="F106" i="166"/>
  <c r="G106" i="166"/>
  <c r="H106" i="166"/>
  <c r="J106" i="166"/>
  <c r="K106" i="166"/>
  <c r="B107" i="166"/>
  <c r="E107" i="166"/>
  <c r="F107" i="166"/>
  <c r="G107" i="166"/>
  <c r="H107" i="166"/>
  <c r="J107" i="166"/>
  <c r="K107" i="166"/>
  <c r="B108" i="166"/>
  <c r="E108" i="166"/>
  <c r="F108" i="166"/>
  <c r="G108" i="166"/>
  <c r="H108" i="166"/>
  <c r="J108" i="166"/>
  <c r="K108" i="166"/>
  <c r="B109" i="166"/>
  <c r="E109" i="166"/>
  <c r="F109" i="166"/>
  <c r="G109" i="166"/>
  <c r="H109" i="166"/>
  <c r="J109" i="166"/>
  <c r="K109" i="166"/>
  <c r="B110" i="166"/>
  <c r="E110" i="166"/>
  <c r="F110" i="166"/>
  <c r="G110" i="166"/>
  <c r="H110" i="166"/>
  <c r="J110" i="166"/>
  <c r="K110" i="166"/>
  <c r="B111" i="166"/>
  <c r="E111" i="166"/>
  <c r="F111" i="166"/>
  <c r="G111" i="166"/>
  <c r="H111" i="166"/>
  <c r="J111" i="166"/>
  <c r="K111" i="166"/>
  <c r="B112" i="166"/>
  <c r="E112" i="166"/>
  <c r="F112" i="166"/>
  <c r="G112" i="166"/>
  <c r="H112" i="166"/>
  <c r="J112" i="166"/>
  <c r="K112" i="166"/>
  <c r="B113" i="166"/>
  <c r="E113" i="166"/>
  <c r="F113" i="166"/>
  <c r="G113" i="166"/>
  <c r="H113" i="166"/>
  <c r="J113" i="166"/>
  <c r="K113" i="166"/>
  <c r="B114" i="166"/>
  <c r="E114" i="166"/>
  <c r="F114" i="166"/>
  <c r="G114" i="166"/>
  <c r="H114" i="166"/>
  <c r="J114" i="166"/>
  <c r="K114" i="166"/>
  <c r="B115" i="166"/>
  <c r="E115" i="166"/>
  <c r="F115" i="166"/>
  <c r="G115" i="166"/>
  <c r="H115" i="166"/>
  <c r="J115" i="166"/>
  <c r="K115" i="166"/>
  <c r="B116" i="166"/>
  <c r="E116" i="166"/>
  <c r="F116" i="166"/>
  <c r="G116" i="166"/>
  <c r="H116" i="166"/>
  <c r="J116" i="166"/>
  <c r="K116" i="166"/>
  <c r="B117" i="166"/>
  <c r="E117" i="166"/>
  <c r="F117" i="166"/>
  <c r="G117" i="166"/>
  <c r="H117" i="166"/>
  <c r="J117" i="166"/>
  <c r="K117" i="166"/>
  <c r="B118" i="166"/>
  <c r="E118" i="166"/>
  <c r="F118" i="166"/>
  <c r="G118" i="166"/>
  <c r="H118" i="166"/>
  <c r="J118" i="166"/>
  <c r="K118" i="166"/>
  <c r="B119" i="166"/>
  <c r="E119" i="166"/>
  <c r="F119" i="166"/>
  <c r="G119" i="166"/>
  <c r="H119" i="166"/>
  <c r="J119" i="166"/>
  <c r="K119" i="166"/>
  <c r="B120" i="166"/>
  <c r="E120" i="166"/>
  <c r="F120" i="166"/>
  <c r="G120" i="166"/>
  <c r="H120" i="166"/>
  <c r="J120" i="166"/>
  <c r="K120" i="166"/>
  <c r="B121" i="166"/>
  <c r="E121" i="166"/>
  <c r="F121" i="166"/>
  <c r="G121" i="166"/>
  <c r="H121" i="166"/>
  <c r="J121" i="166"/>
  <c r="K121" i="166"/>
  <c r="B122" i="166"/>
  <c r="E122" i="166"/>
  <c r="F122" i="166"/>
  <c r="G122" i="166"/>
  <c r="H122" i="166"/>
  <c r="J122" i="166"/>
  <c r="K122" i="166"/>
  <c r="B123" i="166"/>
  <c r="E123" i="166"/>
  <c r="F123" i="166"/>
  <c r="G123" i="166"/>
  <c r="H123" i="166"/>
  <c r="J123" i="166"/>
  <c r="K123" i="166"/>
  <c r="B124" i="166"/>
  <c r="E124" i="166"/>
  <c r="F124" i="166"/>
  <c r="G124" i="166"/>
  <c r="H124" i="166"/>
  <c r="J124" i="166"/>
  <c r="K124" i="166"/>
  <c r="B125" i="166"/>
  <c r="E125" i="166"/>
  <c r="F125" i="166"/>
  <c r="G125" i="166"/>
  <c r="H125" i="166"/>
  <c r="J125" i="166"/>
  <c r="K125" i="166"/>
  <c r="B126" i="166"/>
  <c r="E126" i="166"/>
  <c r="F126" i="166"/>
  <c r="G126" i="166"/>
  <c r="H126" i="166"/>
  <c r="J126" i="166"/>
  <c r="K126" i="166"/>
  <c r="B127" i="166"/>
  <c r="E127" i="166"/>
  <c r="F127" i="166"/>
  <c r="G127" i="166"/>
  <c r="H127" i="166"/>
  <c r="J127" i="166"/>
  <c r="K127" i="166"/>
  <c r="B128" i="166"/>
  <c r="E128" i="166"/>
  <c r="F128" i="166"/>
  <c r="G128" i="166"/>
  <c r="H128" i="166"/>
  <c r="J128" i="166"/>
  <c r="K128" i="166"/>
  <c r="B129" i="166"/>
  <c r="E129" i="166"/>
  <c r="F129" i="166"/>
  <c r="G129" i="166"/>
  <c r="H129" i="166"/>
  <c r="J129" i="166"/>
  <c r="K129" i="166"/>
  <c r="B130" i="166"/>
  <c r="E130" i="166"/>
  <c r="F130" i="166"/>
  <c r="G130" i="166"/>
  <c r="H130" i="166"/>
  <c r="J130" i="166"/>
  <c r="K130" i="166"/>
  <c r="B131" i="166"/>
  <c r="E131" i="166"/>
  <c r="F131" i="166"/>
  <c r="G131" i="166"/>
  <c r="H131" i="166"/>
  <c r="J131" i="166"/>
  <c r="K131" i="166"/>
  <c r="B132" i="166"/>
  <c r="E132" i="166"/>
  <c r="F132" i="166"/>
  <c r="G132" i="166"/>
  <c r="H132" i="166"/>
  <c r="J132" i="166"/>
  <c r="K132" i="166"/>
  <c r="B133" i="166"/>
  <c r="E133" i="166"/>
  <c r="F133" i="166"/>
  <c r="G133" i="166"/>
  <c r="H133" i="166"/>
  <c r="J133" i="166"/>
  <c r="K133" i="166"/>
  <c r="B134" i="166"/>
  <c r="E134" i="166"/>
  <c r="F134" i="166"/>
  <c r="G134" i="166"/>
  <c r="H134" i="166"/>
  <c r="J134" i="166"/>
  <c r="K134" i="166"/>
  <c r="B135" i="166"/>
  <c r="E135" i="166"/>
  <c r="F135" i="166"/>
  <c r="G135" i="166"/>
  <c r="H135" i="166"/>
  <c r="J135" i="166"/>
  <c r="K135" i="166"/>
  <c r="B136" i="166"/>
  <c r="E136" i="166"/>
  <c r="F136" i="166"/>
  <c r="G136" i="166"/>
  <c r="H136" i="166"/>
  <c r="J136" i="166"/>
  <c r="K136" i="166"/>
  <c r="B137" i="166"/>
  <c r="E137" i="166"/>
  <c r="F137" i="166"/>
  <c r="G137" i="166"/>
  <c r="H137" i="166"/>
  <c r="J137" i="166"/>
  <c r="K137" i="166"/>
  <c r="B138" i="166"/>
  <c r="E138" i="166"/>
  <c r="F138" i="166"/>
  <c r="G138" i="166"/>
  <c r="H138" i="166"/>
  <c r="J138" i="166"/>
  <c r="K138" i="166"/>
  <c r="B139" i="166"/>
  <c r="E139" i="166"/>
  <c r="F139" i="166"/>
  <c r="G139" i="166"/>
  <c r="H139" i="166"/>
  <c r="J139" i="166"/>
  <c r="K139" i="166"/>
  <c r="B140" i="166"/>
  <c r="E140" i="166"/>
  <c r="F140" i="166"/>
  <c r="G140" i="166"/>
  <c r="H140" i="166"/>
  <c r="J140" i="166"/>
  <c r="K140" i="166"/>
  <c r="B141" i="166"/>
  <c r="E141" i="166"/>
  <c r="F141" i="166"/>
  <c r="G141" i="166"/>
  <c r="H141" i="166"/>
  <c r="J141" i="166"/>
  <c r="K141" i="166"/>
  <c r="B142" i="166"/>
  <c r="E142" i="166"/>
  <c r="F142" i="166"/>
  <c r="G142" i="166"/>
  <c r="H142" i="166"/>
  <c r="J142" i="166"/>
  <c r="K142" i="166"/>
  <c r="B143" i="166"/>
  <c r="E143" i="166"/>
  <c r="F143" i="166"/>
  <c r="G143" i="166"/>
  <c r="H143" i="166"/>
  <c r="J143" i="166"/>
  <c r="K143" i="166"/>
  <c r="B144" i="166"/>
  <c r="E144" i="166"/>
  <c r="F144" i="166"/>
  <c r="G144" i="166"/>
  <c r="H144" i="166"/>
  <c r="J144" i="166"/>
  <c r="K144" i="166"/>
  <c r="B145" i="166"/>
  <c r="E145" i="166"/>
  <c r="F145" i="166"/>
  <c r="G145" i="166"/>
  <c r="H145" i="166"/>
  <c r="J145" i="166"/>
  <c r="K145" i="166"/>
  <c r="B146" i="166"/>
  <c r="E146" i="166"/>
  <c r="F146" i="166"/>
  <c r="G146" i="166"/>
  <c r="H146" i="166"/>
  <c r="J146" i="166"/>
  <c r="K146" i="166"/>
  <c r="B147" i="166"/>
  <c r="E147" i="166"/>
  <c r="F147" i="166"/>
  <c r="G147" i="166"/>
  <c r="H147" i="166"/>
  <c r="J147" i="166"/>
  <c r="K147" i="166"/>
  <c r="B148" i="166"/>
  <c r="E148" i="166"/>
  <c r="F148" i="166"/>
  <c r="G148" i="166"/>
  <c r="H148" i="166"/>
  <c r="J148" i="166"/>
  <c r="K148" i="166"/>
  <c r="B149" i="166"/>
  <c r="E149" i="166"/>
  <c r="F149" i="166"/>
  <c r="G149" i="166"/>
  <c r="H149" i="166"/>
  <c r="J149" i="166"/>
  <c r="K149" i="166"/>
  <c r="B150" i="166"/>
  <c r="E150" i="166"/>
  <c r="F150" i="166"/>
  <c r="G150" i="166"/>
  <c r="H150" i="166"/>
  <c r="J150" i="166"/>
  <c r="K150" i="166"/>
  <c r="B151" i="166"/>
  <c r="E151" i="166"/>
  <c r="F151" i="166"/>
  <c r="G151" i="166"/>
  <c r="H151" i="166"/>
  <c r="J151" i="166"/>
  <c r="K151" i="166"/>
  <c r="B152" i="166"/>
  <c r="E152" i="166"/>
  <c r="F152" i="166"/>
  <c r="G152" i="166"/>
  <c r="H152" i="166"/>
  <c r="J152" i="166"/>
  <c r="K152" i="166"/>
  <c r="B153" i="166"/>
  <c r="E153" i="166"/>
  <c r="F153" i="166"/>
  <c r="G153" i="166"/>
  <c r="H153" i="166"/>
  <c r="J153" i="166"/>
  <c r="K153" i="166"/>
  <c r="B154" i="166"/>
  <c r="E154" i="166"/>
  <c r="F154" i="166"/>
  <c r="G154" i="166"/>
  <c r="H154" i="166"/>
  <c r="J154" i="166"/>
  <c r="K154" i="166"/>
  <c r="B155" i="166"/>
  <c r="E155" i="166"/>
  <c r="F155" i="166"/>
  <c r="G155" i="166"/>
  <c r="H155" i="166"/>
  <c r="J155" i="166"/>
  <c r="K155" i="166"/>
  <c r="B156" i="166"/>
  <c r="E156" i="166"/>
  <c r="F156" i="166"/>
  <c r="G156" i="166"/>
  <c r="H156" i="166"/>
  <c r="J156" i="166"/>
  <c r="K156" i="166"/>
  <c r="B157" i="166"/>
  <c r="E157" i="166"/>
  <c r="F157" i="166"/>
  <c r="G157" i="166"/>
  <c r="H157" i="166"/>
  <c r="J157" i="166"/>
  <c r="K157" i="166"/>
  <c r="B158" i="166"/>
  <c r="E158" i="166"/>
  <c r="F158" i="166"/>
  <c r="G158" i="166"/>
  <c r="H158" i="166"/>
  <c r="J158" i="166"/>
  <c r="K158" i="166"/>
  <c r="B159" i="166"/>
  <c r="E159" i="166"/>
  <c r="F159" i="166"/>
  <c r="G159" i="166"/>
  <c r="H159" i="166"/>
  <c r="J159" i="166"/>
  <c r="K159" i="166"/>
  <c r="B160" i="166"/>
  <c r="E160" i="166"/>
  <c r="F160" i="166"/>
  <c r="G160" i="166"/>
  <c r="H160" i="166"/>
  <c r="J160" i="166"/>
  <c r="K160" i="166"/>
  <c r="B161" i="166"/>
  <c r="E161" i="166"/>
  <c r="F161" i="166"/>
  <c r="G161" i="166"/>
  <c r="H161" i="166"/>
  <c r="J161" i="166"/>
  <c r="K161" i="166"/>
  <c r="B162" i="166"/>
  <c r="E162" i="166"/>
  <c r="F162" i="166"/>
  <c r="G162" i="166"/>
  <c r="H162" i="166"/>
  <c r="J162" i="166"/>
  <c r="K162" i="166"/>
  <c r="B163" i="166"/>
  <c r="E163" i="166"/>
  <c r="F163" i="166"/>
  <c r="G163" i="166"/>
  <c r="H163" i="166"/>
  <c r="J163" i="166"/>
  <c r="K163" i="166"/>
  <c r="B164" i="166"/>
  <c r="E164" i="166"/>
  <c r="F164" i="166"/>
  <c r="G164" i="166"/>
  <c r="H164" i="166"/>
  <c r="J164" i="166"/>
  <c r="K164" i="166"/>
  <c r="B165" i="166"/>
  <c r="E165" i="166"/>
  <c r="F165" i="166"/>
  <c r="G165" i="166"/>
  <c r="H165" i="166"/>
  <c r="J165" i="166"/>
  <c r="K165" i="166"/>
  <c r="B166" i="166"/>
  <c r="E166" i="166"/>
  <c r="F166" i="166"/>
  <c r="G166" i="166"/>
  <c r="H166" i="166"/>
  <c r="J166" i="166"/>
  <c r="K166" i="166"/>
  <c r="B167" i="166"/>
  <c r="E167" i="166"/>
  <c r="F167" i="166"/>
  <c r="G167" i="166"/>
  <c r="H167" i="166"/>
  <c r="J167" i="166"/>
  <c r="K167" i="166"/>
  <c r="B168" i="166"/>
  <c r="E168" i="166"/>
  <c r="F168" i="166"/>
  <c r="G168" i="166"/>
  <c r="H168" i="166"/>
  <c r="J168" i="166"/>
  <c r="K168" i="166"/>
  <c r="B169" i="166"/>
  <c r="E169" i="166"/>
  <c r="F169" i="166"/>
  <c r="G169" i="166"/>
  <c r="H169" i="166"/>
  <c r="J169" i="166"/>
  <c r="K169" i="166"/>
  <c r="B170" i="166"/>
  <c r="E170" i="166"/>
  <c r="F170" i="166"/>
  <c r="G170" i="166"/>
  <c r="H170" i="166"/>
  <c r="J170" i="166"/>
  <c r="K170" i="166"/>
  <c r="B171" i="166"/>
  <c r="E171" i="166"/>
  <c r="F171" i="166"/>
  <c r="G171" i="166"/>
  <c r="H171" i="166"/>
  <c r="J171" i="166"/>
  <c r="K171" i="166"/>
  <c r="B172" i="166"/>
  <c r="E172" i="166"/>
  <c r="F172" i="166"/>
  <c r="G172" i="166"/>
  <c r="H172" i="166"/>
  <c r="J172" i="166"/>
  <c r="K172" i="166"/>
  <c r="B173" i="166"/>
  <c r="E173" i="166"/>
  <c r="F173" i="166"/>
  <c r="G173" i="166"/>
  <c r="H173" i="166"/>
  <c r="J173" i="166"/>
  <c r="K173" i="166"/>
  <c r="B174" i="166"/>
  <c r="E174" i="166"/>
  <c r="F174" i="166"/>
  <c r="G174" i="166"/>
  <c r="H174" i="166"/>
  <c r="J174" i="166"/>
  <c r="K174" i="166"/>
  <c r="B175" i="166"/>
  <c r="E175" i="166"/>
  <c r="F175" i="166"/>
  <c r="G175" i="166"/>
  <c r="H175" i="166"/>
  <c r="J175" i="166"/>
  <c r="K175" i="166"/>
  <c r="B176" i="166"/>
  <c r="E176" i="166"/>
  <c r="F176" i="166"/>
  <c r="G176" i="166"/>
  <c r="H176" i="166"/>
  <c r="J176" i="166"/>
  <c r="K176" i="166"/>
  <c r="B177" i="166"/>
  <c r="E177" i="166"/>
  <c r="F177" i="166"/>
  <c r="G177" i="166"/>
  <c r="H177" i="166"/>
  <c r="J177" i="166"/>
  <c r="K177" i="166"/>
  <c r="B178" i="166"/>
  <c r="E178" i="166"/>
  <c r="F178" i="166"/>
  <c r="G178" i="166"/>
  <c r="H178" i="166"/>
  <c r="J178" i="166"/>
  <c r="K178" i="166"/>
  <c r="B179" i="166"/>
  <c r="E179" i="166"/>
  <c r="F179" i="166"/>
  <c r="G179" i="166"/>
  <c r="H179" i="166"/>
  <c r="J179" i="166"/>
  <c r="K179" i="166"/>
  <c r="B180" i="166"/>
  <c r="E180" i="166"/>
  <c r="F180" i="166"/>
  <c r="G180" i="166"/>
  <c r="H180" i="166"/>
  <c r="J180" i="166"/>
  <c r="K180" i="166"/>
  <c r="B181" i="166"/>
  <c r="E181" i="166"/>
  <c r="F181" i="166"/>
  <c r="G181" i="166"/>
  <c r="H181" i="166"/>
  <c r="J181" i="166"/>
  <c r="K181" i="166"/>
  <c r="B182" i="166"/>
  <c r="E182" i="166"/>
  <c r="F182" i="166"/>
  <c r="G182" i="166"/>
  <c r="H182" i="166"/>
  <c r="J182" i="166"/>
  <c r="K182" i="166"/>
  <c r="B183" i="166"/>
  <c r="E183" i="166"/>
  <c r="F183" i="166"/>
  <c r="G183" i="166"/>
  <c r="H183" i="166"/>
  <c r="I183" i="166"/>
  <c r="J183" i="166"/>
  <c r="K183" i="166"/>
  <c r="B184" i="166"/>
  <c r="E184" i="166"/>
  <c r="F184" i="166"/>
  <c r="G184" i="166"/>
  <c r="H184" i="166"/>
  <c r="J184" i="166"/>
  <c r="K184" i="166"/>
  <c r="B185" i="166"/>
  <c r="E185" i="166"/>
  <c r="F185" i="166"/>
  <c r="G185" i="166"/>
  <c r="H185" i="166"/>
  <c r="J185" i="166"/>
  <c r="K185" i="166"/>
  <c r="B186" i="166"/>
  <c r="E186" i="166"/>
  <c r="F186" i="166"/>
  <c r="G186" i="166"/>
  <c r="H186" i="166"/>
  <c r="J186" i="166"/>
  <c r="K186" i="166"/>
  <c r="B187" i="166"/>
  <c r="E187" i="166"/>
  <c r="F187" i="166"/>
  <c r="G187" i="166"/>
  <c r="H187" i="166"/>
  <c r="J187" i="166"/>
  <c r="K187" i="166"/>
  <c r="B188" i="166"/>
  <c r="E188" i="166"/>
  <c r="F188" i="166"/>
  <c r="G188" i="166"/>
  <c r="H188" i="166"/>
  <c r="J188" i="166"/>
  <c r="K188" i="166"/>
  <c r="B189" i="166"/>
  <c r="E189" i="166"/>
  <c r="F189" i="166"/>
  <c r="G189" i="166"/>
  <c r="H189" i="166"/>
  <c r="J189" i="166"/>
  <c r="K189" i="166"/>
  <c r="B190" i="166"/>
  <c r="E190" i="166"/>
  <c r="F190" i="166"/>
  <c r="G190" i="166"/>
  <c r="H190" i="166"/>
  <c r="J190" i="166"/>
  <c r="K190" i="166"/>
  <c r="B191" i="166"/>
  <c r="E191" i="166"/>
  <c r="F191" i="166"/>
  <c r="G191" i="166"/>
  <c r="H191" i="166"/>
  <c r="J191" i="166"/>
  <c r="K191" i="166"/>
  <c r="B192" i="166"/>
  <c r="E192" i="166"/>
  <c r="F192" i="166"/>
  <c r="G192" i="166"/>
  <c r="H192" i="166"/>
  <c r="J192" i="166"/>
  <c r="K192" i="166"/>
  <c r="B193" i="166"/>
  <c r="E193" i="166"/>
  <c r="F193" i="166"/>
  <c r="G193" i="166"/>
  <c r="H193" i="166"/>
  <c r="J193" i="166"/>
  <c r="K193" i="166"/>
  <c r="B194" i="166"/>
  <c r="E194" i="166"/>
  <c r="F194" i="166"/>
  <c r="G194" i="166"/>
  <c r="H194" i="166"/>
  <c r="J194" i="166"/>
  <c r="K194" i="166"/>
  <c r="B195" i="166"/>
  <c r="E195" i="166"/>
  <c r="F195" i="166"/>
  <c r="G195" i="166"/>
  <c r="H195" i="166"/>
  <c r="J195" i="166"/>
  <c r="K195" i="166"/>
  <c r="B196" i="166"/>
  <c r="E196" i="166"/>
  <c r="F196" i="166"/>
  <c r="G196" i="166"/>
  <c r="H196" i="166"/>
  <c r="J196" i="166"/>
  <c r="K196" i="166"/>
  <c r="B197" i="166"/>
  <c r="E197" i="166"/>
  <c r="F197" i="166"/>
  <c r="G197" i="166"/>
  <c r="H197" i="166"/>
  <c r="J197" i="166"/>
  <c r="K197" i="166"/>
  <c r="B198" i="166"/>
  <c r="E198" i="166"/>
  <c r="F198" i="166"/>
  <c r="G198" i="166"/>
  <c r="H198" i="166"/>
  <c r="J198" i="166"/>
  <c r="K198" i="166"/>
  <c r="B199" i="166"/>
  <c r="E199" i="166"/>
  <c r="F199" i="166"/>
  <c r="G199" i="166"/>
  <c r="H199" i="166"/>
  <c r="J199" i="166"/>
  <c r="K199" i="166"/>
  <c r="B200" i="166"/>
  <c r="E200" i="166"/>
  <c r="F200" i="166"/>
  <c r="G200" i="166"/>
  <c r="H200" i="166"/>
  <c r="J200" i="166"/>
  <c r="K200" i="166"/>
  <c r="B201" i="166"/>
  <c r="E201" i="166"/>
  <c r="F201" i="166"/>
  <c r="G201" i="166"/>
  <c r="H201" i="166"/>
  <c r="J201" i="166"/>
  <c r="K201" i="166"/>
  <c r="B202" i="166"/>
  <c r="E202" i="166"/>
  <c r="F202" i="166"/>
  <c r="G202" i="166"/>
  <c r="H202" i="166"/>
  <c r="J202" i="166"/>
  <c r="K202" i="166"/>
  <c r="B203" i="166"/>
  <c r="E203" i="166"/>
  <c r="F203" i="166"/>
  <c r="G203" i="166"/>
  <c r="H203" i="166"/>
  <c r="J203" i="166"/>
  <c r="K203" i="166"/>
  <c r="B204" i="166"/>
  <c r="E204" i="166"/>
  <c r="F204" i="166"/>
  <c r="G204" i="166"/>
  <c r="H204" i="166"/>
  <c r="J204" i="166"/>
  <c r="K204" i="166"/>
  <c r="B205" i="166"/>
  <c r="E205" i="166"/>
  <c r="F205" i="166"/>
  <c r="G205" i="166"/>
  <c r="H205" i="166"/>
  <c r="J205" i="166"/>
  <c r="K205" i="166"/>
  <c r="B206" i="166"/>
  <c r="E206" i="166"/>
  <c r="F206" i="166"/>
  <c r="G206" i="166"/>
  <c r="H206" i="166"/>
  <c r="J206" i="166"/>
  <c r="K206" i="166"/>
  <c r="B207" i="166"/>
  <c r="E207" i="166"/>
  <c r="F207" i="166"/>
  <c r="G207" i="166"/>
  <c r="H207" i="166"/>
  <c r="J207" i="166"/>
  <c r="K207" i="166"/>
  <c r="B208" i="166"/>
  <c r="E208" i="166"/>
  <c r="F208" i="166"/>
  <c r="G208" i="166"/>
  <c r="H208" i="166"/>
  <c r="J208" i="166"/>
  <c r="K208" i="166"/>
  <c r="B209" i="166"/>
  <c r="E209" i="166"/>
  <c r="F209" i="166"/>
  <c r="G209" i="166"/>
  <c r="H209" i="166"/>
  <c r="J209" i="166"/>
  <c r="K209" i="166"/>
  <c r="B210" i="166"/>
  <c r="E210" i="166"/>
  <c r="F210" i="166"/>
  <c r="G210" i="166"/>
  <c r="H210" i="166"/>
  <c r="J210" i="166"/>
  <c r="K210" i="166"/>
  <c r="E11" i="166"/>
  <c r="F11" i="166"/>
  <c r="G11" i="166"/>
  <c r="H11" i="166"/>
  <c r="J11" i="166"/>
  <c r="K11" i="166"/>
  <c r="B11" i="166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8" i="12"/>
  <c r="I209" i="12"/>
  <c r="I208" i="166" s="1"/>
  <c r="I210" i="12"/>
  <c r="I209" i="166" s="1"/>
  <c r="I211" i="12"/>
  <c r="I210" i="166" s="1"/>
  <c r="I169" i="12"/>
  <c r="I168" i="166" s="1"/>
  <c r="I112" i="12"/>
  <c r="I111" i="166" s="1"/>
  <c r="I94" i="12"/>
  <c r="I93" i="166" s="1"/>
  <c r="I132" i="12"/>
  <c r="I131" i="166" s="1"/>
  <c r="I195" i="12"/>
  <c r="I194" i="166" s="1"/>
  <c r="I188" i="12"/>
  <c r="I187" i="166" s="1"/>
  <c r="I206" i="12"/>
  <c r="I205" i="166" s="1"/>
  <c r="I116" i="12"/>
  <c r="I115" i="166" s="1"/>
  <c r="I26" i="12"/>
  <c r="I25" i="166" s="1"/>
  <c r="I50" i="12"/>
  <c r="I49" i="166" s="1"/>
  <c r="I189" i="12"/>
  <c r="I188" i="166" s="1"/>
  <c r="I69" i="12"/>
  <c r="I68" i="166" s="1"/>
  <c r="I184" i="12"/>
  <c r="I187" i="12"/>
  <c r="I186" i="166" s="1"/>
  <c r="I86" i="12"/>
  <c r="I85" i="166" s="1"/>
  <c r="I179" i="12"/>
  <c r="I178" i="166" s="1"/>
  <c r="I194" i="12"/>
  <c r="I193" i="166" s="1"/>
  <c r="I125" i="12"/>
  <c r="I124" i="166" s="1"/>
  <c r="I193" i="12"/>
  <c r="I192" i="166" s="1"/>
  <c r="I103" i="12"/>
  <c r="I159" i="12"/>
  <c r="I158" i="166" s="1"/>
  <c r="I155" i="12"/>
  <c r="I154" i="166" s="1"/>
  <c r="I162" i="12"/>
  <c r="I161" i="166" s="1"/>
  <c r="I137" i="12"/>
  <c r="I136" i="166" s="1"/>
  <c r="A1100" i="170"/>
  <c r="A1103" i="170"/>
  <c r="A1106" i="170"/>
  <c r="A1109" i="170"/>
  <c r="A1112" i="170"/>
  <c r="A1115" i="170"/>
  <c r="A1067" i="170"/>
  <c r="A1070" i="170"/>
  <c r="A1073" i="170"/>
  <c r="A1076" i="170"/>
  <c r="A1079" i="170"/>
  <c r="A1082" i="170"/>
  <c r="A1034" i="170"/>
  <c r="A1037" i="170"/>
  <c r="A1040" i="170"/>
  <c r="A1043" i="170"/>
  <c r="A1046" i="170"/>
  <c r="A1049" i="170"/>
  <c r="A1001" i="170"/>
  <c r="A1004" i="170"/>
  <c r="A1007" i="170"/>
  <c r="A1010" i="170"/>
  <c r="A1013" i="170"/>
  <c r="A1016" i="170"/>
  <c r="A1095" i="170"/>
  <c r="A1094" i="170"/>
  <c r="A1092" i="170"/>
  <c r="A1062" i="170"/>
  <c r="A1061" i="170"/>
  <c r="A1059" i="170"/>
  <c r="A1029" i="170"/>
  <c r="A1028" i="170"/>
  <c r="A1026" i="170"/>
  <c r="A996" i="170"/>
  <c r="A995" i="170"/>
  <c r="A993" i="170"/>
  <c r="A960" i="170"/>
  <c r="A959" i="170"/>
  <c r="A957" i="170"/>
  <c r="A926" i="170"/>
  <c r="A925" i="170"/>
  <c r="A923" i="170"/>
  <c r="A892" i="170"/>
  <c r="A891" i="170"/>
  <c r="A889" i="170"/>
  <c r="A858" i="170"/>
  <c r="A857" i="170"/>
  <c r="A855" i="170"/>
  <c r="A824" i="170"/>
  <c r="A823" i="170"/>
  <c r="A821" i="170"/>
  <c r="A790" i="170"/>
  <c r="A789" i="170"/>
  <c r="A787" i="170"/>
  <c r="A756" i="170"/>
  <c r="A755" i="170"/>
  <c r="A753" i="170"/>
  <c r="A722" i="170"/>
  <c r="A721" i="170"/>
  <c r="A719" i="170"/>
  <c r="A688" i="170"/>
  <c r="A687" i="170"/>
  <c r="A685" i="170"/>
  <c r="A654" i="170"/>
  <c r="A653" i="170"/>
  <c r="A651" i="170"/>
  <c r="A619" i="170"/>
  <c r="A618" i="170"/>
  <c r="A616" i="170"/>
  <c r="A586" i="170"/>
  <c r="A585" i="170"/>
  <c r="A583" i="170"/>
  <c r="A552" i="170"/>
  <c r="A551" i="170"/>
  <c r="A549" i="170"/>
  <c r="A518" i="170"/>
  <c r="A517" i="170"/>
  <c r="A515" i="170"/>
  <c r="A485" i="170"/>
  <c r="A484" i="170"/>
  <c r="A482" i="170"/>
  <c r="A453" i="170"/>
  <c r="A452" i="170"/>
  <c r="A450" i="170"/>
  <c r="A421" i="170"/>
  <c r="A420" i="170"/>
  <c r="A418" i="170"/>
  <c r="A389" i="170"/>
  <c r="A388" i="170"/>
  <c r="A386" i="170"/>
  <c r="A357" i="170"/>
  <c r="A356" i="170"/>
  <c r="A354" i="170"/>
  <c r="A325" i="170"/>
  <c r="A324" i="170"/>
  <c r="A322" i="170"/>
  <c r="A293" i="170"/>
  <c r="A292" i="170"/>
  <c r="A290" i="170"/>
  <c r="A261" i="170"/>
  <c r="A260" i="170"/>
  <c r="A258" i="170"/>
  <c r="A229" i="170"/>
  <c r="A228" i="170"/>
  <c r="A226" i="170"/>
  <c r="A197" i="170"/>
  <c r="A196" i="170"/>
  <c r="A194" i="170"/>
  <c r="A165" i="170"/>
  <c r="A164" i="170"/>
  <c r="A162" i="170"/>
  <c r="A133" i="170"/>
  <c r="A132" i="170"/>
  <c r="A130" i="170"/>
  <c r="A101" i="170"/>
  <c r="A100" i="170"/>
  <c r="A98" i="170"/>
  <c r="A69" i="170"/>
  <c r="A68" i="170"/>
  <c r="A66" i="170"/>
  <c r="A37" i="170"/>
  <c r="A36" i="170"/>
  <c r="A34" i="170"/>
  <c r="A6" i="170"/>
  <c r="A5" i="170"/>
  <c r="A3" i="170"/>
  <c r="A1095" i="169"/>
  <c r="A1094" i="169"/>
  <c r="A1092" i="169"/>
  <c r="A1062" i="169"/>
  <c r="A1061" i="169"/>
  <c r="A1059" i="169"/>
  <c r="A1029" i="169"/>
  <c r="A1028" i="169"/>
  <c r="A1026" i="169"/>
  <c r="A996" i="169"/>
  <c r="A995" i="169"/>
  <c r="A993" i="169"/>
  <c r="A960" i="169"/>
  <c r="A959" i="169"/>
  <c r="A957" i="169"/>
  <c r="A926" i="169"/>
  <c r="A925" i="169"/>
  <c r="A923" i="169"/>
  <c r="A892" i="169"/>
  <c r="A891" i="169"/>
  <c r="A889" i="169"/>
  <c r="A858" i="169"/>
  <c r="A857" i="169"/>
  <c r="A855" i="169"/>
  <c r="A824" i="169"/>
  <c r="A823" i="169"/>
  <c r="A821" i="169"/>
  <c r="A790" i="169"/>
  <c r="A789" i="169"/>
  <c r="A787" i="169"/>
  <c r="A756" i="169"/>
  <c r="A755" i="169"/>
  <c r="A753" i="169"/>
  <c r="A722" i="169"/>
  <c r="A721" i="169"/>
  <c r="A719" i="169"/>
  <c r="A688" i="169"/>
  <c r="A687" i="169"/>
  <c r="A685" i="169"/>
  <c r="A654" i="169"/>
  <c r="A653" i="169"/>
  <c r="A651" i="169"/>
  <c r="A619" i="169"/>
  <c r="A618" i="169"/>
  <c r="A616" i="169"/>
  <c r="A586" i="169"/>
  <c r="A585" i="169"/>
  <c r="A583" i="169"/>
  <c r="A552" i="169"/>
  <c r="A551" i="169"/>
  <c r="A549" i="169"/>
  <c r="A518" i="169"/>
  <c r="A517" i="169"/>
  <c r="A515" i="169"/>
  <c r="A485" i="169"/>
  <c r="A484" i="169"/>
  <c r="A482" i="169"/>
  <c r="A453" i="169"/>
  <c r="A452" i="169"/>
  <c r="A450" i="169"/>
  <c r="A421" i="169"/>
  <c r="A420" i="169"/>
  <c r="A418" i="169"/>
  <c r="A389" i="169"/>
  <c r="A388" i="169"/>
  <c r="A386" i="169"/>
  <c r="A357" i="169"/>
  <c r="A356" i="169"/>
  <c r="A354" i="169"/>
  <c r="A325" i="169"/>
  <c r="A324" i="169"/>
  <c r="A322" i="169"/>
  <c r="A293" i="169"/>
  <c r="A292" i="169"/>
  <c r="A290" i="169"/>
  <c r="A261" i="169"/>
  <c r="A260" i="169"/>
  <c r="A258" i="169"/>
  <c r="A229" i="169"/>
  <c r="A228" i="169"/>
  <c r="A226" i="169"/>
  <c r="A197" i="169"/>
  <c r="A196" i="169"/>
  <c r="A194" i="169"/>
  <c r="A165" i="169"/>
  <c r="A164" i="169"/>
  <c r="A162" i="169"/>
  <c r="A133" i="169"/>
  <c r="A132" i="169"/>
  <c r="A130" i="169"/>
  <c r="A101" i="169"/>
  <c r="A100" i="169"/>
  <c r="A98" i="169"/>
  <c r="A69" i="169"/>
  <c r="A68" i="169"/>
  <c r="A66" i="169"/>
  <c r="A37" i="169"/>
  <c r="A36" i="169"/>
  <c r="A34" i="169"/>
  <c r="A6" i="169"/>
  <c r="A5" i="169"/>
  <c r="A3" i="169"/>
  <c r="A1095" i="168"/>
  <c r="A1094" i="168"/>
  <c r="A1092" i="168"/>
  <c r="A1062" i="168"/>
  <c r="A1061" i="168"/>
  <c r="A1059" i="168"/>
  <c r="A1029" i="168"/>
  <c r="A1028" i="168"/>
  <c r="A1026" i="168"/>
  <c r="A996" i="168"/>
  <c r="A995" i="168"/>
  <c r="A993" i="168"/>
  <c r="A960" i="168"/>
  <c r="A959" i="168"/>
  <c r="A957" i="168"/>
  <c r="A926" i="168"/>
  <c r="A925" i="168"/>
  <c r="A923" i="168"/>
  <c r="A892" i="168"/>
  <c r="A891" i="168"/>
  <c r="A889" i="168"/>
  <c r="A858" i="168"/>
  <c r="A857" i="168"/>
  <c r="A855" i="168"/>
  <c r="A824" i="168"/>
  <c r="A823" i="168"/>
  <c r="A821" i="168"/>
  <c r="A790" i="168"/>
  <c r="A789" i="168"/>
  <c r="A787" i="168"/>
  <c r="A756" i="168"/>
  <c r="A755" i="168"/>
  <c r="A753" i="168"/>
  <c r="A722" i="168"/>
  <c r="A721" i="168"/>
  <c r="A719" i="168"/>
  <c r="A688" i="168"/>
  <c r="A687" i="168"/>
  <c r="A685" i="168"/>
  <c r="A654" i="168"/>
  <c r="A653" i="168"/>
  <c r="A651" i="168"/>
  <c r="A619" i="168"/>
  <c r="A618" i="168"/>
  <c r="A616" i="168"/>
  <c r="A586" i="168"/>
  <c r="A585" i="168"/>
  <c r="A583" i="168"/>
  <c r="A552" i="168"/>
  <c r="A551" i="168"/>
  <c r="A549" i="168"/>
  <c r="A518" i="168"/>
  <c r="A517" i="168"/>
  <c r="A515" i="168"/>
  <c r="A485" i="168"/>
  <c r="A484" i="168"/>
  <c r="A482" i="168"/>
  <c r="A453" i="168"/>
  <c r="A452" i="168"/>
  <c r="A450" i="168"/>
  <c r="A421" i="168"/>
  <c r="A420" i="168"/>
  <c r="A418" i="168"/>
  <c r="A389" i="168"/>
  <c r="A388" i="168"/>
  <c r="A386" i="168"/>
  <c r="A357" i="168"/>
  <c r="A356" i="168"/>
  <c r="A354" i="168"/>
  <c r="A325" i="168"/>
  <c r="A324" i="168"/>
  <c r="A322" i="168"/>
  <c r="A293" i="168"/>
  <c r="A292" i="168"/>
  <c r="A290" i="168"/>
  <c r="A261" i="168"/>
  <c r="A260" i="168"/>
  <c r="A258" i="168"/>
  <c r="A229" i="168"/>
  <c r="A228" i="168"/>
  <c r="A226" i="168"/>
  <c r="A197" i="168"/>
  <c r="A196" i="168"/>
  <c r="A194" i="168"/>
  <c r="A165" i="168"/>
  <c r="A164" i="168"/>
  <c r="A162" i="168"/>
  <c r="A133" i="168"/>
  <c r="A132" i="168"/>
  <c r="A130" i="168"/>
  <c r="A101" i="168"/>
  <c r="A100" i="168"/>
  <c r="A98" i="168"/>
  <c r="A69" i="168"/>
  <c r="A68" i="168"/>
  <c r="A66" i="168"/>
  <c r="A37" i="168"/>
  <c r="A36" i="168"/>
  <c r="A34" i="168"/>
  <c r="A6" i="168"/>
  <c r="A5" i="168"/>
  <c r="A3" i="168"/>
  <c r="C187" i="2"/>
  <c r="B1007" i="169" s="1"/>
  <c r="D187" i="2"/>
  <c r="E187" i="2"/>
  <c r="C188" i="2"/>
  <c r="B189" i="12" s="1"/>
  <c r="C188" i="166" s="1"/>
  <c r="D188" i="2"/>
  <c r="E188" i="2"/>
  <c r="C189" i="2"/>
  <c r="B190" i="12" s="1"/>
  <c r="C189" i="166" s="1"/>
  <c r="D189" i="2"/>
  <c r="E189" i="2"/>
  <c r="D190" i="12" s="1"/>
  <c r="D189" i="166" s="1"/>
  <c r="C190" i="2"/>
  <c r="B1013" i="168" s="1"/>
  <c r="D190" i="2"/>
  <c r="E190" i="2"/>
  <c r="C191" i="2"/>
  <c r="D191" i="2"/>
  <c r="E191" i="2"/>
  <c r="C192" i="2"/>
  <c r="B193" i="12" s="1"/>
  <c r="C192" i="166" s="1"/>
  <c r="D192" i="2"/>
  <c r="E192" i="2"/>
  <c r="C193" i="2"/>
  <c r="B1034" i="76" s="1"/>
  <c r="D193" i="2"/>
  <c r="E193" i="2"/>
  <c r="D194" i="12" s="1"/>
  <c r="D193" i="166" s="1"/>
  <c r="C194" i="2"/>
  <c r="B1037" i="76" s="1"/>
  <c r="D194" i="2"/>
  <c r="E194" i="2"/>
  <c r="C195" i="2"/>
  <c r="D195" i="2"/>
  <c r="E195" i="2"/>
  <c r="C196" i="2"/>
  <c r="B197" i="12" s="1"/>
  <c r="C196" i="166" s="1"/>
  <c r="D196" i="2"/>
  <c r="E196" i="2"/>
  <c r="C197" i="2"/>
  <c r="B198" i="12" s="1"/>
  <c r="C197" i="166" s="1"/>
  <c r="D197" i="2"/>
  <c r="E197" i="2"/>
  <c r="C198" i="2"/>
  <c r="B1049" i="76" s="1"/>
  <c r="D198" i="2"/>
  <c r="E198" i="2"/>
  <c r="C199" i="2"/>
  <c r="B1076" i="170" s="1"/>
  <c r="D199" i="2"/>
  <c r="E199" i="2"/>
  <c r="C200" i="2"/>
  <c r="B201" i="12" s="1"/>
  <c r="C200" i="166" s="1"/>
  <c r="D200" i="2"/>
  <c r="E200" i="2"/>
  <c r="D201" i="12" s="1"/>
  <c r="D200" i="166" s="1"/>
  <c r="C201" i="2"/>
  <c r="B1082" i="170" s="1"/>
  <c r="D201" i="2"/>
  <c r="E201" i="2"/>
  <c r="C202" i="2"/>
  <c r="B1079" i="168" s="1"/>
  <c r="D202" i="2"/>
  <c r="E202" i="2"/>
  <c r="D203" i="12" s="1"/>
  <c r="D202" i="166" s="1"/>
  <c r="C203" i="2"/>
  <c r="B1067" i="169" s="1"/>
  <c r="D203" i="2"/>
  <c r="E203" i="2"/>
  <c r="C204" i="2"/>
  <c r="B205" i="12" s="1"/>
  <c r="C204" i="166" s="1"/>
  <c r="D204" i="2"/>
  <c r="E204" i="2"/>
  <c r="C205" i="2"/>
  <c r="B1100" i="76" s="1"/>
  <c r="D205" i="2"/>
  <c r="E205" i="2"/>
  <c r="C206" i="2"/>
  <c r="B1109" i="169" s="1"/>
  <c r="D206" i="2"/>
  <c r="E206" i="2"/>
  <c r="D207" i="12" s="1"/>
  <c r="D206" i="166" s="1"/>
  <c r="C207" i="2"/>
  <c r="D207" i="2"/>
  <c r="E207" i="2"/>
  <c r="C208" i="2"/>
  <c r="B209" i="12" s="1"/>
  <c r="C208" i="166" s="1"/>
  <c r="D208" i="2"/>
  <c r="E208" i="2"/>
  <c r="C209" i="2"/>
  <c r="B210" i="12" s="1"/>
  <c r="C209" i="166" s="1"/>
  <c r="D209" i="2"/>
  <c r="E209" i="2"/>
  <c r="C210" i="2"/>
  <c r="B1115" i="76" s="1"/>
  <c r="D210" i="2"/>
  <c r="E210" i="2"/>
  <c r="A1095" i="76"/>
  <c r="A1094" i="76"/>
  <c r="A1092" i="76"/>
  <c r="A1062" i="76"/>
  <c r="A1061" i="76"/>
  <c r="A1059" i="76"/>
  <c r="D198" i="12" l="1"/>
  <c r="D197" i="166" s="1"/>
  <c r="B196" i="12"/>
  <c r="C195" i="166" s="1"/>
  <c r="B188" i="12"/>
  <c r="C187" i="166" s="1"/>
  <c r="B200" i="12"/>
  <c r="C199" i="166" s="1"/>
  <c r="B192" i="12"/>
  <c r="C191" i="166" s="1"/>
  <c r="D208" i="12"/>
  <c r="D207" i="166" s="1"/>
  <c r="D204" i="12"/>
  <c r="D203" i="166" s="1"/>
  <c r="B202" i="12"/>
  <c r="C201" i="166" s="1"/>
  <c r="B211" i="12"/>
  <c r="C210" i="166" s="1"/>
  <c r="D209" i="12"/>
  <c r="D208" i="166" s="1"/>
  <c r="B207" i="12"/>
  <c r="C206" i="166" s="1"/>
  <c r="D205" i="12"/>
  <c r="D204" i="166" s="1"/>
  <c r="B203" i="12"/>
  <c r="C202" i="166" s="1"/>
  <c r="D199" i="12"/>
  <c r="D198" i="166" s="1"/>
  <c r="D195" i="12"/>
  <c r="D194" i="166" s="1"/>
  <c r="D191" i="12"/>
  <c r="D190" i="166" s="1"/>
  <c r="D210" i="12"/>
  <c r="D209" i="166" s="1"/>
  <c r="B208" i="12"/>
  <c r="C207" i="166" s="1"/>
  <c r="D206" i="12"/>
  <c r="D205" i="166" s="1"/>
  <c r="B204" i="12"/>
  <c r="C203" i="166" s="1"/>
  <c r="D202" i="12"/>
  <c r="D201" i="166" s="1"/>
  <c r="D200" i="12"/>
  <c r="D199" i="166" s="1"/>
  <c r="D196" i="12"/>
  <c r="D195" i="166" s="1"/>
  <c r="B194" i="12"/>
  <c r="C193" i="166" s="1"/>
  <c r="D192" i="12"/>
  <c r="D191" i="166" s="1"/>
  <c r="D188" i="12"/>
  <c r="D187" i="166" s="1"/>
  <c r="B206" i="12"/>
  <c r="C205" i="166" s="1"/>
  <c r="D211" i="12"/>
  <c r="D210" i="166" s="1"/>
  <c r="B199" i="12"/>
  <c r="C198" i="166" s="1"/>
  <c r="D197" i="12"/>
  <c r="D196" i="166" s="1"/>
  <c r="B195" i="12"/>
  <c r="C194" i="166" s="1"/>
  <c r="D193" i="12"/>
  <c r="D192" i="166" s="1"/>
  <c r="B191" i="12"/>
  <c r="C190" i="166" s="1"/>
  <c r="D189" i="12"/>
  <c r="D188" i="166" s="1"/>
  <c r="B1076" i="168"/>
  <c r="B1106" i="76"/>
  <c r="B1001" i="169"/>
  <c r="B1049" i="170"/>
  <c r="B1067" i="76"/>
  <c r="B1001" i="76"/>
  <c r="B1046" i="169"/>
  <c r="B1004" i="170"/>
  <c r="B1079" i="76"/>
  <c r="B1013" i="76"/>
  <c r="B1106" i="168"/>
  <c r="B1115" i="170"/>
  <c r="B1112" i="169"/>
  <c r="B1040" i="76"/>
  <c r="B1103" i="76"/>
  <c r="B1100" i="170"/>
  <c r="B1115" i="169"/>
  <c r="B1073" i="170"/>
  <c r="B1070" i="169"/>
  <c r="B1082" i="76"/>
  <c r="B1079" i="170"/>
  <c r="B1076" i="169"/>
  <c r="B1070" i="76"/>
  <c r="B1049" i="169"/>
  <c r="B1043" i="76"/>
  <c r="B1007" i="170"/>
  <c r="B1004" i="169"/>
  <c r="B1013" i="170"/>
  <c r="B1010" i="169"/>
  <c r="B1046" i="168"/>
  <c r="B1112" i="76"/>
  <c r="B1103" i="170"/>
  <c r="B1100" i="169"/>
  <c r="B1109" i="170"/>
  <c r="B1106" i="169"/>
  <c r="B1037" i="170"/>
  <c r="B1043" i="170"/>
  <c r="B1040" i="169"/>
  <c r="B1013" i="169"/>
  <c r="B1007" i="76"/>
  <c r="B1016" i="76"/>
  <c r="B1001" i="168"/>
  <c r="B1049" i="168"/>
  <c r="B1112" i="168"/>
  <c r="B1034" i="169"/>
  <c r="B1016" i="170"/>
  <c r="B1106" i="170"/>
  <c r="B1103" i="169"/>
  <c r="B1112" i="170"/>
  <c r="B1067" i="170"/>
  <c r="B1040" i="170"/>
  <c r="B1037" i="169"/>
  <c r="B1046" i="170"/>
  <c r="B1043" i="169"/>
  <c r="B1001" i="170"/>
  <c r="B1073" i="76"/>
  <c r="B1004" i="76"/>
  <c r="B1007" i="168"/>
  <c r="B1037" i="168"/>
  <c r="B1034" i="168"/>
  <c r="B1067" i="168"/>
  <c r="B1115" i="168"/>
  <c r="B1016" i="169"/>
  <c r="B1079" i="169"/>
  <c r="B1034" i="170"/>
  <c r="B1046" i="76"/>
  <c r="B1076" i="76"/>
  <c r="B1109" i="76"/>
  <c r="B1010" i="76"/>
  <c r="B1010" i="168"/>
  <c r="B1040" i="168"/>
  <c r="B1073" i="168"/>
  <c r="B1103" i="168"/>
  <c r="B1100" i="168"/>
  <c r="B1082" i="169"/>
  <c r="B1070" i="170"/>
  <c r="B1010" i="170"/>
  <c r="B1004" i="168"/>
  <c r="B1016" i="168"/>
  <c r="B1043" i="168"/>
  <c r="B1070" i="168"/>
  <c r="B1082" i="168"/>
  <c r="B1109" i="168"/>
  <c r="B1073" i="169"/>
  <c r="A1029" i="76"/>
  <c r="A1028" i="76"/>
  <c r="A1026" i="76"/>
  <c r="A996" i="76"/>
  <c r="A995" i="76"/>
  <c r="A993" i="76"/>
  <c r="F8" i="167"/>
  <c r="E8" i="167"/>
  <c r="D8" i="167"/>
  <c r="C8" i="167"/>
  <c r="B8" i="167"/>
  <c r="F7" i="167"/>
  <c r="E7" i="167"/>
  <c r="D7" i="167"/>
  <c r="C7" i="167"/>
  <c r="G7" i="167" s="1"/>
  <c r="B7" i="167"/>
  <c r="F6" i="167"/>
  <c r="E6" i="167"/>
  <c r="D6" i="167"/>
  <c r="C6" i="167"/>
  <c r="B6" i="167"/>
  <c r="X8" i="167"/>
  <c r="W8" i="167"/>
  <c r="V8" i="167"/>
  <c r="U8" i="167"/>
  <c r="T8" i="167"/>
  <c r="X7" i="167"/>
  <c r="W7" i="167"/>
  <c r="V7" i="167"/>
  <c r="U7" i="167"/>
  <c r="T7" i="167"/>
  <c r="X6" i="167"/>
  <c r="W6" i="167"/>
  <c r="V6" i="167"/>
  <c r="U6" i="167"/>
  <c r="Y6" i="167" s="1"/>
  <c r="T6" i="167"/>
  <c r="M7" i="167"/>
  <c r="N7" i="167"/>
  <c r="O7" i="167"/>
  <c r="M8" i="167"/>
  <c r="N8" i="167"/>
  <c r="O8" i="167"/>
  <c r="O6" i="167"/>
  <c r="N6" i="167"/>
  <c r="M6" i="167"/>
  <c r="L7" i="167"/>
  <c r="L8" i="167"/>
  <c r="P8" i="167" s="1"/>
  <c r="L6" i="167"/>
  <c r="K7" i="167"/>
  <c r="K8" i="167"/>
  <c r="K6" i="167"/>
  <c r="B86" i="138"/>
  <c r="B89" i="138"/>
  <c r="B92" i="138"/>
  <c r="B47" i="138"/>
  <c r="B50" i="138"/>
  <c r="B53" i="138"/>
  <c r="B56" i="138"/>
  <c r="B59" i="138"/>
  <c r="B44" i="138"/>
  <c r="B14" i="138"/>
  <c r="B17" i="138"/>
  <c r="B20" i="138"/>
  <c r="B23" i="138"/>
  <c r="B26" i="138"/>
  <c r="A3" i="166"/>
  <c r="P7" i="167" l="1"/>
  <c r="Y7" i="167"/>
  <c r="G8" i="167"/>
  <c r="Y9" i="167"/>
  <c r="Y8" i="167"/>
  <c r="P6" i="167"/>
  <c r="P9" i="167" s="1"/>
  <c r="G6" i="167"/>
  <c r="G9" i="167" s="1"/>
  <c r="C11" i="2" l="1"/>
  <c r="B12" i="12" s="1"/>
  <c r="B83" i="138" l="1"/>
  <c r="B14" i="170"/>
  <c r="B11" i="169"/>
  <c r="B26" i="168"/>
  <c r="E7" i="2"/>
  <c r="D8" i="12" l="1"/>
  <c r="C7" i="2"/>
  <c r="B8" i="12" s="1"/>
  <c r="B20" i="170" l="1"/>
  <c r="B17" i="169"/>
  <c r="B14" i="168"/>
  <c r="B11" i="138"/>
  <c r="A960" i="76" l="1"/>
  <c r="A959" i="76"/>
  <c r="A957" i="76"/>
  <c r="A926" i="76"/>
  <c r="A925" i="76"/>
  <c r="A923" i="76"/>
  <c r="A892" i="76"/>
  <c r="A891" i="76"/>
  <c r="A889" i="76"/>
  <c r="A858" i="76"/>
  <c r="A857" i="76"/>
  <c r="A855" i="76"/>
  <c r="A824" i="76"/>
  <c r="A823" i="76"/>
  <c r="A821" i="76"/>
  <c r="A790" i="76"/>
  <c r="A789" i="76"/>
  <c r="A787" i="76"/>
  <c r="A756" i="76"/>
  <c r="A755" i="76"/>
  <c r="A753" i="76"/>
  <c r="A722" i="76"/>
  <c r="A721" i="76"/>
  <c r="A719" i="76"/>
  <c r="A688" i="76"/>
  <c r="A687" i="76"/>
  <c r="A685" i="76"/>
  <c r="A654" i="76"/>
  <c r="A653" i="76"/>
  <c r="A651" i="76"/>
  <c r="A619" i="76"/>
  <c r="A618" i="76"/>
  <c r="A616" i="76"/>
  <c r="A586" i="76"/>
  <c r="A585" i="76"/>
  <c r="A583" i="76"/>
  <c r="A552" i="76"/>
  <c r="A551" i="76"/>
  <c r="A549" i="76"/>
  <c r="A518" i="76"/>
  <c r="A517" i="76"/>
  <c r="A515" i="76"/>
  <c r="A485" i="76"/>
  <c r="A484" i="76"/>
  <c r="A482" i="76"/>
  <c r="A453" i="76"/>
  <c r="A452" i="76"/>
  <c r="A450" i="76"/>
  <c r="A421" i="76"/>
  <c r="A420" i="76"/>
  <c r="A418" i="76"/>
  <c r="A389" i="76"/>
  <c r="A388" i="76"/>
  <c r="A386" i="76"/>
  <c r="A357" i="76"/>
  <c r="A356" i="76"/>
  <c r="A354" i="76"/>
  <c r="A325" i="76"/>
  <c r="A324" i="76"/>
  <c r="A322" i="76"/>
  <c r="A293" i="76"/>
  <c r="A292" i="76"/>
  <c r="A290" i="76"/>
  <c r="A261" i="76"/>
  <c r="A260" i="76"/>
  <c r="A258" i="76"/>
  <c r="A229" i="76"/>
  <c r="A228" i="76"/>
  <c r="A226" i="76"/>
  <c r="A197" i="76"/>
  <c r="A196" i="76"/>
  <c r="A194" i="76"/>
  <c r="A165" i="76"/>
  <c r="A164" i="76"/>
  <c r="A162" i="76"/>
  <c r="A133" i="76"/>
  <c r="A132" i="76"/>
  <c r="A130" i="76"/>
  <c r="A101" i="76"/>
  <c r="A100" i="76"/>
  <c r="A98" i="76"/>
  <c r="A69" i="76"/>
  <c r="A68" i="76"/>
  <c r="A66" i="76"/>
  <c r="A37" i="76"/>
  <c r="A36" i="76"/>
  <c r="A34" i="76"/>
  <c r="A6" i="76"/>
  <c r="A5" i="76"/>
  <c r="A3" i="76"/>
  <c r="A3" i="12"/>
  <c r="A3" i="2"/>
  <c r="A2" i="12" l="1"/>
  <c r="A2" i="166" s="1"/>
  <c r="A1" i="12"/>
  <c r="A1" i="166" s="1"/>
  <c r="A2" i="2"/>
  <c r="A1" i="2"/>
  <c r="C13" i="2"/>
  <c r="B14" i="12" s="1"/>
  <c r="C13" i="166" s="1"/>
  <c r="C14" i="2"/>
  <c r="B15" i="12" s="1"/>
  <c r="C14" i="166" s="1"/>
  <c r="C15" i="2"/>
  <c r="B16" i="12" s="1"/>
  <c r="C15" i="166" s="1"/>
  <c r="C16" i="2"/>
  <c r="B17" i="12" s="1"/>
  <c r="C16" i="166" s="1"/>
  <c r="C17" i="2"/>
  <c r="B18" i="12" s="1"/>
  <c r="C17" i="166" s="1"/>
  <c r="C18" i="2"/>
  <c r="B19" i="12" s="1"/>
  <c r="C18" i="166" s="1"/>
  <c r="I20" i="12"/>
  <c r="I19" i="166" s="1"/>
  <c r="B57" i="169" l="1"/>
  <c r="B42" i="170"/>
  <c r="B54" i="168"/>
  <c r="B54" i="170"/>
  <c r="B51" i="169"/>
  <c r="B48" i="168"/>
  <c r="B57" i="170"/>
  <c r="B54" i="169"/>
  <c r="B51" i="168"/>
  <c r="B48" i="170"/>
  <c r="B45" i="169"/>
  <c r="B42" i="168"/>
  <c r="B57" i="168"/>
  <c r="B45" i="170"/>
  <c r="B42" i="169"/>
  <c r="B45" i="168"/>
  <c r="B48" i="169"/>
  <c r="B51" i="170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A20" i="170" s="1"/>
  <c r="A83" i="170" l="1"/>
  <c r="A74" i="169"/>
  <c r="A74" i="168"/>
  <c r="A112" i="169"/>
  <c r="A121" i="170"/>
  <c r="A112" i="168"/>
  <c r="A307" i="170"/>
  <c r="A298" i="169"/>
  <c r="A298" i="168"/>
  <c r="A272" i="169"/>
  <c r="A272" i="168"/>
  <c r="A281" i="170"/>
  <c r="A234" i="168"/>
  <c r="A234" i="169"/>
  <c r="A243" i="170"/>
  <c r="A182" i="169"/>
  <c r="A173" i="170"/>
  <c r="A182" i="168"/>
  <c r="A699" i="168"/>
  <c r="A708" i="170"/>
  <c r="A699" i="169"/>
  <c r="A662" i="170"/>
  <c r="A671" i="169"/>
  <c r="A671" i="168"/>
  <c r="A640" i="170"/>
  <c r="A631" i="168"/>
  <c r="A631" i="169"/>
  <c r="A600" i="170"/>
  <c r="A591" i="168"/>
  <c r="A591" i="169"/>
  <c r="A526" i="170"/>
  <c r="A535" i="169"/>
  <c r="A535" i="168"/>
  <c r="A502" i="169"/>
  <c r="A499" i="168"/>
  <c r="A505" i="170"/>
  <c r="A467" i="170"/>
  <c r="A458" i="169"/>
  <c r="A458" i="168"/>
  <c r="A397" i="170"/>
  <c r="A406" i="169"/>
  <c r="A406" i="168"/>
  <c r="A342" i="169"/>
  <c r="A342" i="168"/>
  <c r="A333" i="170"/>
  <c r="A304" i="168"/>
  <c r="A304" i="169"/>
  <c r="A313" i="170"/>
  <c r="A934" i="168"/>
  <c r="A934" i="169"/>
  <c r="A943" i="170"/>
  <c r="A869" i="170"/>
  <c r="A878" i="168"/>
  <c r="A878" i="169"/>
  <c r="A829" i="170"/>
  <c r="A838" i="169"/>
  <c r="A838" i="168"/>
  <c r="A798" i="168"/>
  <c r="A807" i="170"/>
  <c r="A798" i="169"/>
  <c r="A761" i="170"/>
  <c r="A770" i="168"/>
  <c r="A770" i="169"/>
  <c r="A733" i="168"/>
  <c r="A739" i="170"/>
  <c r="A736" i="169"/>
  <c r="A17" i="170"/>
  <c r="A26" i="169"/>
  <c r="A26" i="168"/>
  <c r="A42" i="170"/>
  <c r="A51" i="169"/>
  <c r="A51" i="168"/>
  <c r="A89" i="168"/>
  <c r="A80" i="170"/>
  <c r="A89" i="169"/>
  <c r="A141" i="169"/>
  <c r="A141" i="168"/>
  <c r="A150" i="170"/>
  <c r="A234" i="170"/>
  <c r="A243" i="168"/>
  <c r="A243" i="169"/>
  <c r="A205" i="168"/>
  <c r="A205" i="169"/>
  <c r="A153" i="169"/>
  <c r="A153" i="168"/>
  <c r="A144" i="170"/>
  <c r="A659" i="170"/>
  <c r="A668" i="168"/>
  <c r="A668" i="169"/>
  <c r="A637" i="170"/>
  <c r="A628" i="169"/>
  <c r="A628" i="168"/>
  <c r="A563" i="170"/>
  <c r="A572" i="168"/>
  <c r="A572" i="169"/>
  <c r="A523" i="170"/>
  <c r="A532" i="168"/>
  <c r="A532" i="169"/>
  <c r="A496" i="168"/>
  <c r="A502" i="170"/>
  <c r="A499" i="169"/>
  <c r="A432" i="170"/>
  <c r="A441" i="169"/>
  <c r="A441" i="168"/>
  <c r="A394" i="170"/>
  <c r="A403" i="169"/>
  <c r="A403" i="168"/>
  <c r="A368" i="168"/>
  <c r="A374" i="170"/>
  <c r="A371" i="169"/>
  <c r="A304" i="170"/>
  <c r="A313" i="169"/>
  <c r="A313" i="168"/>
  <c r="A980" i="170"/>
  <c r="A971" i="169"/>
  <c r="A971" i="168"/>
  <c r="A940" i="170"/>
  <c r="A931" i="168"/>
  <c r="A931" i="169"/>
  <c r="A912" i="170"/>
  <c r="A903" i="168"/>
  <c r="A903" i="169"/>
  <c r="A872" i="170"/>
  <c r="A863" i="168"/>
  <c r="A863" i="169"/>
  <c r="A804" i="170"/>
  <c r="A795" i="169"/>
  <c r="A795" i="168"/>
  <c r="A730" i="170"/>
  <c r="A727" i="169"/>
  <c r="A742" i="168"/>
  <c r="A26" i="170"/>
  <c r="A17" i="168"/>
  <c r="A17" i="169"/>
  <c r="A42" i="169"/>
  <c r="A51" i="170"/>
  <c r="A42" i="168"/>
  <c r="A45" i="170"/>
  <c r="A54" i="168"/>
  <c r="A54" i="169"/>
  <c r="A80" i="169"/>
  <c r="A89" i="170"/>
  <c r="A80" i="168"/>
  <c r="A115" i="170"/>
  <c r="A106" i="168"/>
  <c r="A106" i="169"/>
  <c r="A118" i="168"/>
  <c r="A109" i="170"/>
  <c r="A118" i="169"/>
  <c r="A153" i="170"/>
  <c r="A144" i="169"/>
  <c r="A144" i="168"/>
  <c r="A269" i="170"/>
  <c r="A278" i="169"/>
  <c r="A278" i="168"/>
  <c r="A275" i="170"/>
  <c r="A266" i="169"/>
  <c r="A266" i="168"/>
  <c r="A249" i="170"/>
  <c r="A240" i="169"/>
  <c r="A240" i="168"/>
  <c r="A205" i="170"/>
  <c r="A214" i="168"/>
  <c r="A214" i="169"/>
  <c r="A202" i="169"/>
  <c r="A202" i="168"/>
  <c r="A211" i="170"/>
  <c r="A185" i="170"/>
  <c r="A176" i="168"/>
  <c r="A176" i="169"/>
  <c r="A141" i="170"/>
  <c r="A150" i="169"/>
  <c r="A150" i="168"/>
  <c r="A702" i="170"/>
  <c r="A693" i="169"/>
  <c r="A693" i="168"/>
  <c r="A674" i="170"/>
  <c r="A665" i="168"/>
  <c r="A665" i="169"/>
  <c r="A637" i="168"/>
  <c r="A637" i="169"/>
  <c r="A628" i="170"/>
  <c r="A634" i="170"/>
  <c r="A625" i="168"/>
  <c r="A625" i="169"/>
  <c r="A606" i="170"/>
  <c r="A597" i="169"/>
  <c r="A597" i="168"/>
  <c r="A560" i="170"/>
  <c r="A569" i="169"/>
  <c r="A569" i="168"/>
  <c r="A566" i="170"/>
  <c r="A557" i="168"/>
  <c r="A557" i="169"/>
  <c r="A538" i="170"/>
  <c r="A529" i="168"/>
  <c r="A529" i="169"/>
  <c r="A490" i="169"/>
  <c r="A505" i="168"/>
  <c r="A493" i="170"/>
  <c r="A499" i="170"/>
  <c r="A493" i="168"/>
  <c r="A496" i="169"/>
  <c r="A473" i="170"/>
  <c r="A464" i="168"/>
  <c r="A464" i="169"/>
  <c r="A438" i="168"/>
  <c r="A438" i="169"/>
  <c r="A429" i="170"/>
  <c r="A426" i="168"/>
  <c r="A435" i="170"/>
  <c r="A426" i="169"/>
  <c r="A409" i="170"/>
  <c r="A400" i="169"/>
  <c r="A400" i="168"/>
  <c r="A362" i="169"/>
  <c r="A365" i="170"/>
  <c r="A377" i="168"/>
  <c r="A368" i="169"/>
  <c r="A371" i="170"/>
  <c r="A365" i="168"/>
  <c r="A336" i="169"/>
  <c r="A345" i="170"/>
  <c r="A336" i="168"/>
  <c r="A301" i="170"/>
  <c r="A310" i="168"/>
  <c r="A310" i="169"/>
  <c r="A971" i="170"/>
  <c r="A980" i="169"/>
  <c r="A980" i="168"/>
  <c r="A968" i="169"/>
  <c r="A968" i="168"/>
  <c r="A977" i="170"/>
  <c r="A931" i="170"/>
  <c r="A940" i="169"/>
  <c r="A940" i="168"/>
  <c r="A903" i="170"/>
  <c r="A912" i="169"/>
  <c r="A912" i="168"/>
  <c r="A909" i="170"/>
  <c r="A900" i="169"/>
  <c r="A900" i="168"/>
  <c r="A872" i="169"/>
  <c r="A872" i="168"/>
  <c r="A863" i="170"/>
  <c r="A835" i="170"/>
  <c r="A844" i="169"/>
  <c r="A844" i="168"/>
  <c r="A832" i="169"/>
  <c r="A832" i="168"/>
  <c r="A841" i="170"/>
  <c r="A795" i="170"/>
  <c r="A804" i="169"/>
  <c r="A804" i="168"/>
  <c r="A767" i="170"/>
  <c r="A776" i="169"/>
  <c r="A776" i="168"/>
  <c r="A764" i="169"/>
  <c r="A764" i="168"/>
  <c r="A773" i="170"/>
  <c r="A739" i="168"/>
  <c r="A727" i="170"/>
  <c r="A742" i="169"/>
  <c r="A699" i="170"/>
  <c r="A708" i="169"/>
  <c r="A708" i="168"/>
  <c r="A23" i="169"/>
  <c r="A23" i="168"/>
  <c r="A14" i="170"/>
  <c r="A57" i="170"/>
  <c r="A48" i="168"/>
  <c r="A48" i="169"/>
  <c r="A86" i="168"/>
  <c r="A86" i="169"/>
  <c r="A77" i="170"/>
  <c r="A147" i="170"/>
  <c r="A138" i="168"/>
  <c r="A138" i="169"/>
  <c r="A246" i="169"/>
  <c r="A246" i="168"/>
  <c r="A237" i="170"/>
  <c r="A217" i="170"/>
  <c r="A208" i="168"/>
  <c r="A208" i="169"/>
  <c r="A170" i="169"/>
  <c r="A170" i="168"/>
  <c r="A179" i="170"/>
  <c r="A668" i="170"/>
  <c r="A659" i="169"/>
  <c r="A659" i="168"/>
  <c r="A594" i="170"/>
  <c r="A603" i="168"/>
  <c r="A603" i="169"/>
  <c r="A563" i="168"/>
  <c r="A563" i="169"/>
  <c r="A572" i="170"/>
  <c r="A532" i="170"/>
  <c r="A523" i="168"/>
  <c r="A523" i="169"/>
  <c r="A461" i="170"/>
  <c r="A470" i="169"/>
  <c r="A470" i="168"/>
  <c r="A441" i="170"/>
  <c r="A432" i="168"/>
  <c r="A432" i="169"/>
  <c r="A394" i="168"/>
  <c r="A394" i="169"/>
  <c r="A403" i="170"/>
  <c r="A371" i="168"/>
  <c r="A377" i="170"/>
  <c r="A374" i="169"/>
  <c r="A339" i="170"/>
  <c r="A330" i="169"/>
  <c r="A330" i="168"/>
  <c r="A965" i="170"/>
  <c r="A974" i="168"/>
  <c r="A974" i="169"/>
  <c r="A937" i="170"/>
  <c r="A946" i="168"/>
  <c r="A946" i="169"/>
  <c r="A906" i="169"/>
  <c r="A897" i="170"/>
  <c r="A906" i="168"/>
  <c r="A875" i="170"/>
  <c r="A866" i="168"/>
  <c r="A866" i="169"/>
  <c r="A801" i="170"/>
  <c r="A810" i="168"/>
  <c r="A810" i="169"/>
  <c r="A727" i="168"/>
  <c r="A730" i="169"/>
  <c r="A733" i="170"/>
  <c r="A23" i="170"/>
  <c r="A14" i="169"/>
  <c r="A14" i="168"/>
  <c r="A86" i="170"/>
  <c r="A77" i="168"/>
  <c r="A77" i="169"/>
  <c r="A106" i="170"/>
  <c r="A115" i="169"/>
  <c r="A115" i="168"/>
  <c r="A272" i="170"/>
  <c r="A281" i="169"/>
  <c r="A281" i="168"/>
  <c r="A269" i="169"/>
  <c r="A278" i="170"/>
  <c r="A269" i="168"/>
  <c r="A208" i="170"/>
  <c r="A217" i="169"/>
  <c r="A217" i="168"/>
  <c r="A170" i="170"/>
  <c r="A179" i="169"/>
  <c r="A179" i="168"/>
  <c r="A705" i="170"/>
  <c r="A696" i="169"/>
  <c r="A696" i="168"/>
  <c r="A631" i="170"/>
  <c r="A640" i="168"/>
  <c r="A640" i="169"/>
  <c r="A591" i="170"/>
  <c r="A600" i="169"/>
  <c r="A600" i="168"/>
  <c r="A569" i="170"/>
  <c r="A560" i="169"/>
  <c r="A560" i="168"/>
  <c r="A490" i="168"/>
  <c r="A493" i="169"/>
  <c r="A496" i="170"/>
  <c r="A458" i="170"/>
  <c r="A467" i="169"/>
  <c r="A467" i="168"/>
  <c r="A438" i="170"/>
  <c r="A429" i="169"/>
  <c r="A429" i="168"/>
  <c r="A365" i="169"/>
  <c r="A362" i="168"/>
  <c r="A368" i="170"/>
  <c r="A339" i="169"/>
  <c r="A330" i="170"/>
  <c r="A339" i="168"/>
  <c r="A301" i="169"/>
  <c r="A310" i="170"/>
  <c r="A301" i="168"/>
  <c r="A934" i="170"/>
  <c r="A943" i="169"/>
  <c r="A943" i="168"/>
  <c r="A866" i="170"/>
  <c r="A875" i="169"/>
  <c r="A875" i="168"/>
  <c r="A844" i="170"/>
  <c r="A835" i="169"/>
  <c r="A835" i="168"/>
  <c r="A807" i="169"/>
  <c r="A807" i="168"/>
  <c r="A798" i="170"/>
  <c r="A776" i="170"/>
  <c r="A767" i="168"/>
  <c r="A767" i="169"/>
  <c r="A733" i="169"/>
  <c r="A730" i="168"/>
  <c r="A736" i="170"/>
  <c r="A20" i="169"/>
  <c r="A20" i="168"/>
  <c r="A11" i="170"/>
  <c r="A45" i="169"/>
  <c r="A54" i="170"/>
  <c r="A45" i="168"/>
  <c r="A57" i="169"/>
  <c r="A48" i="170"/>
  <c r="A57" i="168"/>
  <c r="A74" i="170"/>
  <c r="A83" i="169"/>
  <c r="A83" i="168"/>
  <c r="A109" i="169"/>
  <c r="A118" i="170"/>
  <c r="A109" i="168"/>
  <c r="A121" i="169"/>
  <c r="A112" i="170"/>
  <c r="A121" i="168"/>
  <c r="A138" i="170"/>
  <c r="A147" i="169"/>
  <c r="A147" i="168"/>
  <c r="A275" i="169"/>
  <c r="A275" i="168"/>
  <c r="A266" i="170"/>
  <c r="A240" i="170"/>
  <c r="A249" i="169"/>
  <c r="A249" i="168"/>
  <c r="A237" i="169"/>
  <c r="A246" i="170"/>
  <c r="A237" i="168"/>
  <c r="A211" i="169"/>
  <c r="A214" i="170"/>
  <c r="A202" i="170"/>
  <c r="A211" i="168"/>
  <c r="A176" i="170"/>
  <c r="A185" i="169"/>
  <c r="A185" i="168"/>
  <c r="A173" i="169"/>
  <c r="A182" i="170"/>
  <c r="A173" i="168"/>
  <c r="A693" i="170"/>
  <c r="A702" i="169"/>
  <c r="A702" i="168"/>
  <c r="A665" i="170"/>
  <c r="A674" i="169"/>
  <c r="A674" i="168"/>
  <c r="A662" i="169"/>
  <c r="A671" i="170"/>
  <c r="A662" i="168"/>
  <c r="A634" i="169"/>
  <c r="A625" i="170"/>
  <c r="A634" i="168"/>
  <c r="A597" i="170"/>
  <c r="A606" i="169"/>
  <c r="A606" i="168"/>
  <c r="A594" i="169"/>
  <c r="A594" i="168"/>
  <c r="A603" i="170"/>
  <c r="A566" i="169"/>
  <c r="A557" i="170"/>
  <c r="A566" i="168"/>
  <c r="A538" i="169"/>
  <c r="A538" i="168"/>
  <c r="A529" i="170"/>
  <c r="A535" i="170"/>
  <c r="A526" i="169"/>
  <c r="A526" i="168"/>
  <c r="A502" i="168"/>
  <c r="A505" i="169"/>
  <c r="A490" i="170"/>
  <c r="A464" i="170"/>
  <c r="A473" i="169"/>
  <c r="A473" i="168"/>
  <c r="A470" i="170"/>
  <c r="A461" i="169"/>
  <c r="A461" i="168"/>
  <c r="A426" i="170"/>
  <c r="A435" i="168"/>
  <c r="A435" i="169"/>
  <c r="A409" i="169"/>
  <c r="A409" i="168"/>
  <c r="A400" i="170"/>
  <c r="A397" i="169"/>
  <c r="A397" i="168"/>
  <c r="A406" i="170"/>
  <c r="A377" i="169"/>
  <c r="A374" i="168"/>
  <c r="A362" i="170"/>
  <c r="A336" i="170"/>
  <c r="A345" i="168"/>
  <c r="A345" i="169"/>
  <c r="A342" i="170"/>
  <c r="A333" i="168"/>
  <c r="A333" i="169"/>
  <c r="A307" i="169"/>
  <c r="A307" i="168"/>
  <c r="A298" i="170"/>
  <c r="A968" i="170"/>
  <c r="A977" i="168"/>
  <c r="A977" i="169"/>
  <c r="A965" i="168"/>
  <c r="A974" i="170"/>
  <c r="A965" i="169"/>
  <c r="A946" i="170"/>
  <c r="A937" i="168"/>
  <c r="A937" i="169"/>
  <c r="A900" i="170"/>
  <c r="A909" i="169"/>
  <c r="A909" i="168"/>
  <c r="A906" i="170"/>
  <c r="A897" i="168"/>
  <c r="A897" i="169"/>
  <c r="A878" i="170"/>
  <c r="A869" i="169"/>
  <c r="A869" i="168"/>
  <c r="A832" i="170"/>
  <c r="A841" i="168"/>
  <c r="A841" i="169"/>
  <c r="A829" i="168"/>
  <c r="A838" i="170"/>
  <c r="A829" i="169"/>
  <c r="A810" i="170"/>
  <c r="A801" i="168"/>
  <c r="A801" i="169"/>
  <c r="A764" i="170"/>
  <c r="A773" i="169"/>
  <c r="A773" i="168"/>
  <c r="A770" i="170"/>
  <c r="A761" i="169"/>
  <c r="A761" i="168"/>
  <c r="A739" i="169"/>
  <c r="A736" i="168"/>
  <c r="A742" i="170"/>
  <c r="A696" i="170"/>
  <c r="A705" i="169"/>
  <c r="A705" i="168"/>
  <c r="A931" i="76"/>
  <c r="A863" i="76"/>
  <c r="A835" i="76"/>
  <c r="A943" i="76"/>
  <c r="A838" i="76"/>
  <c r="A14" i="76"/>
  <c r="A20" i="76"/>
  <c r="A26" i="76"/>
  <c r="A977" i="76"/>
  <c r="A965" i="76"/>
  <c r="A909" i="76"/>
  <c r="A897" i="76"/>
  <c r="A869" i="76"/>
  <c r="A841" i="76"/>
  <c r="A829" i="76"/>
  <c r="A875" i="76"/>
  <c r="A903" i="76"/>
  <c r="A937" i="76"/>
  <c r="A971" i="76"/>
  <c r="A17" i="76"/>
  <c r="A23" i="76"/>
  <c r="A980" i="76"/>
  <c r="A974" i="76"/>
  <c r="A968" i="76"/>
  <c r="A946" i="76"/>
  <c r="A940" i="76"/>
  <c r="A934" i="76"/>
  <c r="A912" i="76"/>
  <c r="A906" i="76"/>
  <c r="A900" i="76"/>
  <c r="A878" i="76"/>
  <c r="A872" i="76"/>
  <c r="A866" i="76"/>
  <c r="A844" i="76"/>
  <c r="A832" i="76"/>
  <c r="D164" i="2"/>
  <c r="E164" i="2"/>
  <c r="C164" i="2"/>
  <c r="B165" i="12" s="1"/>
  <c r="C164" i="166" s="1"/>
  <c r="D159" i="2"/>
  <c r="E159" i="2"/>
  <c r="C159" i="2"/>
  <c r="B160" i="12" s="1"/>
  <c r="C159" i="166" s="1"/>
  <c r="D182" i="2"/>
  <c r="E182" i="2"/>
  <c r="C182" i="2"/>
  <c r="B183" i="12" s="1"/>
  <c r="C182" i="166" s="1"/>
  <c r="D157" i="2"/>
  <c r="E157" i="2"/>
  <c r="C157" i="2"/>
  <c r="B158" i="12" s="1"/>
  <c r="C157" i="166" s="1"/>
  <c r="D184" i="2"/>
  <c r="E184" i="2"/>
  <c r="C184" i="2"/>
  <c r="B185" i="12" s="1"/>
  <c r="C184" i="166" s="1"/>
  <c r="D158" i="2"/>
  <c r="E158" i="2"/>
  <c r="C158" i="2"/>
  <c r="B159" i="12" s="1"/>
  <c r="C158" i="166" s="1"/>
  <c r="D152" i="2"/>
  <c r="E152" i="2"/>
  <c r="C152" i="2"/>
  <c r="B153" i="12" s="1"/>
  <c r="C152" i="166" s="1"/>
  <c r="D185" i="2"/>
  <c r="E185" i="2"/>
  <c r="C185" i="2"/>
  <c r="B186" i="12" s="1"/>
  <c r="C185" i="166" s="1"/>
  <c r="D162" i="2"/>
  <c r="E162" i="2"/>
  <c r="C162" i="2"/>
  <c r="B163" i="12" s="1"/>
  <c r="C162" i="166" s="1"/>
  <c r="D186" i="2"/>
  <c r="E186" i="2"/>
  <c r="C186" i="2"/>
  <c r="B187" i="12" s="1"/>
  <c r="C186" i="166" s="1"/>
  <c r="D175" i="2"/>
  <c r="E175" i="2"/>
  <c r="C175" i="2"/>
  <c r="B176" i="12" s="1"/>
  <c r="C175" i="166" s="1"/>
  <c r="D178" i="2"/>
  <c r="E178" i="2"/>
  <c r="C178" i="2"/>
  <c r="B179" i="12" s="1"/>
  <c r="C178" i="166" s="1"/>
  <c r="D173" i="2"/>
  <c r="E173" i="2"/>
  <c r="C173" i="2"/>
  <c r="B174" i="12" s="1"/>
  <c r="C173" i="166" s="1"/>
  <c r="D172" i="2"/>
  <c r="E172" i="2"/>
  <c r="C172" i="2"/>
  <c r="B173" i="12" s="1"/>
  <c r="C172" i="166" s="1"/>
  <c r="D168" i="2"/>
  <c r="E168" i="2"/>
  <c r="C168" i="2"/>
  <c r="B169" i="12" s="1"/>
  <c r="C168" i="166" s="1"/>
  <c r="D167" i="2"/>
  <c r="E167" i="2"/>
  <c r="C167" i="2"/>
  <c r="B168" i="12" s="1"/>
  <c r="C167" i="166" s="1"/>
  <c r="D171" i="2"/>
  <c r="E171" i="2"/>
  <c r="C171" i="2"/>
  <c r="B172" i="12" s="1"/>
  <c r="C171" i="166" s="1"/>
  <c r="D170" i="2"/>
  <c r="E170" i="2"/>
  <c r="C170" i="2"/>
  <c r="B171" i="12" s="1"/>
  <c r="C170" i="166" s="1"/>
  <c r="D169" i="2"/>
  <c r="E169" i="2"/>
  <c r="C169" i="2"/>
  <c r="B170" i="12" s="1"/>
  <c r="C169" i="166" s="1"/>
  <c r="D165" i="2"/>
  <c r="E165" i="2"/>
  <c r="C165" i="2"/>
  <c r="B166" i="12" s="1"/>
  <c r="C165" i="166" s="1"/>
  <c r="D160" i="2"/>
  <c r="E160" i="2"/>
  <c r="C160" i="2"/>
  <c r="B161" i="12" s="1"/>
  <c r="C160" i="166" s="1"/>
  <c r="D156" i="2"/>
  <c r="E156" i="2"/>
  <c r="C156" i="2"/>
  <c r="B157" i="12" s="1"/>
  <c r="C156" i="166" s="1"/>
  <c r="D163" i="2"/>
  <c r="E163" i="2"/>
  <c r="C163" i="2"/>
  <c r="B164" i="12" s="1"/>
  <c r="C163" i="166" s="1"/>
  <c r="D155" i="2"/>
  <c r="E155" i="2"/>
  <c r="C155" i="2"/>
  <c r="B156" i="12" s="1"/>
  <c r="C155" i="166" s="1"/>
  <c r="D154" i="2"/>
  <c r="E154" i="2"/>
  <c r="C154" i="2"/>
  <c r="B155" i="12" s="1"/>
  <c r="C154" i="166" s="1"/>
  <c r="I9" i="12"/>
  <c r="D157" i="12" l="1"/>
  <c r="D156" i="166" s="1"/>
  <c r="D164" i="12"/>
  <c r="D163" i="166" s="1"/>
  <c r="D170" i="12"/>
  <c r="D169" i="166" s="1"/>
  <c r="D169" i="12"/>
  <c r="D168" i="166" s="1"/>
  <c r="D176" i="12"/>
  <c r="D175" i="166" s="1"/>
  <c r="D153" i="12"/>
  <c r="D152" i="166" s="1"/>
  <c r="D183" i="12"/>
  <c r="D182" i="166" s="1"/>
  <c r="D156" i="12"/>
  <c r="D155" i="166" s="1"/>
  <c r="D168" i="12"/>
  <c r="D167" i="166" s="1"/>
  <c r="D179" i="12"/>
  <c r="D178" i="166" s="1"/>
  <c r="D186" i="12"/>
  <c r="D185" i="166" s="1"/>
  <c r="D158" i="12"/>
  <c r="D157" i="166" s="1"/>
  <c r="D166" i="12"/>
  <c r="D165" i="166" s="1"/>
  <c r="D155" i="12"/>
  <c r="D154" i="166" s="1"/>
  <c r="D161" i="12"/>
  <c r="D160" i="166" s="1"/>
  <c r="D172" i="12"/>
  <c r="D171" i="166" s="1"/>
  <c r="D174" i="12"/>
  <c r="D173" i="166" s="1"/>
  <c r="D163" i="12"/>
  <c r="D162" i="166" s="1"/>
  <c r="D185" i="12"/>
  <c r="D184" i="166" s="1"/>
  <c r="D165" i="12"/>
  <c r="D164" i="166" s="1"/>
  <c r="D171" i="12"/>
  <c r="D170" i="166" s="1"/>
  <c r="D173" i="12"/>
  <c r="D172" i="166" s="1"/>
  <c r="D187" i="12"/>
  <c r="D186" i="166" s="1"/>
  <c r="D159" i="12"/>
  <c r="D158" i="166" s="1"/>
  <c r="D160" i="12"/>
  <c r="D159" i="166" s="1"/>
  <c r="B798" i="170"/>
  <c r="B795" i="169"/>
  <c r="B810" i="168"/>
  <c r="B863" i="169"/>
  <c r="B878" i="168"/>
  <c r="B866" i="170"/>
  <c r="B835" i="169"/>
  <c r="B832" i="168"/>
  <c r="B838" i="170"/>
  <c r="B795" i="170"/>
  <c r="B810" i="169"/>
  <c r="B807" i="168"/>
  <c r="B912" i="170"/>
  <c r="B909" i="169"/>
  <c r="B906" i="168"/>
  <c r="B835" i="170"/>
  <c r="B832" i="169"/>
  <c r="B829" i="168"/>
  <c r="B909" i="170"/>
  <c r="B906" i="169"/>
  <c r="B903" i="168"/>
  <c r="B912" i="169"/>
  <c r="B897" i="170"/>
  <c r="B909" i="168"/>
  <c r="B971" i="170"/>
  <c r="B968" i="169"/>
  <c r="B965" i="168"/>
  <c r="B841" i="170"/>
  <c r="B835" i="168"/>
  <c r="B838" i="169"/>
  <c r="B844" i="170"/>
  <c r="B841" i="169"/>
  <c r="B838" i="168"/>
  <c r="B872" i="168"/>
  <c r="B878" i="170"/>
  <c r="B875" i="169"/>
  <c r="B931" i="170"/>
  <c r="B946" i="169"/>
  <c r="B943" i="168"/>
  <c r="B968" i="170"/>
  <c r="B980" i="168"/>
  <c r="B965" i="169"/>
  <c r="B829" i="170"/>
  <c r="B844" i="169"/>
  <c r="B841" i="168"/>
  <c r="B897" i="169"/>
  <c r="B912" i="168"/>
  <c r="B900" i="170"/>
  <c r="B980" i="169"/>
  <c r="B965" i="170"/>
  <c r="B977" i="168"/>
  <c r="B875" i="170"/>
  <c r="B872" i="169"/>
  <c r="B869" i="168"/>
  <c r="B798" i="169"/>
  <c r="B801" i="170"/>
  <c r="B795" i="168"/>
  <c r="B872" i="170"/>
  <c r="B869" i="169"/>
  <c r="B866" i="168"/>
  <c r="B906" i="170"/>
  <c r="B900" i="168"/>
  <c r="B903" i="169"/>
  <c r="B869" i="170"/>
  <c r="B866" i="169"/>
  <c r="B863" i="168"/>
  <c r="B940" i="170"/>
  <c r="B937" i="169"/>
  <c r="B934" i="168"/>
  <c r="B804" i="169"/>
  <c r="B801" i="168"/>
  <c r="B807" i="170"/>
  <c r="B977" i="170"/>
  <c r="B974" i="169"/>
  <c r="B971" i="168"/>
  <c r="B897" i="76"/>
  <c r="B804" i="76"/>
  <c r="B807" i="76"/>
  <c r="B863" i="76"/>
  <c r="B810" i="76"/>
  <c r="B838" i="76"/>
  <c r="B869" i="76"/>
  <c r="B900" i="76"/>
  <c r="B903" i="76"/>
  <c r="B875" i="76"/>
  <c r="B878" i="76"/>
  <c r="B906" i="76"/>
  <c r="B909" i="76"/>
  <c r="B940" i="76"/>
  <c r="B931" i="76"/>
  <c r="B980" i="76"/>
  <c r="B844" i="76"/>
  <c r="B977" i="76"/>
  <c r="B798" i="76"/>
  <c r="B832" i="76"/>
  <c r="B974" i="76"/>
  <c r="B829" i="76"/>
  <c r="B968" i="76"/>
  <c r="B835" i="76"/>
  <c r="B866" i="76"/>
  <c r="D54" i="2"/>
  <c r="E54" i="2"/>
  <c r="C54" i="2"/>
  <c r="B55" i="12" s="1"/>
  <c r="C54" i="166" s="1"/>
  <c r="D50" i="2"/>
  <c r="E50" i="2"/>
  <c r="C50" i="2"/>
  <c r="B51" i="12" s="1"/>
  <c r="C50" i="166" s="1"/>
  <c r="D70" i="2"/>
  <c r="E70" i="2"/>
  <c r="C70" i="2"/>
  <c r="B71" i="12" s="1"/>
  <c r="C70" i="166" s="1"/>
  <c r="D75" i="2"/>
  <c r="E75" i="2"/>
  <c r="C75" i="2"/>
  <c r="D153" i="2"/>
  <c r="E153" i="2"/>
  <c r="D151" i="2"/>
  <c r="C151" i="2"/>
  <c r="B152" i="12" s="1"/>
  <c r="C151" i="166" s="1"/>
  <c r="D150" i="2"/>
  <c r="E150" i="2"/>
  <c r="C150" i="2"/>
  <c r="B151" i="12" s="1"/>
  <c r="C150" i="166" s="1"/>
  <c r="D144" i="2"/>
  <c r="E144" i="2"/>
  <c r="C144" i="2"/>
  <c r="B145" i="12" s="1"/>
  <c r="C144" i="166" s="1"/>
  <c r="D138" i="2"/>
  <c r="E138" i="2"/>
  <c r="D139" i="12" s="1"/>
  <c r="D138" i="166" s="1"/>
  <c r="C138" i="2"/>
  <c r="B139" i="12" s="1"/>
  <c r="C138" i="166" s="1"/>
  <c r="D132" i="2"/>
  <c r="E132" i="2"/>
  <c r="D126" i="2"/>
  <c r="E126" i="2"/>
  <c r="C126" i="2"/>
  <c r="B127" i="12" s="1"/>
  <c r="C126" i="166" s="1"/>
  <c r="D120" i="2"/>
  <c r="E120" i="2"/>
  <c r="C120" i="2"/>
  <c r="B121" i="12" s="1"/>
  <c r="C120" i="166" s="1"/>
  <c r="D24" i="2"/>
  <c r="E24" i="2"/>
  <c r="C24" i="2"/>
  <c r="B25" i="12" s="1"/>
  <c r="C24" i="166" s="1"/>
  <c r="D161" i="2"/>
  <c r="E161" i="2"/>
  <c r="C161" i="2"/>
  <c r="B162" i="12" s="1"/>
  <c r="C161" i="166" s="1"/>
  <c r="D143" i="2"/>
  <c r="E143" i="2"/>
  <c r="D149" i="2"/>
  <c r="E149" i="2"/>
  <c r="D137" i="2"/>
  <c r="E137" i="2"/>
  <c r="C137" i="2"/>
  <c r="B138" i="12" s="1"/>
  <c r="C137" i="166" s="1"/>
  <c r="D16" i="2"/>
  <c r="E16" i="2"/>
  <c r="D131" i="2"/>
  <c r="E131" i="2"/>
  <c r="C131" i="2"/>
  <c r="B132" i="12" s="1"/>
  <c r="C131" i="166" s="1"/>
  <c r="D125" i="2"/>
  <c r="E125" i="2"/>
  <c r="C125" i="2"/>
  <c r="B126" i="12" s="1"/>
  <c r="C125" i="166" s="1"/>
  <c r="D119" i="2"/>
  <c r="E119" i="2"/>
  <c r="C119" i="2"/>
  <c r="B120" i="12" s="1"/>
  <c r="C119" i="166" s="1"/>
  <c r="D113" i="2"/>
  <c r="E113" i="2"/>
  <c r="C113" i="2"/>
  <c r="B114" i="12" s="1"/>
  <c r="C113" i="166" s="1"/>
  <c r="D107" i="2"/>
  <c r="E107" i="2"/>
  <c r="D77" i="2"/>
  <c r="E77" i="2"/>
  <c r="C77" i="2"/>
  <c r="B78" i="12" s="1"/>
  <c r="C77" i="166" s="1"/>
  <c r="D71" i="2"/>
  <c r="E71" i="2"/>
  <c r="C71" i="2"/>
  <c r="B72" i="12" s="1"/>
  <c r="C71" i="166" s="1"/>
  <c r="D59" i="2"/>
  <c r="E59" i="2"/>
  <c r="C59" i="2"/>
  <c r="B60" i="12" s="1"/>
  <c r="C59" i="166" s="1"/>
  <c r="D53" i="2"/>
  <c r="E53" i="2"/>
  <c r="C53" i="2"/>
  <c r="B54" i="12" s="1"/>
  <c r="C53" i="166" s="1"/>
  <c r="D41" i="2"/>
  <c r="E41" i="2"/>
  <c r="D166" i="2"/>
  <c r="E166" i="2"/>
  <c r="C166" i="2"/>
  <c r="B167" i="12" s="1"/>
  <c r="C166" i="166" s="1"/>
  <c r="D35" i="2"/>
  <c r="E35" i="2"/>
  <c r="C35" i="2"/>
  <c r="B36" i="12" s="1"/>
  <c r="C35" i="166" s="1"/>
  <c r="D29" i="2"/>
  <c r="E29" i="2"/>
  <c r="C29" i="2"/>
  <c r="B30" i="12" s="1"/>
  <c r="C29" i="166" s="1"/>
  <c r="D62" i="2"/>
  <c r="E62" i="2"/>
  <c r="C62" i="2"/>
  <c r="B63" i="12" s="1"/>
  <c r="C62" i="166" s="1"/>
  <c r="C65" i="2"/>
  <c r="B66" i="12" s="1"/>
  <c r="C65" i="166" s="1"/>
  <c r="D47" i="2"/>
  <c r="E47" i="2"/>
  <c r="C47" i="2"/>
  <c r="B48" i="12" s="1"/>
  <c r="C47" i="166" s="1"/>
  <c r="D17" i="2"/>
  <c r="E17" i="2"/>
  <c r="D89" i="2"/>
  <c r="E89" i="2"/>
  <c r="C89" i="2"/>
  <c r="B90" i="12" s="1"/>
  <c r="C89" i="166" s="1"/>
  <c r="D95" i="2"/>
  <c r="D83" i="2"/>
  <c r="E83" i="2"/>
  <c r="D101" i="2"/>
  <c r="E101" i="2"/>
  <c r="C101" i="2"/>
  <c r="B102" i="12" s="1"/>
  <c r="C101" i="166" s="1"/>
  <c r="D8" i="2"/>
  <c r="E8" i="2"/>
  <c r="C8" i="2"/>
  <c r="B9" i="12" s="1"/>
  <c r="C129" i="2"/>
  <c r="B130" i="12" s="1"/>
  <c r="C129" i="166" s="1"/>
  <c r="D145" i="2"/>
  <c r="D147" i="2"/>
  <c r="E147" i="2"/>
  <c r="C147" i="2"/>
  <c r="B148" i="12" s="1"/>
  <c r="C147" i="166" s="1"/>
  <c r="C145" i="2"/>
  <c r="B146" i="12" s="1"/>
  <c r="C145" i="166" s="1"/>
  <c r="E11" i="2"/>
  <c r="D23" i="2"/>
  <c r="E23" i="2"/>
  <c r="D19" i="2"/>
  <c r="E19" i="2"/>
  <c r="C23" i="2"/>
  <c r="B24" i="12" s="1"/>
  <c r="C23" i="166" s="1"/>
  <c r="C19" i="2"/>
  <c r="B20" i="12" s="1"/>
  <c r="C19" i="166" s="1"/>
  <c r="I208" i="12"/>
  <c r="I207" i="166" s="1"/>
  <c r="I145" i="12"/>
  <c r="I144" i="166" s="1"/>
  <c r="I175" i="12"/>
  <c r="I174" i="166" s="1"/>
  <c r="I191" i="12"/>
  <c r="I190" i="166" s="1"/>
  <c r="I185" i="12"/>
  <c r="I184" i="166" s="1"/>
  <c r="I127" i="12"/>
  <c r="I126" i="166" s="1"/>
  <c r="C176" i="2"/>
  <c r="B177" i="12" s="1"/>
  <c r="C176" i="166" s="1"/>
  <c r="C177" i="2"/>
  <c r="B178" i="12" s="1"/>
  <c r="C177" i="166" s="1"/>
  <c r="C179" i="2"/>
  <c r="B180" i="12" s="1"/>
  <c r="C179" i="166" s="1"/>
  <c r="D179" i="2"/>
  <c r="C180" i="2"/>
  <c r="B181" i="12" s="1"/>
  <c r="C180" i="166" s="1"/>
  <c r="C181" i="2"/>
  <c r="B182" i="12" s="1"/>
  <c r="C181" i="166" s="1"/>
  <c r="C183" i="2"/>
  <c r="B184" i="12" s="1"/>
  <c r="C183" i="166" s="1"/>
  <c r="D174" i="2"/>
  <c r="E174" i="2"/>
  <c r="C174" i="2"/>
  <c r="B175" i="12" s="1"/>
  <c r="C174" i="166" s="1"/>
  <c r="I133" i="12"/>
  <c r="I132" i="166" s="1"/>
  <c r="I111" i="12"/>
  <c r="I110" i="166" s="1"/>
  <c r="I57" i="12"/>
  <c r="I56" i="166" s="1"/>
  <c r="I49" i="12"/>
  <c r="I48" i="166" s="1"/>
  <c r="I186" i="12"/>
  <c r="I185" i="166" s="1"/>
  <c r="I147" i="12"/>
  <c r="I146" i="166" s="1"/>
  <c r="I173" i="12"/>
  <c r="I172" i="166" s="1"/>
  <c r="I79" i="12"/>
  <c r="I78" i="166" s="1"/>
  <c r="I172" i="12"/>
  <c r="I171" i="166" s="1"/>
  <c r="I141" i="12"/>
  <c r="I140" i="166" s="1"/>
  <c r="I156" i="12"/>
  <c r="I155" i="166" s="1"/>
  <c r="I120" i="12"/>
  <c r="I119" i="166" s="1"/>
  <c r="I45" i="12"/>
  <c r="I44" i="166" s="1"/>
  <c r="I99" i="12"/>
  <c r="I98" i="166" s="1"/>
  <c r="I205" i="12"/>
  <c r="I204" i="166" s="1"/>
  <c r="I83" i="12"/>
  <c r="I82" i="166" s="1"/>
  <c r="I95" i="12"/>
  <c r="I94" i="166" s="1"/>
  <c r="I39" i="12"/>
  <c r="I38" i="166" s="1"/>
  <c r="I150" i="12"/>
  <c r="I149" i="166" s="1"/>
  <c r="I32" i="12"/>
  <c r="I31" i="166" s="1"/>
  <c r="I44" i="12"/>
  <c r="I43" i="166" s="1"/>
  <c r="I201" i="12"/>
  <c r="I200" i="166" s="1"/>
  <c r="I51" i="12"/>
  <c r="I50" i="166" s="1"/>
  <c r="I93" i="12"/>
  <c r="I92" i="166" s="1"/>
  <c r="I149" i="12"/>
  <c r="I148" i="166" s="1"/>
  <c r="I143" i="12"/>
  <c r="I142" i="166" s="1"/>
  <c r="I108" i="12"/>
  <c r="I107" i="166" s="1"/>
  <c r="I196" i="12"/>
  <c r="I195" i="166" s="1"/>
  <c r="I176" i="12"/>
  <c r="I175" i="166" s="1"/>
  <c r="I76" i="12"/>
  <c r="I75" i="166" s="1"/>
  <c r="I38" i="12"/>
  <c r="I37" i="166" s="1"/>
  <c r="I77" i="12"/>
  <c r="I76" i="166" s="1"/>
  <c r="I46" i="12"/>
  <c r="I45" i="166" s="1"/>
  <c r="I58" i="12"/>
  <c r="I57" i="166" s="1"/>
  <c r="I59" i="12"/>
  <c r="I58" i="166" s="1"/>
  <c r="I140" i="12"/>
  <c r="I139" i="166" s="1"/>
  <c r="I85" i="12"/>
  <c r="I84" i="166" s="1"/>
  <c r="I25" i="12"/>
  <c r="I24" i="166" s="1"/>
  <c r="I166" i="12"/>
  <c r="I165" i="166" s="1"/>
  <c r="I84" i="12"/>
  <c r="I83" i="166" s="1"/>
  <c r="I52" i="12"/>
  <c r="I51" i="166" s="1"/>
  <c r="I110" i="12"/>
  <c r="I109" i="166" s="1"/>
  <c r="I29" i="12"/>
  <c r="I28" i="166" s="1"/>
  <c r="I153" i="12"/>
  <c r="I152" i="166" s="1"/>
  <c r="I35" i="12"/>
  <c r="I34" i="166" s="1"/>
  <c r="I168" i="12"/>
  <c r="I167" i="166" s="1"/>
  <c r="I204" i="12"/>
  <c r="I203" i="166" s="1"/>
  <c r="I48" i="12"/>
  <c r="I47" i="166" s="1"/>
  <c r="I134" i="12"/>
  <c r="I133" i="166" s="1"/>
  <c r="I81" i="12"/>
  <c r="I80" i="166" s="1"/>
  <c r="I181" i="12"/>
  <c r="I180" i="166" s="1"/>
  <c r="I200" i="12"/>
  <c r="I199" i="166" s="1"/>
  <c r="I170" i="12"/>
  <c r="I169" i="166" s="1"/>
  <c r="I130" i="12"/>
  <c r="I129" i="166" s="1"/>
  <c r="I164" i="12"/>
  <c r="I163" i="166" s="1"/>
  <c r="I117" i="12"/>
  <c r="I116" i="166" s="1"/>
  <c r="I122" i="12"/>
  <c r="I121" i="166" s="1"/>
  <c r="I64" i="12"/>
  <c r="I63" i="166" s="1"/>
  <c r="I161" i="12"/>
  <c r="I160" i="166" s="1"/>
  <c r="I174" i="12"/>
  <c r="I173" i="166" s="1"/>
  <c r="I73" i="12"/>
  <c r="I72" i="166" s="1"/>
  <c r="I182" i="12"/>
  <c r="I181" i="166" s="1"/>
  <c r="I203" i="12"/>
  <c r="I202" i="166" s="1"/>
  <c r="I158" i="12"/>
  <c r="I157" i="166" s="1"/>
  <c r="I183" i="12"/>
  <c r="I182" i="166" s="1"/>
  <c r="I192" i="12"/>
  <c r="I191" i="166" s="1"/>
  <c r="I88" i="12"/>
  <c r="I87" i="166" s="1"/>
  <c r="I163" i="12"/>
  <c r="I162" i="166" s="1"/>
  <c r="I119" i="12"/>
  <c r="I118" i="166" s="1"/>
  <c r="I115" i="12"/>
  <c r="I114" i="166" s="1"/>
  <c r="I138" i="12"/>
  <c r="I137" i="166" s="1"/>
  <c r="I87" i="12"/>
  <c r="I86" i="166" s="1"/>
  <c r="I178" i="12"/>
  <c r="I177" i="166" s="1"/>
  <c r="I131" i="12"/>
  <c r="I130" i="166" s="1"/>
  <c r="I27" i="12"/>
  <c r="I26" i="166" s="1"/>
  <c r="I139" i="12"/>
  <c r="I138" i="166" s="1"/>
  <c r="I136" i="12"/>
  <c r="I135" i="166" s="1"/>
  <c r="I114" i="12"/>
  <c r="I113" i="166" s="1"/>
  <c r="I19" i="12"/>
  <c r="I18" i="166" s="1"/>
  <c r="I33" i="12"/>
  <c r="I32" i="166" s="1"/>
  <c r="I23" i="12"/>
  <c r="I22" i="166" s="1"/>
  <c r="I171" i="12"/>
  <c r="I170" i="166" s="1"/>
  <c r="I54" i="12"/>
  <c r="I53" i="166" s="1"/>
  <c r="I165" i="12"/>
  <c r="I164" i="166" s="1"/>
  <c r="A810" i="76"/>
  <c r="A807" i="76"/>
  <c r="A804" i="76"/>
  <c r="A801" i="76"/>
  <c r="A798" i="76"/>
  <c r="A795" i="76"/>
  <c r="A776" i="76"/>
  <c r="A773" i="76"/>
  <c r="A770" i="76"/>
  <c r="A767" i="76"/>
  <c r="A764" i="76"/>
  <c r="A761" i="76"/>
  <c r="A742" i="76"/>
  <c r="A739" i="76"/>
  <c r="A736" i="76"/>
  <c r="A733" i="76"/>
  <c r="A730" i="76"/>
  <c r="A727" i="76"/>
  <c r="A708" i="76"/>
  <c r="A705" i="76"/>
  <c r="A702" i="76"/>
  <c r="A699" i="76"/>
  <c r="A696" i="76"/>
  <c r="A693" i="76"/>
  <c r="A674" i="76"/>
  <c r="A671" i="76"/>
  <c r="A668" i="76"/>
  <c r="A665" i="76"/>
  <c r="A662" i="76"/>
  <c r="A659" i="76"/>
  <c r="A640" i="76"/>
  <c r="A637" i="76"/>
  <c r="A634" i="76"/>
  <c r="A631" i="76"/>
  <c r="A628" i="76"/>
  <c r="A625" i="76"/>
  <c r="A606" i="76"/>
  <c r="A603" i="76"/>
  <c r="A600" i="76"/>
  <c r="A597" i="76"/>
  <c r="A594" i="76"/>
  <c r="A591" i="76"/>
  <c r="A572" i="76"/>
  <c r="A569" i="76"/>
  <c r="A566" i="76"/>
  <c r="A563" i="76"/>
  <c r="A560" i="76"/>
  <c r="A557" i="76"/>
  <c r="A538" i="76"/>
  <c r="A535" i="76"/>
  <c r="A532" i="76"/>
  <c r="A529" i="76"/>
  <c r="A526" i="76"/>
  <c r="A523" i="76"/>
  <c r="A505" i="76"/>
  <c r="A502" i="76"/>
  <c r="A499" i="76"/>
  <c r="A496" i="76"/>
  <c r="A493" i="76"/>
  <c r="A490" i="76"/>
  <c r="D10" i="2"/>
  <c r="E10" i="2"/>
  <c r="C10" i="2"/>
  <c r="D66" i="2"/>
  <c r="E66" i="2"/>
  <c r="C66" i="2"/>
  <c r="B67" i="12" s="1"/>
  <c r="C66" i="166" s="1"/>
  <c r="D90" i="2"/>
  <c r="E90" i="2"/>
  <c r="C90" i="2"/>
  <c r="B91" i="12" s="1"/>
  <c r="C90" i="166" s="1"/>
  <c r="D99" i="2"/>
  <c r="E99" i="2"/>
  <c r="C99" i="2"/>
  <c r="B100" i="12" s="1"/>
  <c r="C99" i="166" s="1"/>
  <c r="D129" i="2"/>
  <c r="E129" i="2"/>
  <c r="D141" i="2"/>
  <c r="E141" i="2"/>
  <c r="C141" i="2"/>
  <c r="B142" i="12" s="1"/>
  <c r="C141" i="166" s="1"/>
  <c r="D114" i="2"/>
  <c r="E114" i="2"/>
  <c r="C114" i="2"/>
  <c r="B115" i="12" s="1"/>
  <c r="C114" i="166" s="1"/>
  <c r="D100" i="2"/>
  <c r="E100" i="2"/>
  <c r="C100" i="2"/>
  <c r="C83" i="2"/>
  <c r="B84" i="12" s="1"/>
  <c r="C83" i="166" s="1"/>
  <c r="D25" i="2"/>
  <c r="E25" i="2"/>
  <c r="C25" i="2"/>
  <c r="B26" i="12" s="1"/>
  <c r="C25" i="166" s="1"/>
  <c r="D13" i="2"/>
  <c r="E13" i="2"/>
  <c r="D7" i="2"/>
  <c r="D18" i="2"/>
  <c r="E18" i="2"/>
  <c r="D12" i="2"/>
  <c r="E12" i="2"/>
  <c r="C12" i="2"/>
  <c r="B13" i="12" s="1"/>
  <c r="C12" i="166" s="1"/>
  <c r="C149" i="2"/>
  <c r="B150" i="12" s="1"/>
  <c r="C149" i="166" s="1"/>
  <c r="C143" i="2"/>
  <c r="C107" i="2"/>
  <c r="B108" i="12" s="1"/>
  <c r="C107" i="166" s="1"/>
  <c r="E95" i="2"/>
  <c r="C95" i="2"/>
  <c r="B96" i="12" s="1"/>
  <c r="C95" i="166" s="1"/>
  <c r="D65" i="2"/>
  <c r="E65" i="2"/>
  <c r="C41" i="2"/>
  <c r="B42" i="12" s="1"/>
  <c r="C41" i="166" s="1"/>
  <c r="D11" i="2"/>
  <c r="D148" i="2"/>
  <c r="E148" i="2"/>
  <c r="C148" i="2"/>
  <c r="B149" i="12" s="1"/>
  <c r="C148" i="166" s="1"/>
  <c r="D142" i="2"/>
  <c r="E142" i="2"/>
  <c r="C142" i="2"/>
  <c r="B143" i="12" s="1"/>
  <c r="C142" i="166" s="1"/>
  <c r="D136" i="2"/>
  <c r="E136" i="2"/>
  <c r="C136" i="2"/>
  <c r="B137" i="12" s="1"/>
  <c r="C136" i="166" s="1"/>
  <c r="D130" i="2"/>
  <c r="E130" i="2"/>
  <c r="C130" i="2"/>
  <c r="B131" i="12" s="1"/>
  <c r="C130" i="166" s="1"/>
  <c r="D124" i="2"/>
  <c r="E124" i="2"/>
  <c r="C124" i="2"/>
  <c r="B125" i="12" s="1"/>
  <c r="C124" i="166" s="1"/>
  <c r="D118" i="2"/>
  <c r="E118" i="2"/>
  <c r="C118" i="2"/>
  <c r="B119" i="12" s="1"/>
  <c r="C118" i="166" s="1"/>
  <c r="D112" i="2"/>
  <c r="E112" i="2"/>
  <c r="C112" i="2"/>
  <c r="B113" i="12" s="1"/>
  <c r="C112" i="166" s="1"/>
  <c r="D106" i="2"/>
  <c r="E106" i="2"/>
  <c r="C106" i="2"/>
  <c r="B107" i="12" s="1"/>
  <c r="C106" i="166" s="1"/>
  <c r="D94" i="2"/>
  <c r="E94" i="2"/>
  <c r="C94" i="2"/>
  <c r="B95" i="12" s="1"/>
  <c r="C94" i="166" s="1"/>
  <c r="D88" i="2"/>
  <c r="E88" i="2"/>
  <c r="C88" i="2"/>
  <c r="B89" i="12" s="1"/>
  <c r="C88" i="166" s="1"/>
  <c r="D82" i="2"/>
  <c r="E82" i="2"/>
  <c r="C82" i="2"/>
  <c r="B83" i="12" s="1"/>
  <c r="C82" i="166" s="1"/>
  <c r="D76" i="2"/>
  <c r="E76" i="2"/>
  <c r="C76" i="2"/>
  <c r="B77" i="12" s="1"/>
  <c r="C76" i="166" s="1"/>
  <c r="D64" i="2"/>
  <c r="E64" i="2"/>
  <c r="C64" i="2"/>
  <c r="B65" i="12" s="1"/>
  <c r="C64" i="166" s="1"/>
  <c r="D58" i="2"/>
  <c r="E58" i="2"/>
  <c r="C58" i="2"/>
  <c r="B59" i="12" s="1"/>
  <c r="C58" i="166" s="1"/>
  <c r="D52" i="2"/>
  <c r="E52" i="2"/>
  <c r="C52" i="2"/>
  <c r="B53" i="12" s="1"/>
  <c r="C52" i="166" s="1"/>
  <c r="C46" i="2"/>
  <c r="B47" i="12" s="1"/>
  <c r="C46" i="166" s="1"/>
  <c r="D40" i="2"/>
  <c r="E40" i="2"/>
  <c r="D41" i="12" s="1"/>
  <c r="D40" i="166" s="1"/>
  <c r="C40" i="2"/>
  <c r="B41" i="12" s="1"/>
  <c r="C40" i="166" s="1"/>
  <c r="E34" i="2"/>
  <c r="C34" i="2"/>
  <c r="B35" i="12" s="1"/>
  <c r="C34" i="166" s="1"/>
  <c r="D28" i="2"/>
  <c r="C28" i="2"/>
  <c r="B29" i="12" s="1"/>
  <c r="C28" i="166" s="1"/>
  <c r="D22" i="2"/>
  <c r="E22" i="2"/>
  <c r="C22" i="2"/>
  <c r="B23" i="12" s="1"/>
  <c r="C22" i="166" s="1"/>
  <c r="D135" i="2"/>
  <c r="E135" i="2"/>
  <c r="C135" i="2"/>
  <c r="B136" i="12" s="1"/>
  <c r="C135" i="166" s="1"/>
  <c r="D123" i="2"/>
  <c r="E123" i="2"/>
  <c r="C123" i="2"/>
  <c r="B124" i="12" s="1"/>
  <c r="C123" i="166" s="1"/>
  <c r="D117" i="2"/>
  <c r="E117" i="2"/>
  <c r="C117" i="2"/>
  <c r="B118" i="12" s="1"/>
  <c r="C117" i="166" s="1"/>
  <c r="D111" i="2"/>
  <c r="E111" i="2"/>
  <c r="C111" i="2"/>
  <c r="B112" i="12" s="1"/>
  <c r="C111" i="166" s="1"/>
  <c r="D105" i="2"/>
  <c r="E105" i="2"/>
  <c r="C105" i="2"/>
  <c r="B106" i="12" s="1"/>
  <c r="C105" i="166" s="1"/>
  <c r="D93" i="2"/>
  <c r="E93" i="2"/>
  <c r="C93" i="2"/>
  <c r="B94" i="12" s="1"/>
  <c r="C93" i="166" s="1"/>
  <c r="D87" i="2"/>
  <c r="E87" i="2"/>
  <c r="C87" i="2"/>
  <c r="B88" i="12" s="1"/>
  <c r="C87" i="166" s="1"/>
  <c r="D81" i="2"/>
  <c r="E81" i="2"/>
  <c r="C81" i="2"/>
  <c r="B82" i="12" s="1"/>
  <c r="C81" i="166" s="1"/>
  <c r="D69" i="2"/>
  <c r="E69" i="2"/>
  <c r="C69" i="2"/>
  <c r="B70" i="12" s="1"/>
  <c r="C69" i="166" s="1"/>
  <c r="D63" i="2"/>
  <c r="E63" i="2"/>
  <c r="C63" i="2"/>
  <c r="B64" i="12" s="1"/>
  <c r="C63" i="166" s="1"/>
  <c r="D57" i="2"/>
  <c r="E57" i="2"/>
  <c r="C57" i="2"/>
  <c r="B58" i="12" s="1"/>
  <c r="C57" i="166" s="1"/>
  <c r="D51" i="2"/>
  <c r="E51" i="2"/>
  <c r="C51" i="2"/>
  <c r="B52" i="12" s="1"/>
  <c r="C51" i="166" s="1"/>
  <c r="D45" i="2"/>
  <c r="E45" i="2"/>
  <c r="C45" i="2"/>
  <c r="B46" i="12" s="1"/>
  <c r="C45" i="166" s="1"/>
  <c r="D39" i="2"/>
  <c r="E39" i="2"/>
  <c r="C39" i="2"/>
  <c r="B40" i="12" s="1"/>
  <c r="C39" i="166" s="1"/>
  <c r="D33" i="2"/>
  <c r="E33" i="2"/>
  <c r="C33" i="2"/>
  <c r="B34" i="12" s="1"/>
  <c r="C33" i="166" s="1"/>
  <c r="D27" i="2"/>
  <c r="E27" i="2"/>
  <c r="C27" i="2"/>
  <c r="B28" i="12" s="1"/>
  <c r="C27" i="166" s="1"/>
  <c r="D21" i="2"/>
  <c r="E21" i="2"/>
  <c r="C21" i="2"/>
  <c r="B22" i="12" s="1"/>
  <c r="C21" i="166" s="1"/>
  <c r="D15" i="2"/>
  <c r="E15" i="2"/>
  <c r="D9" i="2"/>
  <c r="E9" i="2"/>
  <c r="C9" i="2"/>
  <c r="B10" i="12" s="1"/>
  <c r="C132" i="2"/>
  <c r="B133" i="12" s="1"/>
  <c r="C132" i="166" s="1"/>
  <c r="D108" i="2"/>
  <c r="E108" i="2"/>
  <c r="C108" i="2"/>
  <c r="B109" i="12" s="1"/>
  <c r="C108" i="166" s="1"/>
  <c r="D102" i="2"/>
  <c r="E102" i="2"/>
  <c r="C102" i="2"/>
  <c r="B103" i="12" s="1"/>
  <c r="C102" i="166" s="1"/>
  <c r="D96" i="2"/>
  <c r="E96" i="2"/>
  <c r="C96" i="2"/>
  <c r="B97" i="12" s="1"/>
  <c r="C96" i="166" s="1"/>
  <c r="D84" i="2"/>
  <c r="E84" i="2"/>
  <c r="C84" i="2"/>
  <c r="B85" i="12" s="1"/>
  <c r="C84" i="166" s="1"/>
  <c r="D78" i="2"/>
  <c r="E78" i="2"/>
  <c r="C78" i="2"/>
  <c r="B79" i="12" s="1"/>
  <c r="C78" i="166" s="1"/>
  <c r="D72" i="2"/>
  <c r="E72" i="2"/>
  <c r="C72" i="2"/>
  <c r="B73" i="12" s="1"/>
  <c r="C72" i="166" s="1"/>
  <c r="D60" i="2"/>
  <c r="E60" i="2"/>
  <c r="C60" i="2"/>
  <c r="B61" i="12" s="1"/>
  <c r="C60" i="166" s="1"/>
  <c r="D48" i="2"/>
  <c r="E48" i="2"/>
  <c r="D49" i="12" s="1"/>
  <c r="D48" i="166" s="1"/>
  <c r="C48" i="2"/>
  <c r="B49" i="12" s="1"/>
  <c r="C48" i="166" s="1"/>
  <c r="D42" i="2"/>
  <c r="E42" i="2"/>
  <c r="C42" i="2"/>
  <c r="B43" i="12" s="1"/>
  <c r="C42" i="166" s="1"/>
  <c r="D36" i="2"/>
  <c r="E36" i="2"/>
  <c r="C36" i="2"/>
  <c r="B37" i="12" s="1"/>
  <c r="C36" i="166" s="1"/>
  <c r="D30" i="2"/>
  <c r="E30" i="2"/>
  <c r="C30" i="2"/>
  <c r="B31" i="12" s="1"/>
  <c r="C30" i="166" s="1"/>
  <c r="D146" i="2"/>
  <c r="E146" i="2"/>
  <c r="C146" i="2"/>
  <c r="B147" i="12" s="1"/>
  <c r="C146" i="166" s="1"/>
  <c r="D140" i="2"/>
  <c r="E140" i="2"/>
  <c r="C140" i="2"/>
  <c r="D134" i="2"/>
  <c r="E134" i="2"/>
  <c r="C134" i="2"/>
  <c r="B135" i="12" s="1"/>
  <c r="C134" i="166" s="1"/>
  <c r="D128" i="2"/>
  <c r="E128" i="2"/>
  <c r="C128" i="2"/>
  <c r="B129" i="12" s="1"/>
  <c r="C128" i="166" s="1"/>
  <c r="D122" i="2"/>
  <c r="E122" i="2"/>
  <c r="C122" i="2"/>
  <c r="B123" i="12" s="1"/>
  <c r="C122" i="166" s="1"/>
  <c r="D116" i="2"/>
  <c r="E116" i="2"/>
  <c r="C116" i="2"/>
  <c r="B117" i="12" s="1"/>
  <c r="C116" i="166" s="1"/>
  <c r="D110" i="2"/>
  <c r="E110" i="2"/>
  <c r="C110" i="2"/>
  <c r="B111" i="12" s="1"/>
  <c r="C110" i="166" s="1"/>
  <c r="D104" i="2"/>
  <c r="E104" i="2"/>
  <c r="C104" i="2"/>
  <c r="B105" i="12" s="1"/>
  <c r="C104" i="166" s="1"/>
  <c r="D98" i="2"/>
  <c r="E98" i="2"/>
  <c r="C98" i="2"/>
  <c r="B99" i="12" s="1"/>
  <c r="C98" i="166" s="1"/>
  <c r="D92" i="2"/>
  <c r="E92" i="2"/>
  <c r="C92" i="2"/>
  <c r="B93" i="12" s="1"/>
  <c r="C92" i="166" s="1"/>
  <c r="D86" i="2"/>
  <c r="E86" i="2"/>
  <c r="C86" i="2"/>
  <c r="B87" i="12" s="1"/>
  <c r="C86" i="166" s="1"/>
  <c r="D80" i="2"/>
  <c r="E80" i="2"/>
  <c r="C80" i="2"/>
  <c r="B81" i="12" s="1"/>
  <c r="C80" i="166" s="1"/>
  <c r="D74" i="2"/>
  <c r="E74" i="2"/>
  <c r="C74" i="2"/>
  <c r="B75" i="12" s="1"/>
  <c r="C74" i="166" s="1"/>
  <c r="D68" i="2"/>
  <c r="E68" i="2"/>
  <c r="C68" i="2"/>
  <c r="B69" i="12" s="1"/>
  <c r="C68" i="166" s="1"/>
  <c r="D56" i="2"/>
  <c r="E56" i="2"/>
  <c r="C56" i="2"/>
  <c r="B57" i="12" s="1"/>
  <c r="C56" i="166" s="1"/>
  <c r="D44" i="2"/>
  <c r="E44" i="2"/>
  <c r="C44" i="2"/>
  <c r="B45" i="12" s="1"/>
  <c r="C44" i="166" s="1"/>
  <c r="D38" i="2"/>
  <c r="E38" i="2"/>
  <c r="C38" i="2"/>
  <c r="B39" i="12" s="1"/>
  <c r="C38" i="166" s="1"/>
  <c r="D32" i="2"/>
  <c r="E32" i="2"/>
  <c r="C32" i="2"/>
  <c r="B33" i="12" s="1"/>
  <c r="C32" i="166" s="1"/>
  <c r="D26" i="2"/>
  <c r="E26" i="2"/>
  <c r="C26" i="2"/>
  <c r="B27" i="12" s="1"/>
  <c r="C26" i="166" s="1"/>
  <c r="D20" i="2"/>
  <c r="E20" i="2"/>
  <c r="C20" i="2"/>
  <c r="B21" i="12" s="1"/>
  <c r="C20" i="166" s="1"/>
  <c r="D14" i="2"/>
  <c r="E14" i="2"/>
  <c r="E145" i="2"/>
  <c r="D139" i="2"/>
  <c r="E139" i="2"/>
  <c r="C139" i="2"/>
  <c r="B140" i="12" s="1"/>
  <c r="C139" i="166" s="1"/>
  <c r="D133" i="2"/>
  <c r="E133" i="2"/>
  <c r="C133" i="2"/>
  <c r="B134" i="12" s="1"/>
  <c r="C133" i="166" s="1"/>
  <c r="D127" i="2"/>
  <c r="E127" i="2"/>
  <c r="C127" i="2"/>
  <c r="B128" i="12" s="1"/>
  <c r="C127" i="166" s="1"/>
  <c r="D121" i="2"/>
  <c r="E121" i="2"/>
  <c r="C121" i="2"/>
  <c r="B122" i="12" s="1"/>
  <c r="C121" i="166" s="1"/>
  <c r="D115" i="2"/>
  <c r="E115" i="2"/>
  <c r="C115" i="2"/>
  <c r="B116" i="12" s="1"/>
  <c r="C115" i="166" s="1"/>
  <c r="D109" i="2"/>
  <c r="E109" i="2"/>
  <c r="C109" i="2"/>
  <c r="B110" i="12" s="1"/>
  <c r="C109" i="166" s="1"/>
  <c r="D103" i="2"/>
  <c r="E103" i="2"/>
  <c r="C103" i="2"/>
  <c r="B104" i="12" s="1"/>
  <c r="C103" i="166" s="1"/>
  <c r="D97" i="2"/>
  <c r="E97" i="2"/>
  <c r="C97" i="2"/>
  <c r="B98" i="12" s="1"/>
  <c r="C97" i="166" s="1"/>
  <c r="D91" i="2"/>
  <c r="E91" i="2"/>
  <c r="C91" i="2"/>
  <c r="B92" i="12" s="1"/>
  <c r="C91" i="166" s="1"/>
  <c r="D85" i="2"/>
  <c r="E85" i="2"/>
  <c r="C85" i="2"/>
  <c r="B86" i="12" s="1"/>
  <c r="C85" i="166" s="1"/>
  <c r="D79" i="2"/>
  <c r="E79" i="2"/>
  <c r="C79" i="2"/>
  <c r="B80" i="12" s="1"/>
  <c r="C79" i="166" s="1"/>
  <c r="D73" i="2"/>
  <c r="E73" i="2"/>
  <c r="C73" i="2"/>
  <c r="B74" i="12" s="1"/>
  <c r="C73" i="166" s="1"/>
  <c r="D67" i="2"/>
  <c r="E67" i="2"/>
  <c r="C67" i="2"/>
  <c r="B68" i="12" s="1"/>
  <c r="C67" i="166" s="1"/>
  <c r="D61" i="2"/>
  <c r="E61" i="2"/>
  <c r="C61" i="2"/>
  <c r="B62" i="12" s="1"/>
  <c r="C61" i="166" s="1"/>
  <c r="D55" i="2"/>
  <c r="E55" i="2"/>
  <c r="C55" i="2"/>
  <c r="B56" i="12" s="1"/>
  <c r="C55" i="166" s="1"/>
  <c r="D49" i="2"/>
  <c r="E49" i="2"/>
  <c r="C49" i="2"/>
  <c r="B50" i="12" s="1"/>
  <c r="C49" i="166" s="1"/>
  <c r="D43" i="2"/>
  <c r="E43" i="2"/>
  <c r="C43" i="2"/>
  <c r="B44" i="12" s="1"/>
  <c r="C43" i="166" s="1"/>
  <c r="D37" i="2"/>
  <c r="E37" i="2"/>
  <c r="C37" i="2"/>
  <c r="B38" i="12" s="1"/>
  <c r="C37" i="166" s="1"/>
  <c r="D31" i="2"/>
  <c r="E31" i="2"/>
  <c r="C31" i="2"/>
  <c r="B32" i="12" s="1"/>
  <c r="C31" i="166" s="1"/>
  <c r="I198" i="12"/>
  <c r="I197" i="166" s="1"/>
  <c r="I34" i="12"/>
  <c r="I33" i="166" s="1"/>
  <c r="I146" i="12"/>
  <c r="I145" i="166" s="1"/>
  <c r="I10" i="12"/>
  <c r="I98" i="12"/>
  <c r="I97" i="166" s="1"/>
  <c r="I123" i="12"/>
  <c r="I122" i="166" s="1"/>
  <c r="I101" i="12"/>
  <c r="I100" i="166" s="1"/>
  <c r="I113" i="12"/>
  <c r="I112" i="166" s="1"/>
  <c r="I63" i="12"/>
  <c r="I62" i="166" s="1"/>
  <c r="I202" i="12"/>
  <c r="I201" i="166" s="1"/>
  <c r="I197" i="12"/>
  <c r="I196" i="166" s="1"/>
  <c r="I67" i="12"/>
  <c r="I66" i="166" s="1"/>
  <c r="I72" i="12"/>
  <c r="I71" i="166" s="1"/>
  <c r="I144" i="12"/>
  <c r="I143" i="166" s="1"/>
  <c r="I80" i="12"/>
  <c r="I79" i="166" s="1"/>
  <c r="I74" i="12"/>
  <c r="I73" i="166" s="1"/>
  <c r="I135" i="12"/>
  <c r="I134" i="166" s="1"/>
  <c r="I16" i="12"/>
  <c r="I15" i="166" s="1"/>
  <c r="I47" i="12"/>
  <c r="I46" i="166" s="1"/>
  <c r="I90" i="12"/>
  <c r="I89" i="166" s="1"/>
  <c r="I97" i="12"/>
  <c r="I96" i="166" s="1"/>
  <c r="I61" i="12"/>
  <c r="I60" i="166" s="1"/>
  <c r="I17" i="12"/>
  <c r="I16" i="166" s="1"/>
  <c r="I66" i="12"/>
  <c r="I65" i="166" s="1"/>
  <c r="I177" i="12"/>
  <c r="I176" i="166" s="1"/>
  <c r="I62" i="12"/>
  <c r="I61" i="166" s="1"/>
  <c r="I148" i="12"/>
  <c r="I147" i="166" s="1"/>
  <c r="I60" i="12"/>
  <c r="I59" i="166" s="1"/>
  <c r="I8" i="12"/>
  <c r="I40" i="12"/>
  <c r="I39" i="166" s="1"/>
  <c r="I15" i="12"/>
  <c r="I14" i="166" s="1"/>
  <c r="I41" i="12"/>
  <c r="I40" i="166" s="1"/>
  <c r="I89" i="12"/>
  <c r="I88" i="166" s="1"/>
  <c r="I128" i="12"/>
  <c r="I127" i="166" s="1"/>
  <c r="I106" i="12"/>
  <c r="I105" i="166" s="1"/>
  <c r="I92" i="12"/>
  <c r="I91" i="166" s="1"/>
  <c r="I160" i="12"/>
  <c r="I159" i="166" s="1"/>
  <c r="I126" i="12"/>
  <c r="I125" i="166" s="1"/>
  <c r="I157" i="12"/>
  <c r="I156" i="166" s="1"/>
  <c r="I68" i="12"/>
  <c r="I67" i="166" s="1"/>
  <c r="I82" i="12"/>
  <c r="I81" i="166" s="1"/>
  <c r="I118" i="12"/>
  <c r="I117" i="166" s="1"/>
  <c r="I71" i="12"/>
  <c r="I70" i="166" s="1"/>
  <c r="I154" i="12"/>
  <c r="I153" i="166" s="1"/>
  <c r="I167" i="12"/>
  <c r="I166" i="166" s="1"/>
  <c r="I36" i="12"/>
  <c r="I35" i="166" s="1"/>
  <c r="I109" i="12"/>
  <c r="I108" i="166" s="1"/>
  <c r="I55" i="12"/>
  <c r="I54" i="166" s="1"/>
  <c r="I121" i="12"/>
  <c r="I120" i="166" s="1"/>
  <c r="I207" i="12"/>
  <c r="I206" i="166" s="1"/>
  <c r="I30" i="12"/>
  <c r="I29" i="166" s="1"/>
  <c r="I43" i="12"/>
  <c r="I42" i="166" s="1"/>
  <c r="I37" i="12"/>
  <c r="I36" i="166" s="1"/>
  <c r="I24" i="12"/>
  <c r="I23" i="166" s="1"/>
  <c r="I21" i="12"/>
  <c r="I20" i="166" s="1"/>
  <c r="I14" i="12"/>
  <c r="I13" i="166" s="1"/>
  <c r="I96" i="12"/>
  <c r="I95" i="166" s="1"/>
  <c r="I129" i="12"/>
  <c r="I128" i="166" s="1"/>
  <c r="I104" i="12"/>
  <c r="I103" i="166" s="1"/>
  <c r="I190" i="12"/>
  <c r="I189" i="166" s="1"/>
  <c r="I105" i="12"/>
  <c r="I104" i="166" s="1"/>
  <c r="I152" i="12"/>
  <c r="I151" i="166" s="1"/>
  <c r="I199" i="12"/>
  <c r="I198" i="166" s="1"/>
  <c r="I28" i="12"/>
  <c r="I27" i="166" s="1"/>
  <c r="I18" i="12"/>
  <c r="I17" i="166" s="1"/>
  <c r="I107" i="12"/>
  <c r="I106" i="166" s="1"/>
  <c r="I12" i="12"/>
  <c r="I13" i="12"/>
  <c r="I12" i="166" s="1"/>
  <c r="I22" i="12"/>
  <c r="I21" i="166" s="1"/>
  <c r="I102" i="12"/>
  <c r="I101" i="166" s="1"/>
  <c r="I180" i="12"/>
  <c r="I179" i="166" s="1"/>
  <c r="I11" i="12"/>
  <c r="I31" i="12"/>
  <c r="I30" i="166" s="1"/>
  <c r="I151" i="12"/>
  <c r="I150" i="166" s="1"/>
  <c r="I70" i="12"/>
  <c r="I69" i="166" s="1"/>
  <c r="I65" i="12"/>
  <c r="I64" i="166" s="1"/>
  <c r="I42" i="12"/>
  <c r="I41" i="166" s="1"/>
  <c r="I100" i="12"/>
  <c r="I99" i="166" s="1"/>
  <c r="I124" i="12"/>
  <c r="I123" i="166" s="1"/>
  <c r="I75" i="12"/>
  <c r="I74" i="166" s="1"/>
  <c r="I91" i="12"/>
  <c r="I90" i="166" s="1"/>
  <c r="I53" i="12"/>
  <c r="I52" i="166" s="1"/>
  <c r="I56" i="12"/>
  <c r="I55" i="166" s="1"/>
  <c r="I78" i="12"/>
  <c r="I77" i="166" s="1"/>
  <c r="I142" i="12"/>
  <c r="I141" i="166" s="1"/>
  <c r="A42" i="76"/>
  <c r="A45" i="76"/>
  <c r="A48" i="76"/>
  <c r="A51" i="76"/>
  <c r="A54" i="76"/>
  <c r="A57" i="76"/>
  <c r="A74" i="76"/>
  <c r="A77" i="76"/>
  <c r="A80" i="76"/>
  <c r="A83" i="76"/>
  <c r="A86" i="76"/>
  <c r="A89" i="76"/>
  <c r="A106" i="76"/>
  <c r="A109" i="76"/>
  <c r="A112" i="76"/>
  <c r="A115" i="76"/>
  <c r="A118" i="76"/>
  <c r="A121" i="76"/>
  <c r="A138" i="76"/>
  <c r="A141" i="76"/>
  <c r="A144" i="76"/>
  <c r="A147" i="76"/>
  <c r="A150" i="76"/>
  <c r="A153" i="76"/>
  <c r="A170" i="76"/>
  <c r="A173" i="76"/>
  <c r="A176" i="76"/>
  <c r="A179" i="76"/>
  <c r="A182" i="76"/>
  <c r="A185" i="76"/>
  <c r="A202" i="76"/>
  <c r="A205" i="76"/>
  <c r="A208" i="76"/>
  <c r="A211" i="76"/>
  <c r="A214" i="76"/>
  <c r="A217" i="76"/>
  <c r="A234" i="76"/>
  <c r="A237" i="76"/>
  <c r="A240" i="76"/>
  <c r="A243" i="76"/>
  <c r="A246" i="76"/>
  <c r="A249" i="76"/>
  <c r="A266" i="76"/>
  <c r="A269" i="76"/>
  <c r="A272" i="76"/>
  <c r="A275" i="76"/>
  <c r="A278" i="76"/>
  <c r="A281" i="76"/>
  <c r="A298" i="76"/>
  <c r="A301" i="76"/>
  <c r="A304" i="76"/>
  <c r="A307" i="76"/>
  <c r="A310" i="76"/>
  <c r="A313" i="76"/>
  <c r="A330" i="76"/>
  <c r="A333" i="76"/>
  <c r="A336" i="76"/>
  <c r="A339" i="76"/>
  <c r="A342" i="76"/>
  <c r="A345" i="76"/>
  <c r="A362" i="76"/>
  <c r="A365" i="76"/>
  <c r="A368" i="76"/>
  <c r="A371" i="76"/>
  <c r="A374" i="76"/>
  <c r="A377" i="76"/>
  <c r="A394" i="76"/>
  <c r="A397" i="76"/>
  <c r="A400" i="76"/>
  <c r="A403" i="76"/>
  <c r="A406" i="76"/>
  <c r="A409" i="76"/>
  <c r="A426" i="76"/>
  <c r="A429" i="76"/>
  <c r="A432" i="76"/>
  <c r="A435" i="76"/>
  <c r="A438" i="76"/>
  <c r="A441" i="76"/>
  <c r="A458" i="76"/>
  <c r="A461" i="76"/>
  <c r="A464" i="76"/>
  <c r="A467" i="76"/>
  <c r="A470" i="76"/>
  <c r="A473" i="76"/>
  <c r="E28" i="2"/>
  <c r="D34" i="2"/>
  <c r="D46" i="2"/>
  <c r="E46" i="2"/>
  <c r="D29" i="12" l="1"/>
  <c r="D28" i="166" s="1"/>
  <c r="D38" i="12"/>
  <c r="D37" i="166" s="1"/>
  <c r="D62" i="12"/>
  <c r="D61" i="166" s="1"/>
  <c r="D86" i="12"/>
  <c r="D85" i="166" s="1"/>
  <c r="D110" i="12"/>
  <c r="D109" i="166" s="1"/>
  <c r="D134" i="12"/>
  <c r="D133" i="166" s="1"/>
  <c r="D27" i="12"/>
  <c r="D26" i="166" s="1"/>
  <c r="D57" i="12"/>
  <c r="D56" i="166" s="1"/>
  <c r="D87" i="12"/>
  <c r="D86" i="166" s="1"/>
  <c r="D111" i="12"/>
  <c r="D110" i="166" s="1"/>
  <c r="D135" i="12"/>
  <c r="D134" i="166" s="1"/>
  <c r="D37" i="12"/>
  <c r="D36" i="166" s="1"/>
  <c r="D73" i="12"/>
  <c r="D72" i="166" s="1"/>
  <c r="D103" i="12"/>
  <c r="D102" i="166" s="1"/>
  <c r="D22" i="12"/>
  <c r="D21" i="166" s="1"/>
  <c r="D46" i="12"/>
  <c r="D45" i="166" s="1"/>
  <c r="D70" i="12"/>
  <c r="D69" i="166" s="1"/>
  <c r="D106" i="12"/>
  <c r="D105" i="166" s="1"/>
  <c r="D136" i="12"/>
  <c r="D135" i="166" s="1"/>
  <c r="D35" i="12"/>
  <c r="D34" i="166" s="1"/>
  <c r="D65" i="12"/>
  <c r="D64" i="166" s="1"/>
  <c r="D95" i="12"/>
  <c r="D94" i="166" s="1"/>
  <c r="D125" i="12"/>
  <c r="D124" i="166" s="1"/>
  <c r="D149" i="12"/>
  <c r="D148" i="166" s="1"/>
  <c r="D66" i="12"/>
  <c r="D65" i="166" s="1"/>
  <c r="D13" i="12"/>
  <c r="D12" i="166" s="1"/>
  <c r="D26" i="12"/>
  <c r="D25" i="166" s="1"/>
  <c r="D101" i="12"/>
  <c r="D100" i="166" s="1"/>
  <c r="D130" i="12"/>
  <c r="D129" i="166" s="1"/>
  <c r="D11" i="12"/>
  <c r="D10" i="166" s="1"/>
  <c r="D20" i="12"/>
  <c r="D19" i="166" s="1"/>
  <c r="D12" i="12"/>
  <c r="D9" i="166" s="1"/>
  <c r="D9" i="12"/>
  <c r="D36" i="12"/>
  <c r="D35" i="166" s="1"/>
  <c r="D54" i="12"/>
  <c r="D53" i="166" s="1"/>
  <c r="D126" i="12"/>
  <c r="D125" i="166" s="1"/>
  <c r="D138" i="12"/>
  <c r="D137" i="166" s="1"/>
  <c r="D144" i="12"/>
  <c r="D143" i="166" s="1"/>
  <c r="D127" i="12"/>
  <c r="D126" i="166" s="1"/>
  <c r="D145" i="12"/>
  <c r="D144" i="166" s="1"/>
  <c r="D51" i="12"/>
  <c r="D50" i="166" s="1"/>
  <c r="D47" i="12"/>
  <c r="D46" i="166" s="1"/>
  <c r="D32" i="12"/>
  <c r="D31" i="166" s="1"/>
  <c r="D56" i="12"/>
  <c r="D55" i="166" s="1"/>
  <c r="D80" i="12"/>
  <c r="D79" i="166" s="1"/>
  <c r="D104" i="12"/>
  <c r="D103" i="166" s="1"/>
  <c r="D128" i="12"/>
  <c r="D127" i="166" s="1"/>
  <c r="D146" i="12"/>
  <c r="D145" i="166" s="1"/>
  <c r="D21" i="12"/>
  <c r="D20" i="166" s="1"/>
  <c r="D45" i="12"/>
  <c r="D44" i="166" s="1"/>
  <c r="D81" i="12"/>
  <c r="D80" i="166" s="1"/>
  <c r="D105" i="12"/>
  <c r="D104" i="166" s="1"/>
  <c r="D129" i="12"/>
  <c r="D128" i="166" s="1"/>
  <c r="D31" i="12"/>
  <c r="D30" i="166" s="1"/>
  <c r="D61" i="12"/>
  <c r="D60" i="166" s="1"/>
  <c r="D97" i="12"/>
  <c r="D96" i="166" s="1"/>
  <c r="D16" i="12"/>
  <c r="D15" i="166" s="1"/>
  <c r="D40" i="12"/>
  <c r="D39" i="166" s="1"/>
  <c r="D64" i="12"/>
  <c r="D63" i="166" s="1"/>
  <c r="D94" i="12"/>
  <c r="D93" i="166" s="1"/>
  <c r="D124" i="12"/>
  <c r="D123" i="166" s="1"/>
  <c r="D59" i="12"/>
  <c r="D58" i="166" s="1"/>
  <c r="D89" i="12"/>
  <c r="D88" i="166" s="1"/>
  <c r="D119" i="12"/>
  <c r="D118" i="166" s="1"/>
  <c r="D143" i="12"/>
  <c r="D142" i="166" s="1"/>
  <c r="B144" i="12"/>
  <c r="C143" i="166" s="1"/>
  <c r="D14" i="12"/>
  <c r="D13" i="166" s="1"/>
  <c r="D67" i="12"/>
  <c r="D66" i="166" s="1"/>
  <c r="D84" i="12"/>
  <c r="D83" i="166" s="1"/>
  <c r="D90" i="12"/>
  <c r="D89" i="166" s="1"/>
  <c r="D30" i="12"/>
  <c r="D29" i="166" s="1"/>
  <c r="D42" i="12"/>
  <c r="D41" i="166" s="1"/>
  <c r="D78" i="12"/>
  <c r="D77" i="166" s="1"/>
  <c r="D120" i="12"/>
  <c r="D119" i="166" s="1"/>
  <c r="D17" i="12"/>
  <c r="D16" i="166" s="1"/>
  <c r="D121" i="12"/>
  <c r="D120" i="166" s="1"/>
  <c r="B76" i="12"/>
  <c r="C75" i="166" s="1"/>
  <c r="D71" i="12"/>
  <c r="D70" i="166" s="1"/>
  <c r="D50" i="12"/>
  <c r="D49" i="166" s="1"/>
  <c r="D74" i="12"/>
  <c r="D73" i="166" s="1"/>
  <c r="D98" i="12"/>
  <c r="D97" i="166" s="1"/>
  <c r="D122" i="12"/>
  <c r="D121" i="166" s="1"/>
  <c r="D15" i="12"/>
  <c r="D14" i="166" s="1"/>
  <c r="D39" i="12"/>
  <c r="D38" i="166" s="1"/>
  <c r="D75" i="12"/>
  <c r="D74" i="166" s="1"/>
  <c r="D99" i="12"/>
  <c r="D98" i="166" s="1"/>
  <c r="D123" i="12"/>
  <c r="D122" i="166" s="1"/>
  <c r="B141" i="12"/>
  <c r="C140" i="166" s="1"/>
  <c r="D147" i="12"/>
  <c r="D146" i="166" s="1"/>
  <c r="D85" i="12"/>
  <c r="D84" i="166" s="1"/>
  <c r="D34" i="12"/>
  <c r="D33" i="166" s="1"/>
  <c r="D58" i="12"/>
  <c r="D57" i="166" s="1"/>
  <c r="D88" i="12"/>
  <c r="D87" i="166" s="1"/>
  <c r="D118" i="12"/>
  <c r="D117" i="166" s="1"/>
  <c r="D53" i="12"/>
  <c r="D52" i="166" s="1"/>
  <c r="D83" i="12"/>
  <c r="D82" i="166" s="1"/>
  <c r="D113" i="12"/>
  <c r="D112" i="166" s="1"/>
  <c r="D137" i="12"/>
  <c r="D136" i="166" s="1"/>
  <c r="D19" i="12"/>
  <c r="D18" i="166" s="1"/>
  <c r="D142" i="12"/>
  <c r="D141" i="166" s="1"/>
  <c r="D91" i="12"/>
  <c r="D90" i="166" s="1"/>
  <c r="D24" i="12"/>
  <c r="D23" i="166" s="1"/>
  <c r="D48" i="12"/>
  <c r="D47" i="166" s="1"/>
  <c r="D63" i="12"/>
  <c r="D62" i="166" s="1"/>
  <c r="D72" i="12"/>
  <c r="D71" i="166" s="1"/>
  <c r="D114" i="12"/>
  <c r="D113" i="166" s="1"/>
  <c r="D150" i="12"/>
  <c r="D149" i="166" s="1"/>
  <c r="D25" i="12"/>
  <c r="D24" i="166" s="1"/>
  <c r="D133" i="12"/>
  <c r="D132" i="166" s="1"/>
  <c r="D76" i="12"/>
  <c r="D75" i="166" s="1"/>
  <c r="D44" i="12"/>
  <c r="D43" i="166" s="1"/>
  <c r="D68" i="12"/>
  <c r="D67" i="166" s="1"/>
  <c r="D92" i="12"/>
  <c r="D91" i="166" s="1"/>
  <c r="D116" i="12"/>
  <c r="D115" i="166" s="1"/>
  <c r="D140" i="12"/>
  <c r="D139" i="166" s="1"/>
  <c r="D33" i="12"/>
  <c r="D32" i="166" s="1"/>
  <c r="D69" i="12"/>
  <c r="D68" i="166" s="1"/>
  <c r="D93" i="12"/>
  <c r="D92" i="166" s="1"/>
  <c r="D117" i="12"/>
  <c r="D116" i="166" s="1"/>
  <c r="D141" i="12"/>
  <c r="D140" i="166" s="1"/>
  <c r="D43" i="12"/>
  <c r="D42" i="166" s="1"/>
  <c r="D79" i="12"/>
  <c r="D78" i="166" s="1"/>
  <c r="D109" i="12"/>
  <c r="D108" i="166" s="1"/>
  <c r="D10" i="12"/>
  <c r="D28" i="12"/>
  <c r="D27" i="166" s="1"/>
  <c r="D52" i="12"/>
  <c r="D51" i="166" s="1"/>
  <c r="D82" i="12"/>
  <c r="D81" i="166" s="1"/>
  <c r="D112" i="12"/>
  <c r="D111" i="166" s="1"/>
  <c r="D23" i="12"/>
  <c r="D22" i="166" s="1"/>
  <c r="D77" i="12"/>
  <c r="D76" i="166" s="1"/>
  <c r="D107" i="12"/>
  <c r="D106" i="166" s="1"/>
  <c r="D131" i="12"/>
  <c r="D130" i="166" s="1"/>
  <c r="D96" i="12"/>
  <c r="D95" i="166" s="1"/>
  <c r="B101" i="12"/>
  <c r="C100" i="166" s="1"/>
  <c r="D115" i="12"/>
  <c r="D114" i="166" s="1"/>
  <c r="D100" i="12"/>
  <c r="D99" i="166" s="1"/>
  <c r="D175" i="12"/>
  <c r="D174" i="166" s="1"/>
  <c r="D148" i="12"/>
  <c r="D147" i="166" s="1"/>
  <c r="D102" i="12"/>
  <c r="D101" i="166" s="1"/>
  <c r="D18" i="12"/>
  <c r="D17" i="166" s="1"/>
  <c r="D167" i="12"/>
  <c r="D166" i="166" s="1"/>
  <c r="D60" i="12"/>
  <c r="D59" i="166" s="1"/>
  <c r="D108" i="12"/>
  <c r="D107" i="166" s="1"/>
  <c r="D132" i="12"/>
  <c r="D131" i="166" s="1"/>
  <c r="D162" i="12"/>
  <c r="D161" i="166" s="1"/>
  <c r="D151" i="12"/>
  <c r="D150" i="166" s="1"/>
  <c r="D154" i="12"/>
  <c r="D153" i="166" s="1"/>
  <c r="D55" i="12"/>
  <c r="D54" i="166" s="1"/>
  <c r="B20" i="76"/>
  <c r="B11" i="12"/>
  <c r="B496" i="169"/>
  <c r="B499" i="170"/>
  <c r="B493" i="168"/>
  <c r="B182" i="170"/>
  <c r="B179" i="169"/>
  <c r="B176" i="168"/>
  <c r="B634" i="169"/>
  <c r="B631" i="168"/>
  <c r="B637" i="170"/>
  <c r="B770" i="169"/>
  <c r="B773" i="170"/>
  <c r="B767" i="168"/>
  <c r="B112" i="170"/>
  <c r="B109" i="169"/>
  <c r="B106" i="168"/>
  <c r="B185" i="170"/>
  <c r="B182" i="169"/>
  <c r="B179" i="168"/>
  <c r="B640" i="170"/>
  <c r="B637" i="169"/>
  <c r="B634" i="168"/>
  <c r="B214" i="170"/>
  <c r="B202" i="170"/>
  <c r="B217" i="169"/>
  <c r="B214" i="168"/>
  <c r="B266" i="170"/>
  <c r="B281" i="169"/>
  <c r="B278" i="168"/>
  <c r="B426" i="170"/>
  <c r="B438" i="168"/>
  <c r="B441" i="169"/>
  <c r="B727" i="170"/>
  <c r="B742" i="169"/>
  <c r="B739" i="168"/>
  <c r="B526" i="170"/>
  <c r="B523" i="169"/>
  <c r="B538" i="168"/>
  <c r="B940" i="168"/>
  <c r="B946" i="170"/>
  <c r="B943" i="169"/>
  <c r="B776" i="170"/>
  <c r="B770" i="168"/>
  <c r="B773" i="169"/>
  <c r="B493" i="170"/>
  <c r="B490" i="169"/>
  <c r="B505" i="168"/>
  <c r="B249" i="168"/>
  <c r="B237" i="170"/>
  <c r="B234" i="169"/>
  <c r="B211" i="170"/>
  <c r="B208" i="169"/>
  <c r="B205" i="168"/>
  <c r="B336" i="169"/>
  <c r="B339" i="170"/>
  <c r="B333" i="168"/>
  <c r="B467" i="170"/>
  <c r="B461" i="168"/>
  <c r="B464" i="169"/>
  <c r="B600" i="170"/>
  <c r="B594" i="168"/>
  <c r="B597" i="169"/>
  <c r="B736" i="170"/>
  <c r="B733" i="169"/>
  <c r="B730" i="168"/>
  <c r="B150" i="170"/>
  <c r="B147" i="169"/>
  <c r="B144" i="168"/>
  <c r="B342" i="170"/>
  <c r="B339" i="169"/>
  <c r="B336" i="168"/>
  <c r="B470" i="170"/>
  <c r="B467" i="169"/>
  <c r="B464" i="168"/>
  <c r="B600" i="169"/>
  <c r="B603" i="170"/>
  <c r="B597" i="168"/>
  <c r="B205" i="169"/>
  <c r="B208" i="170"/>
  <c r="B202" i="168"/>
  <c r="B662" i="169"/>
  <c r="B665" i="170"/>
  <c r="B659" i="168"/>
  <c r="B278" i="169"/>
  <c r="B275" i="168"/>
  <c r="B281" i="170"/>
  <c r="B603" i="169"/>
  <c r="B606" i="170"/>
  <c r="B600" i="168"/>
  <c r="B121" i="169"/>
  <c r="B106" i="170"/>
  <c r="B118" i="168"/>
  <c r="B77" i="138"/>
  <c r="B406" i="168"/>
  <c r="B394" i="170"/>
  <c r="B409" i="169"/>
  <c r="B693" i="170"/>
  <c r="B708" i="169"/>
  <c r="B705" i="168"/>
  <c r="B23" i="170"/>
  <c r="B20" i="169"/>
  <c r="B17" i="168"/>
  <c r="B696" i="170"/>
  <c r="B693" i="169"/>
  <c r="B708" i="168"/>
  <c r="B628" i="169"/>
  <c r="B631" i="170"/>
  <c r="B625" i="168"/>
  <c r="B733" i="170"/>
  <c r="B730" i="169"/>
  <c r="B727" i="168"/>
  <c r="B246" i="170"/>
  <c r="B243" i="169"/>
  <c r="B240" i="168"/>
  <c r="B173" i="168"/>
  <c r="B176" i="169"/>
  <c r="B179" i="170"/>
  <c r="B301" i="168"/>
  <c r="B304" i="169"/>
  <c r="B307" i="170"/>
  <c r="B432" i="169"/>
  <c r="B435" i="170"/>
  <c r="B429" i="168"/>
  <c r="B566" i="170"/>
  <c r="B563" i="169"/>
  <c r="B560" i="168"/>
  <c r="B702" i="170"/>
  <c r="B699" i="169"/>
  <c r="B696" i="168"/>
  <c r="B118" i="170"/>
  <c r="B112" i="168"/>
  <c r="B115" i="169"/>
  <c r="B278" i="170"/>
  <c r="B275" i="169"/>
  <c r="B272" i="168"/>
  <c r="B432" i="168"/>
  <c r="B435" i="169"/>
  <c r="B438" i="170"/>
  <c r="B566" i="169"/>
  <c r="B569" i="170"/>
  <c r="B563" i="168"/>
  <c r="B702" i="169"/>
  <c r="B699" i="168"/>
  <c r="B705" i="170"/>
  <c r="B176" i="170"/>
  <c r="B170" i="168"/>
  <c r="B173" i="169"/>
  <c r="B362" i="168"/>
  <c r="B368" i="170"/>
  <c r="B365" i="169"/>
  <c r="B529" i="170"/>
  <c r="B526" i="169"/>
  <c r="B523" i="168"/>
  <c r="B23" i="169"/>
  <c r="B20" i="168"/>
  <c r="B26" i="170"/>
  <c r="B118" i="169"/>
  <c r="B121" i="170"/>
  <c r="B115" i="168"/>
  <c r="B246" i="169"/>
  <c r="B249" i="170"/>
  <c r="B243" i="168"/>
  <c r="B409" i="170"/>
  <c r="B406" i="169"/>
  <c r="B403" i="168"/>
  <c r="B572" i="170"/>
  <c r="B566" i="168"/>
  <c r="B569" i="169"/>
  <c r="B89" i="169"/>
  <c r="B74" i="170"/>
  <c r="B86" i="168"/>
  <c r="B362" i="170"/>
  <c r="B377" i="169"/>
  <c r="B374" i="168"/>
  <c r="B538" i="169"/>
  <c r="B535" i="168"/>
  <c r="B523" i="170"/>
  <c r="B674" i="169"/>
  <c r="B659" i="170"/>
  <c r="B671" i="168"/>
  <c r="B458" i="169"/>
  <c r="B473" i="168"/>
  <c r="B461" i="170"/>
  <c r="B764" i="170"/>
  <c r="B776" i="168"/>
  <c r="B761" i="169"/>
  <c r="B397" i="170"/>
  <c r="B394" i="169"/>
  <c r="B409" i="168"/>
  <c r="B563" i="170"/>
  <c r="B560" i="169"/>
  <c r="B557" i="168"/>
  <c r="B505" i="170"/>
  <c r="B502" i="169"/>
  <c r="B499" i="168"/>
  <c r="B903" i="170"/>
  <c r="B900" i="169"/>
  <c r="B897" i="168"/>
  <c r="B968" i="168"/>
  <c r="B974" i="170"/>
  <c r="B971" i="169"/>
  <c r="B863" i="170"/>
  <c r="B878" i="169"/>
  <c r="B875" i="168"/>
  <c r="B362" i="169"/>
  <c r="B365" i="170"/>
  <c r="B377" i="168"/>
  <c r="B594" i="170"/>
  <c r="B606" i="168"/>
  <c r="B591" i="169"/>
  <c r="B597" i="170"/>
  <c r="B594" i="169"/>
  <c r="B591" i="168"/>
  <c r="B699" i="170"/>
  <c r="B696" i="169"/>
  <c r="B693" i="168"/>
  <c r="B345" i="169"/>
  <c r="B330" i="170"/>
  <c r="B342" i="168"/>
  <c r="B243" i="170"/>
  <c r="B237" i="168"/>
  <c r="B240" i="169"/>
  <c r="B80" i="138"/>
  <c r="B371" i="170"/>
  <c r="B368" i="169"/>
  <c r="B365" i="168"/>
  <c r="B634" i="170"/>
  <c r="B631" i="169"/>
  <c r="B628" i="168"/>
  <c r="B374" i="170"/>
  <c r="B368" i="168"/>
  <c r="B371" i="169"/>
  <c r="B502" i="170"/>
  <c r="B496" i="168"/>
  <c r="B499" i="169"/>
  <c r="B272" i="170"/>
  <c r="B269" i="169"/>
  <c r="B266" i="168"/>
  <c r="B461" i="169"/>
  <c r="B458" i="168"/>
  <c r="B464" i="170"/>
  <c r="B313" i="170"/>
  <c r="B307" i="168"/>
  <c r="B310" i="169"/>
  <c r="B473" i="170"/>
  <c r="B470" i="169"/>
  <c r="B467" i="168"/>
  <c r="B591" i="170"/>
  <c r="B606" i="169"/>
  <c r="B603" i="168"/>
  <c r="B304" i="170"/>
  <c r="B298" i="168"/>
  <c r="B301" i="169"/>
  <c r="B980" i="170"/>
  <c r="B977" i="169"/>
  <c r="B974" i="168"/>
  <c r="B80" i="169"/>
  <c r="B83" i="170"/>
  <c r="B77" i="168"/>
  <c r="B674" i="170"/>
  <c r="B671" i="169"/>
  <c r="B668" i="168"/>
  <c r="B313" i="168"/>
  <c r="B298" i="169"/>
  <c r="B301" i="170"/>
  <c r="B121" i="168"/>
  <c r="B109" i="170"/>
  <c r="B106" i="169"/>
  <c r="B662" i="170"/>
  <c r="B674" i="168"/>
  <c r="B659" i="169"/>
  <c r="B832" i="170"/>
  <c r="B844" i="168"/>
  <c r="B829" i="169"/>
  <c r="B764" i="169"/>
  <c r="B767" i="170"/>
  <c r="B761" i="168"/>
  <c r="B240" i="170"/>
  <c r="B237" i="169"/>
  <c r="B234" i="168"/>
  <c r="B400" i="170"/>
  <c r="B397" i="169"/>
  <c r="B394" i="168"/>
  <c r="B147" i="168"/>
  <c r="B153" i="170"/>
  <c r="B150" i="169"/>
  <c r="B438" i="169"/>
  <c r="B441" i="170"/>
  <c r="B435" i="168"/>
  <c r="B185" i="169"/>
  <c r="B170" i="170"/>
  <c r="B182" i="168"/>
  <c r="B249" i="169"/>
  <c r="B246" i="168"/>
  <c r="B234" i="170"/>
  <c r="B572" i="169"/>
  <c r="B557" i="170"/>
  <c r="B569" i="168"/>
  <c r="B742" i="170"/>
  <c r="B739" i="169"/>
  <c r="B736" i="168"/>
  <c r="B429" i="169"/>
  <c r="B426" i="168"/>
  <c r="B432" i="170"/>
  <c r="B934" i="170"/>
  <c r="B946" i="168"/>
  <c r="B931" i="169"/>
  <c r="B943" i="170"/>
  <c r="B940" i="169"/>
  <c r="B937" i="168"/>
  <c r="B77" i="170"/>
  <c r="B89" i="168"/>
  <c r="B74" i="169"/>
  <c r="B205" i="170"/>
  <c r="B217" i="168"/>
  <c r="B202" i="169"/>
  <c r="B310" i="170"/>
  <c r="B307" i="169"/>
  <c r="B304" i="168"/>
  <c r="B628" i="170"/>
  <c r="B625" i="169"/>
  <c r="B640" i="168"/>
  <c r="B141" i="168"/>
  <c r="B147" i="170"/>
  <c r="B144" i="169"/>
  <c r="B275" i="170"/>
  <c r="B272" i="169"/>
  <c r="B269" i="168"/>
  <c r="B403" i="170"/>
  <c r="B400" i="169"/>
  <c r="B397" i="168"/>
  <c r="B532" i="170"/>
  <c r="B526" i="168"/>
  <c r="B529" i="169"/>
  <c r="B668" i="170"/>
  <c r="B662" i="168"/>
  <c r="B665" i="169"/>
  <c r="B86" i="170"/>
  <c r="B83" i="169"/>
  <c r="B80" i="168"/>
  <c r="B211" i="169"/>
  <c r="B208" i="168"/>
  <c r="B403" i="169"/>
  <c r="B400" i="168"/>
  <c r="B406" i="170"/>
  <c r="B535" i="170"/>
  <c r="B532" i="169"/>
  <c r="B529" i="168"/>
  <c r="B671" i="170"/>
  <c r="B668" i="169"/>
  <c r="B665" i="168"/>
  <c r="B144" i="170"/>
  <c r="B141" i="169"/>
  <c r="B138" i="168"/>
  <c r="B336" i="170"/>
  <c r="B333" i="169"/>
  <c r="B330" i="168"/>
  <c r="B493" i="169"/>
  <c r="B496" i="170"/>
  <c r="B490" i="168"/>
  <c r="B89" i="170"/>
  <c r="B83" i="168"/>
  <c r="B86" i="169"/>
  <c r="B217" i="170"/>
  <c r="B211" i="168"/>
  <c r="B214" i="169"/>
  <c r="B345" i="170"/>
  <c r="B339" i="168"/>
  <c r="B342" i="169"/>
  <c r="B535" i="169"/>
  <c r="B538" i="170"/>
  <c r="B532" i="168"/>
  <c r="B702" i="168"/>
  <c r="B708" i="170"/>
  <c r="B705" i="169"/>
  <c r="B138" i="170"/>
  <c r="B153" i="169"/>
  <c r="B150" i="168"/>
  <c r="B313" i="169"/>
  <c r="B298" i="170"/>
  <c r="B310" i="168"/>
  <c r="B458" i="170"/>
  <c r="B470" i="168"/>
  <c r="B473" i="169"/>
  <c r="B637" i="168"/>
  <c r="B625" i="170"/>
  <c r="B640" i="169"/>
  <c r="B776" i="169"/>
  <c r="B761" i="170"/>
  <c r="B773" i="168"/>
  <c r="B170" i="169"/>
  <c r="B185" i="168"/>
  <c r="B173" i="170"/>
  <c r="B17" i="170"/>
  <c r="B14" i="169"/>
  <c r="B11" i="168"/>
  <c r="B115" i="170"/>
  <c r="B112" i="169"/>
  <c r="B109" i="168"/>
  <c r="B11" i="170"/>
  <c r="B23" i="168"/>
  <c r="B26" i="169"/>
  <c r="B937" i="170"/>
  <c r="B934" i="169"/>
  <c r="B931" i="168"/>
  <c r="B764" i="168"/>
  <c r="B767" i="169"/>
  <c r="B770" i="170"/>
  <c r="B429" i="170"/>
  <c r="B426" i="169"/>
  <c r="B441" i="168"/>
  <c r="B141" i="170"/>
  <c r="B138" i="169"/>
  <c r="B153" i="168"/>
  <c r="B269" i="170"/>
  <c r="B266" i="169"/>
  <c r="B281" i="168"/>
  <c r="B330" i="169"/>
  <c r="B333" i="170"/>
  <c r="B345" i="168"/>
  <c r="B560" i="170"/>
  <c r="B572" i="168"/>
  <c r="B557" i="169"/>
  <c r="B80" i="170"/>
  <c r="B77" i="169"/>
  <c r="B74" i="168"/>
  <c r="B801" i="169"/>
  <c r="B798" i="168"/>
  <c r="B804" i="170"/>
  <c r="B727" i="169"/>
  <c r="B742" i="168"/>
  <c r="B730" i="170"/>
  <c r="B736" i="169"/>
  <c r="B733" i="168"/>
  <c r="B739" i="170"/>
  <c r="B490" i="170"/>
  <c r="B505" i="169"/>
  <c r="B502" i="168"/>
  <c r="B371" i="168"/>
  <c r="B377" i="170"/>
  <c r="B374" i="169"/>
  <c r="B138" i="76"/>
  <c r="B170" i="76"/>
  <c r="B298" i="76"/>
  <c r="B362" i="76"/>
  <c r="B394" i="76"/>
  <c r="B458" i="76"/>
  <c r="B490" i="76"/>
  <c r="B625" i="76"/>
  <c r="B659" i="76"/>
  <c r="B693" i="76"/>
  <c r="B45" i="76"/>
  <c r="B77" i="76"/>
  <c r="B365" i="76"/>
  <c r="B397" i="76"/>
  <c r="B696" i="76"/>
  <c r="B764" i="76"/>
  <c r="B121" i="76"/>
  <c r="B153" i="76"/>
  <c r="B185" i="76"/>
  <c r="B217" i="76"/>
  <c r="B409" i="76"/>
  <c r="B505" i="76"/>
  <c r="B538" i="76"/>
  <c r="B674" i="76"/>
  <c r="B80" i="76"/>
  <c r="B112" i="76"/>
  <c r="B304" i="76"/>
  <c r="B400" i="76"/>
  <c r="B432" i="76"/>
  <c r="B631" i="76"/>
  <c r="B767" i="76"/>
  <c r="B83" i="76"/>
  <c r="B115" i="76"/>
  <c r="B147" i="76"/>
  <c r="B179" i="76"/>
  <c r="B211" i="76"/>
  <c r="B275" i="76"/>
  <c r="B307" i="76"/>
  <c r="B371" i="76"/>
  <c r="B467" i="76"/>
  <c r="B566" i="76"/>
  <c r="B600" i="76"/>
  <c r="B668" i="76"/>
  <c r="B702" i="76"/>
  <c r="B736" i="76"/>
  <c r="B770" i="76"/>
  <c r="B54" i="76"/>
  <c r="B470" i="76"/>
  <c r="B535" i="76"/>
  <c r="B739" i="76"/>
  <c r="B106" i="76"/>
  <c r="B499" i="76"/>
  <c r="B572" i="76"/>
  <c r="B441" i="76"/>
  <c r="B313" i="76"/>
  <c r="B912" i="76"/>
  <c r="B971" i="76"/>
  <c r="B74" i="76"/>
  <c r="B301" i="76"/>
  <c r="B118" i="76"/>
  <c r="B872" i="76"/>
  <c r="B637" i="76"/>
  <c r="B640" i="76"/>
  <c r="B795" i="76"/>
  <c r="B368" i="76"/>
  <c r="B339" i="76"/>
  <c r="B237" i="76"/>
  <c r="B249" i="76"/>
  <c r="B202" i="76"/>
  <c r="B234" i="76"/>
  <c r="B266" i="76"/>
  <c r="B330" i="76"/>
  <c r="B426" i="76"/>
  <c r="B523" i="76"/>
  <c r="B557" i="76"/>
  <c r="B591" i="76"/>
  <c r="B727" i="76"/>
  <c r="B109" i="76"/>
  <c r="B141" i="76"/>
  <c r="B173" i="76"/>
  <c r="B205" i="76"/>
  <c r="B269" i="76"/>
  <c r="B333" i="76"/>
  <c r="B429" i="76"/>
  <c r="B461" i="76"/>
  <c r="B493" i="76"/>
  <c r="B526" i="76"/>
  <c r="B560" i="76"/>
  <c r="B594" i="76"/>
  <c r="B628" i="76"/>
  <c r="B662" i="76"/>
  <c r="B730" i="76"/>
  <c r="B281" i="76"/>
  <c r="B345" i="76"/>
  <c r="B377" i="76"/>
  <c r="B473" i="76"/>
  <c r="B48" i="76"/>
  <c r="B144" i="76"/>
  <c r="B176" i="76"/>
  <c r="B208" i="76"/>
  <c r="B240" i="76"/>
  <c r="B272" i="76"/>
  <c r="B336" i="76"/>
  <c r="B464" i="76"/>
  <c r="B529" i="76"/>
  <c r="B563" i="76"/>
  <c r="B597" i="76"/>
  <c r="B699" i="76"/>
  <c r="B243" i="76"/>
  <c r="B403" i="76"/>
  <c r="B435" i="76"/>
  <c r="B532" i="76"/>
  <c r="B634" i="76"/>
  <c r="B182" i="76"/>
  <c r="B569" i="76"/>
  <c r="B773" i="76"/>
  <c r="B57" i="76"/>
  <c r="B42" i="76"/>
  <c r="B406" i="76"/>
  <c r="B733" i="76"/>
  <c r="B496" i="76"/>
  <c r="B965" i="76"/>
  <c r="B946" i="76"/>
  <c r="B943" i="76"/>
  <c r="B937" i="76"/>
  <c r="B934" i="76"/>
  <c r="B86" i="76"/>
  <c r="B761" i="76"/>
  <c r="B665" i="76"/>
  <c r="B502" i="76"/>
  <c r="B438" i="76"/>
  <c r="B214" i="76"/>
  <c r="B310" i="76"/>
  <c r="B150" i="76"/>
  <c r="B246" i="76"/>
  <c r="B278" i="76"/>
  <c r="B342" i="76"/>
  <c r="B374" i="76"/>
  <c r="B603" i="76"/>
  <c r="B671" i="76"/>
  <c r="B51" i="76"/>
  <c r="B705" i="76"/>
  <c r="B841" i="76"/>
  <c r="B89" i="76"/>
  <c r="B606" i="76"/>
  <c r="B708" i="76"/>
  <c r="B742" i="76"/>
  <c r="B776" i="76"/>
  <c r="B26" i="76"/>
  <c r="B23" i="76"/>
  <c r="B17" i="76"/>
  <c r="B14" i="76"/>
  <c r="B11" i="76"/>
  <c r="E183" i="2"/>
  <c r="D177" i="2"/>
  <c r="D176" i="2"/>
  <c r="C153" i="2"/>
  <c r="B154" i="12" s="1"/>
  <c r="C153" i="166" s="1"/>
  <c r="D183" i="2"/>
  <c r="E181" i="2"/>
  <c r="E180" i="2"/>
  <c r="E179" i="2"/>
  <c r="D181" i="2"/>
  <c r="D180" i="2"/>
  <c r="E151" i="2"/>
  <c r="E177" i="2"/>
  <c r="E176" i="2"/>
  <c r="D152" i="12" l="1"/>
  <c r="D151" i="166" s="1"/>
  <c r="D177" i="12"/>
  <c r="D176" i="166" s="1"/>
  <c r="D178" i="12"/>
  <c r="D177" i="166" s="1"/>
  <c r="D180" i="12"/>
  <c r="D179" i="166" s="1"/>
  <c r="D181" i="12"/>
  <c r="D180" i="166" s="1"/>
  <c r="D182" i="12"/>
  <c r="D181" i="166" s="1"/>
  <c r="D184" i="12"/>
  <c r="D183" i="166" s="1"/>
  <c r="B810" i="170"/>
  <c r="B804" i="168"/>
  <c r="B807" i="169"/>
  <c r="B801" i="76"/>
</calcChain>
</file>

<file path=xl/sharedStrings.xml><?xml version="1.0" encoding="utf-8"?>
<sst xmlns="http://schemas.openxmlformats.org/spreadsheetml/2006/main" count="1850" uniqueCount="81">
  <si>
    <t>Nº</t>
  </si>
  <si>
    <t>TOTAL</t>
  </si>
  <si>
    <t>PARCIAL</t>
  </si>
  <si>
    <t>SERIES</t>
  </si>
  <si>
    <t>ESCUADRA</t>
  </si>
  <si>
    <t>DORSAL</t>
  </si>
  <si>
    <t>CAMPO :</t>
  </si>
  <si>
    <t>SERIE:</t>
  </si>
  <si>
    <t>NOMBRE</t>
  </si>
  <si>
    <t xml:space="preserve">ESCUADRA:     1     </t>
  </si>
  <si>
    <t xml:space="preserve">ESCUADRA:     2     </t>
  </si>
  <si>
    <t xml:space="preserve">ESCUADRA:     3    </t>
  </si>
  <si>
    <t xml:space="preserve">ESCUADRA:     4    </t>
  </si>
  <si>
    <t xml:space="preserve">ESCUADRA:     5    </t>
  </si>
  <si>
    <t xml:space="preserve">ESCUADRA:     6     </t>
  </si>
  <si>
    <t xml:space="preserve">ESCUADRA:     7     </t>
  </si>
  <si>
    <t xml:space="preserve">ESCUADRA:     8     </t>
  </si>
  <si>
    <t xml:space="preserve">ESCUADRA:     9     </t>
  </si>
  <si>
    <t xml:space="preserve">ESCUADRA:     10     </t>
  </si>
  <si>
    <t xml:space="preserve">ESCUADRA:     11     </t>
  </si>
  <si>
    <t xml:space="preserve">ESCUADRA:     12     </t>
  </si>
  <si>
    <t xml:space="preserve">ESCUADRA:     13     </t>
  </si>
  <si>
    <t xml:space="preserve">ESCUADRA:     14     </t>
  </si>
  <si>
    <t>PUNTUACIONES</t>
  </si>
  <si>
    <t>ESCUADRA:     15</t>
  </si>
  <si>
    <t>ESCUADRA:     16</t>
  </si>
  <si>
    <t>ESCUADRA:     17</t>
  </si>
  <si>
    <t>ESCUADRA:     18</t>
  </si>
  <si>
    <t>ESCUADRA:     19</t>
  </si>
  <si>
    <t>ESCUADRA:     20</t>
  </si>
  <si>
    <t>ESCUADRA:     21</t>
  </si>
  <si>
    <t>ESCUADRA:     22</t>
  </si>
  <si>
    <t>ESCUADRA:     23</t>
  </si>
  <si>
    <t>ESCUADRA:     24</t>
  </si>
  <si>
    <t>ESCUADRA:     25</t>
  </si>
  <si>
    <t>EL JUEZ-ARBITRO</t>
  </si>
  <si>
    <t>ESCUADRA:     26</t>
  </si>
  <si>
    <t>ESCUADRA:     27</t>
  </si>
  <si>
    <t>ESCUADRA:     28</t>
  </si>
  <si>
    <t>ESCUADRA:     29</t>
  </si>
  <si>
    <t>ESCUADRA:     30</t>
  </si>
  <si>
    <t>1º TIRADOR</t>
  </si>
  <si>
    <t>2º TIRADOR</t>
  </si>
  <si>
    <t>3º TIRADOR</t>
  </si>
  <si>
    <t>4º TIRADOR</t>
  </si>
  <si>
    <t>5º TIRADOR</t>
  </si>
  <si>
    <t>6º TIRADOR</t>
  </si>
  <si>
    <t>CAT. NIVEL</t>
  </si>
  <si>
    <t>TIRADOR</t>
  </si>
  <si>
    <t xml:space="preserve"> ESCUADRAS</t>
  </si>
  <si>
    <t xml:space="preserve">DESEMPATES  </t>
  </si>
  <si>
    <t>CAMPO DE TIRO LA ISLA</t>
  </si>
  <si>
    <t>DNI/FEDERATIVA</t>
  </si>
  <si>
    <t>TELEFONO</t>
  </si>
  <si>
    <t>FINAL</t>
  </si>
  <si>
    <t>PAGO</t>
  </si>
  <si>
    <t>CAT.</t>
  </si>
  <si>
    <t>DORS</t>
  </si>
  <si>
    <t>S1</t>
  </si>
  <si>
    <t>S2</t>
  </si>
  <si>
    <t>S3</t>
  </si>
  <si>
    <t>S4</t>
  </si>
  <si>
    <t>CASAS COMERCIALES</t>
  </si>
  <si>
    <t>EQUIPO 1</t>
  </si>
  <si>
    <t>CLUBS</t>
  </si>
  <si>
    <t>FEDERACIONES</t>
  </si>
  <si>
    <t>TOTAL2</t>
  </si>
  <si>
    <t>ESCUADRA:     31</t>
  </si>
  <si>
    <t>ESCUADRA:     32</t>
  </si>
  <si>
    <t>ESCUADRA:     33</t>
  </si>
  <si>
    <t>ESCUADRA:     34</t>
  </si>
  <si>
    <t>DESEMPATE</t>
  </si>
  <si>
    <t>TIRADA</t>
  </si>
  <si>
    <t>XXX PLATOS</t>
  </si>
  <si>
    <t>manolo</t>
  </si>
  <si>
    <t>jj</t>
  </si>
  <si>
    <t>pepe</t>
  </si>
  <si>
    <t>curri</t>
  </si>
  <si>
    <t>caca</t>
  </si>
  <si>
    <t>senior</t>
  </si>
  <si>
    <t>junior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</si>
</sst>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u/>
      <sz val="14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sz val="18"/>
      <name val="Arial"/>
      <family val="2"/>
    </font>
    <font>
      <sz val="8"/>
      <name val="Arial"/>
      <family val="2"/>
    </font>
    <font>
      <b/>
      <sz val="12"/>
      <color indexed="50"/>
      <name val="Arial"/>
      <family val="2"/>
    </font>
    <font>
      <b/>
      <sz val="12"/>
      <color indexed="16"/>
      <name val="Arial"/>
      <family val="2"/>
    </font>
    <font>
      <b/>
      <sz val="36"/>
      <name val="Arial"/>
      <family val="2"/>
    </font>
    <font>
      <b/>
      <u/>
      <sz val="18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u/>
      <sz val="14"/>
      <color indexed="16"/>
      <name val="Arial"/>
      <family val="2"/>
    </font>
    <font>
      <b/>
      <sz val="16"/>
      <color rgb="FF008000"/>
      <name val="Arial"/>
      <family val="2"/>
    </font>
    <font>
      <b/>
      <u/>
      <sz val="12"/>
      <color theme="6" tint="-0.499984740745262"/>
      <name val="Arial"/>
      <family val="2"/>
    </font>
    <font>
      <b/>
      <sz val="11"/>
      <color theme="0"/>
      <name val="Calibri"/>
      <family val="2"/>
      <scheme val="minor"/>
    </font>
    <font>
      <b/>
      <u/>
      <sz val="10"/>
      <name val="Arial"/>
      <family val="2"/>
    </font>
    <font>
      <sz val="16"/>
      <name val="Arial"/>
      <family val="2"/>
    </font>
    <font>
      <b/>
      <sz val="11"/>
      <color theme="1"/>
      <name val="Arial"/>
      <family val="2"/>
    </font>
    <font>
      <b/>
      <sz val="14"/>
      <name val="Calibri"/>
      <family val="2"/>
      <scheme val="minor"/>
    </font>
    <font>
      <b/>
      <sz val="16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/>
      <diagonal/>
    </border>
    <border>
      <left style="double">
        <color rgb="FF3F3F3F"/>
      </left>
      <right style="medium">
        <color indexed="64"/>
      </right>
      <top/>
      <bottom/>
      <diagonal/>
    </border>
    <border>
      <left style="double">
        <color rgb="FF3F3F3F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double">
        <color rgb="FF3F3F3F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rgb="FF3F3F3F"/>
      </bottom>
      <diagonal/>
    </border>
    <border>
      <left style="double">
        <color rgb="FF3F3F3F"/>
      </left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thin">
        <color indexed="64"/>
      </right>
      <top/>
      <bottom/>
      <diagonal/>
    </border>
    <border>
      <left style="double">
        <color rgb="FF3F3F3F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6">
    <xf numFmtId="0" fontId="0" fillId="0" borderId="0"/>
    <xf numFmtId="0" fontId="24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0" fillId="3" borderId="24" applyNumberFormat="0" applyAlignment="0" applyProtection="0"/>
  </cellStyleXfs>
  <cellXfs count="193">
    <xf numFmtId="0" fontId="0" fillId="0" borderId="0" xfId="0"/>
    <xf numFmtId="0" fontId="0" fillId="0" borderId="1" xfId="0" applyBorder="1"/>
    <xf numFmtId="0" fontId="0" fillId="0" borderId="0" xfId="0" applyAlignment="1">
      <alignment horizontal="centerContinuous"/>
    </xf>
    <xf numFmtId="0" fontId="9" fillId="0" borderId="1" xfId="0" applyFont="1" applyBorder="1" applyAlignment="1">
      <alignment horizontal="center"/>
    </xf>
    <xf numFmtId="0" fontId="11" fillId="0" borderId="0" xfId="0" applyFont="1"/>
    <xf numFmtId="0" fontId="9" fillId="0" borderId="1" xfId="0" applyFont="1" applyBorder="1"/>
    <xf numFmtId="0" fontId="7" fillId="0" borderId="0" xfId="0" applyFont="1"/>
    <xf numFmtId="0" fontId="15" fillId="0" borderId="0" xfId="0" applyFont="1"/>
    <xf numFmtId="0" fontId="8" fillId="0" borderId="0" xfId="0" applyFont="1"/>
    <xf numFmtId="0" fontId="8" fillId="0" borderId="2" xfId="0" applyFont="1" applyBorder="1"/>
    <xf numFmtId="0" fontId="11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0" fontId="15" fillId="0" borderId="7" xfId="0" applyFont="1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>
      <alignment horizontal="center"/>
    </xf>
    <xf numFmtId="0" fontId="18" fillId="0" borderId="0" xfId="0" applyFont="1"/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4" fillId="0" borderId="0" xfId="0" applyFont="1"/>
    <xf numFmtId="0" fontId="15" fillId="0" borderId="2" xfId="0" applyFont="1" applyBorder="1" applyAlignment="1">
      <alignment horizontal="center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8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 vertical="center"/>
    </xf>
    <xf numFmtId="0" fontId="23" fillId="0" borderId="0" xfId="0" applyFont="1"/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5" xfId="0" quotePrefix="1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39" xfId="0" applyBorder="1"/>
    <xf numFmtId="0" fontId="11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31" fillId="0" borderId="0" xfId="0" applyFont="1" applyAlignment="1">
      <alignment horizontal="centerContinuous"/>
    </xf>
    <xf numFmtId="0" fontId="9" fillId="0" borderId="0" xfId="0" applyFont="1"/>
    <xf numFmtId="0" fontId="4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4" fillId="0" borderId="1" xfId="0" applyFont="1" applyBorder="1"/>
    <xf numFmtId="0" fontId="2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8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6" fillId="0" borderId="7" xfId="0" applyFont="1" applyBorder="1" applyAlignment="1">
      <alignment horizontal="left"/>
    </xf>
    <xf numFmtId="0" fontId="0" fillId="0" borderId="1" xfId="0" applyBorder="1" applyAlignment="1">
      <alignment horizontal="center" vertical="center"/>
    </xf>
    <xf numFmtId="6" fontId="0" fillId="0" borderId="0" xfId="0" applyNumberFormat="1"/>
    <xf numFmtId="0" fontId="21" fillId="2" borderId="54" xfId="0" applyFont="1" applyFill="1" applyBorder="1" applyAlignment="1">
      <alignment horizontal="center"/>
    </xf>
    <xf numFmtId="0" fontId="21" fillId="0" borderId="54" xfId="0" applyFont="1" applyBorder="1" applyAlignment="1">
      <alignment horizontal="center"/>
    </xf>
    <xf numFmtId="0" fontId="25" fillId="0" borderId="7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6" fontId="0" fillId="0" borderId="0" xfId="0" applyNumberFormat="1"/>
    <xf numFmtId="0" fontId="9" fillId="0" borderId="7" xfId="0" applyFont="1" applyBorder="1" applyAlignment="1">
      <alignment horizontal="center"/>
    </xf>
    <xf numFmtId="0" fontId="28" fillId="0" borderId="0" xfId="0" applyFont="1"/>
    <xf numFmtId="0" fontId="4" fillId="0" borderId="0" xfId="0" applyFont="1" applyAlignment="1">
      <alignment horizontal="centerContinuous"/>
    </xf>
    <xf numFmtId="0" fontId="9" fillId="0" borderId="5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2" xfId="0" quotePrefix="1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1" fillId="0" borderId="6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30" fillId="3" borderId="24" xfId="15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6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11" fillId="0" borderId="24" xfId="15" applyFont="1" applyFill="1" applyAlignment="1">
      <alignment horizontal="left" vertical="center"/>
    </xf>
    <xf numFmtId="0" fontId="14" fillId="0" borderId="24" xfId="15" applyFont="1" applyFill="1" applyAlignment="1">
      <alignment horizontal="center" vertical="center"/>
    </xf>
    <xf numFmtId="0" fontId="30" fillId="3" borderId="46" xfId="15" applyBorder="1" applyAlignment="1">
      <alignment horizontal="center" vertical="center"/>
    </xf>
    <xf numFmtId="0" fontId="30" fillId="3" borderId="47" xfId="15" applyBorder="1" applyAlignment="1">
      <alignment horizontal="center" vertical="center"/>
    </xf>
    <xf numFmtId="0" fontId="30" fillId="3" borderId="48" xfId="15" applyBorder="1" applyAlignment="1">
      <alignment horizontal="center" vertical="center"/>
    </xf>
    <xf numFmtId="0" fontId="11" fillId="0" borderId="43" xfId="0" applyFont="1" applyBorder="1" applyAlignment="1">
      <alignment horizontal="left" vertical="center"/>
    </xf>
    <xf numFmtId="0" fontId="11" fillId="0" borderId="44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8" fillId="0" borderId="17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49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43" xfId="0" applyFont="1" applyBorder="1" applyAlignment="1">
      <alignment horizontal="left" vertical="center"/>
    </xf>
    <xf numFmtId="0" fontId="14" fillId="0" borderId="44" xfId="0" applyFont="1" applyBorder="1" applyAlignment="1">
      <alignment horizontal="left" vertical="center"/>
    </xf>
    <xf numFmtId="0" fontId="14" fillId="0" borderId="45" xfId="0" applyFont="1" applyBorder="1" applyAlignment="1">
      <alignment horizontal="left" vertical="center"/>
    </xf>
    <xf numFmtId="0" fontId="11" fillId="0" borderId="46" xfId="15" applyFont="1" applyFill="1" applyBorder="1" applyAlignment="1">
      <alignment horizontal="left" vertical="center"/>
    </xf>
    <xf numFmtId="0" fontId="11" fillId="0" borderId="47" xfId="15" applyFont="1" applyFill="1" applyBorder="1" applyAlignment="1">
      <alignment horizontal="left" vertical="center"/>
    </xf>
    <xf numFmtId="0" fontId="11" fillId="0" borderId="48" xfId="15" applyFont="1" applyFill="1" applyBorder="1" applyAlignment="1">
      <alignment horizontal="left" vertical="center"/>
    </xf>
    <xf numFmtId="0" fontId="18" fillId="0" borderId="51" xfId="0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4" fillId="0" borderId="46" xfId="15" applyFont="1" applyFill="1" applyBorder="1" applyAlignment="1">
      <alignment horizontal="center" vertical="center"/>
    </xf>
    <xf numFmtId="0" fontId="14" fillId="0" borderId="47" xfId="15" applyFont="1" applyFill="1" applyBorder="1" applyAlignment="1">
      <alignment horizontal="center" vertical="center"/>
    </xf>
    <xf numFmtId="0" fontId="14" fillId="0" borderId="48" xfId="15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1" fillId="0" borderId="43" xfId="0" applyFont="1" applyBorder="1" applyAlignment="1">
      <alignment horizontal="left" vertical="center" wrapText="1"/>
    </xf>
    <xf numFmtId="0" fontId="11" fillId="0" borderId="44" xfId="0" applyFont="1" applyBorder="1" applyAlignment="1">
      <alignment horizontal="left" vertical="center" wrapText="1"/>
    </xf>
    <xf numFmtId="0" fontId="11" fillId="0" borderId="4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8" fillId="4" borderId="6" xfId="0" applyFont="1" applyFill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8" fillId="4" borderId="10" xfId="0" applyFont="1" applyFill="1" applyBorder="1" applyAlignment="1">
      <alignment horizontal="left" vertical="center"/>
    </xf>
  </cellXfs>
  <cellStyles count="16">
    <cellStyle name="Celda de comprobación" xfId="15" builtinId="23"/>
    <cellStyle name="Normal" xfId="0" builtinId="0"/>
    <cellStyle name="Normal 10" xfId="7" xr:uid="{00000000-0005-0000-0000-000002000000}"/>
    <cellStyle name="Normal 11" xfId="8" xr:uid="{00000000-0005-0000-0000-000003000000}"/>
    <cellStyle name="Normal 12" xfId="9" xr:uid="{00000000-0005-0000-0000-000004000000}"/>
    <cellStyle name="Normal 13" xfId="11" xr:uid="{00000000-0005-0000-0000-000005000000}"/>
    <cellStyle name="Normal 14" xfId="12" xr:uid="{00000000-0005-0000-0000-000006000000}"/>
    <cellStyle name="Normal 15" xfId="13" xr:uid="{00000000-0005-0000-0000-000007000000}"/>
    <cellStyle name="Normal 2" xfId="1" xr:uid="{00000000-0005-0000-0000-000008000000}"/>
    <cellStyle name="Normal 3" xfId="2" xr:uid="{00000000-0005-0000-0000-000009000000}"/>
    <cellStyle name="Normal 4" xfId="3" xr:uid="{00000000-0005-0000-0000-00000A000000}"/>
    <cellStyle name="Normal 5" xfId="4" xr:uid="{00000000-0005-0000-0000-00000B000000}"/>
    <cellStyle name="Normal 6" xfId="10" xr:uid="{00000000-0005-0000-0000-00000C000000}"/>
    <cellStyle name="Normal 7" xfId="5" xr:uid="{00000000-0005-0000-0000-00000D000000}"/>
    <cellStyle name="Normal 8" xfId="14" xr:uid="{00000000-0005-0000-0000-00000E000000}"/>
    <cellStyle name="Normal 9" xfId="6" xr:uid="{00000000-0005-0000-0000-00000F000000}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132521</xdr:colOff>
      <xdr:row>2</xdr:row>
      <xdr:rowOff>66261</xdr:rowOff>
    </xdr:from>
    <xdr:to>
      <xdr:col>10</xdr:col>
      <xdr:colOff>356152</xdr:colOff>
      <xdr:row>4</xdr:row>
      <xdr:rowOff>33131</xdr:rowOff>
    </xdr:to>
    <xdr:sp macro="[0]!ORden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05724FC6-9F2B-49B4-B795-208476B97192}"/>
            </a:ext>
          </a:extLst>
        </xdr:cNvPr>
        <xdr:cNvSpPr/>
      </xdr:nvSpPr>
      <xdr:spPr>
        <a:xfrm>
          <a:off x="5706717" y="579783"/>
          <a:ext cx="1623392" cy="505239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800" b="1">
              <a:latin typeface="Arial" panose="020B0604020202020204" pitchFamily="34" charset="0"/>
              <a:cs typeface="Arial" panose="020B0604020202020204" pitchFamily="34" charset="0"/>
            </a:rPr>
            <a:t>ORDENAR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0</xdr:col>
      <xdr:colOff>0</xdr:colOff>
      <xdr:row>4</xdr:row>
      <xdr:rowOff>152400</xdr:rowOff>
    </xdr:to>
    <xdr:pic>
      <xdr:nvPicPr>
        <xdr:cNvPr id="2" name="Picture 1" descr="logo">
          <a:extLst>
            <a:ext uri="{FF2B5EF4-FFF2-40B4-BE49-F238E27FC236}">
              <a16:creationId xmlns:a16="http://schemas.microsoft.com/office/drawing/2014/main" id="{9FAEEB57-12FB-49BC-BFDC-31435D66B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</a:blip>
        <a:srcRect/>
        <a:stretch>
          <a:fillRect/>
        </a:stretch>
      </xdr:blipFill>
      <xdr:spPr bwMode="auto">
        <a:xfrm>
          <a:off x="0" y="28575"/>
          <a:ext cx="0" cy="9731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0</xdr:col>
      <xdr:colOff>0</xdr:colOff>
      <xdr:row>4</xdr:row>
      <xdr:rowOff>152400</xdr:rowOff>
    </xdr:to>
    <xdr:pic>
      <xdr:nvPicPr>
        <xdr:cNvPr id="481386" name="Picture 1" descr="logo">
          <a:extLst>
            <a:ext uri="{FF2B5EF4-FFF2-40B4-BE49-F238E27FC236}">
              <a16:creationId xmlns:a16="http://schemas.microsoft.com/office/drawing/2014/main" id="{00000000-0008-0000-0B00-00006A580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</a:blip>
        <a:srcRect/>
        <a:stretch>
          <a:fillRect/>
        </a:stretch>
      </xdr:blipFill>
      <xdr:spPr bwMode="auto">
        <a:xfrm>
          <a:off x="114300" y="28575"/>
          <a:ext cx="727710" cy="10153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DEFBEA-59AF-4AF6-827A-2DD81CFB847B}" name="Tabla2" displayName="Tabla2" ref="B6:K210" totalsRowShown="0" headerRowDxfId="12" dataDxfId="11" tableBorderDxfId="10">
  <autoFilter ref="B6:K210" xr:uid="{00000000-0009-0000-0000-000002000000}">
    <filterColumn colId="5" hiddenButton="1"/>
  </autoFilter>
  <sortState xmlns:xlrd2="http://schemas.microsoft.com/office/spreadsheetml/2017/richdata2" ref="B7:K210">
    <sortCondition descending="1" ref="I7:I210"/>
    <sortCondition descending="1" ref="H7:H210"/>
    <sortCondition descending="1" ref="G7:G210"/>
    <sortCondition descending="1" ref="F7:F210"/>
    <sortCondition descending="1" ref="E7:E210"/>
  </sortState>
  <tableColumns count="10">
    <tableColumn id="1" xr3:uid="{72013780-3953-4A31-8EC4-C260CA937A66}" name="DORS" dataDxfId="9">
      <calculatedColumnFormula>PUNTUACIONES!A8</calculatedColumnFormula>
    </tableColumn>
    <tableColumn id="2" xr3:uid="{A4562203-A6C1-4590-AE4D-D379E80954E2}" name="TIRADOR" dataDxfId="8">
      <calculatedColumnFormula>PUNTUACIONES!B8</calculatedColumnFormula>
    </tableColumn>
    <tableColumn id="3" xr3:uid="{02DC73D8-90E8-46B0-8F50-C545F582EDDF}" name="CAT." dataDxfId="7">
      <calculatedColumnFormula>PUNTUACIONES!D8</calculatedColumnFormula>
    </tableColumn>
    <tableColumn id="4" xr3:uid="{85D1167E-F096-45A5-A665-933B95B72196}" name="S1" dataDxfId="6">
      <calculatedColumnFormula>PUNTUACIONES!E8</calculatedColumnFormula>
    </tableColumn>
    <tableColumn id="5" xr3:uid="{0F24F783-3838-4DB7-866E-B1EDFF698840}" name="S2" dataDxfId="5">
      <calculatedColumnFormula>PUNTUACIONES!F8</calculatedColumnFormula>
    </tableColumn>
    <tableColumn id="6" xr3:uid="{1880E135-EC23-443F-97C5-431892504CE6}" name="S3" dataDxfId="4">
      <calculatedColumnFormula>PUNTUACIONES!G8</calculatedColumnFormula>
    </tableColumn>
    <tableColumn id="7" xr3:uid="{961A4D43-5132-4778-B013-B937305FD5C8}" name="S4" dataDxfId="3">
      <calculatedColumnFormula>PUNTUACIONES!H8</calculatedColumnFormula>
    </tableColumn>
    <tableColumn id="8" xr3:uid="{D3A3295E-9222-4ABE-84D3-917DAA89854A}" name="TOTAL" dataDxfId="2">
      <calculatedColumnFormula>PUNTUACIONES!I8</calculatedColumnFormula>
    </tableColumn>
    <tableColumn id="9" xr3:uid="{2949CC66-454C-41F4-B645-D613FE9A4939}" name="FINAL" dataDxfId="1">
      <calculatedColumnFormula>PUNTUACIONES!J8</calculatedColumnFormula>
    </tableColumn>
    <tableColumn id="10" xr3:uid="{A5B51A4E-CA1B-4E0E-AF8E-E4D0899B524B}" name="TOTAL2" dataDxfId="0">
      <calculatedColumnFormula>PUNTUACIONES!K8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F330"/>
  <sheetViews>
    <sheetView showGridLines="0" showZeros="0" zoomScale="160" zoomScaleNormal="160" zoomScalePageLayoutView="130" workbookViewId="0">
      <selection activeCell="A4" sqref="A4:D4"/>
    </sheetView>
  </sheetViews>
  <sheetFormatPr baseColWidth="10" defaultRowHeight="13.2" x14ac:dyDescent="0.25"/>
  <cols>
    <col min="1" max="1" width="7.5546875" customWidth="1"/>
    <col min="2" max="2" width="57.109375" customWidth="1"/>
    <col min="3" max="3" width="12.33203125" style="31" customWidth="1"/>
    <col min="4" max="4" width="16.109375" style="31" customWidth="1"/>
    <col min="5" max="5" width="11.33203125" style="31" customWidth="1"/>
    <col min="6" max="6" width="14.33203125" style="31" customWidth="1"/>
  </cols>
  <sheetData>
    <row r="1" spans="1:6" ht="21" x14ac:dyDescent="0.4">
      <c r="A1" s="77" t="s">
        <v>72</v>
      </c>
      <c r="B1" s="77"/>
      <c r="C1" s="77"/>
      <c r="D1" s="77"/>
      <c r="E1" s="77"/>
      <c r="F1" s="77"/>
    </row>
    <row r="2" spans="1:6" ht="19.5" customHeight="1" x14ac:dyDescent="0.3">
      <c r="A2" s="78" t="s">
        <v>51</v>
      </c>
      <c r="B2" s="78"/>
      <c r="C2" s="78"/>
      <c r="D2" s="78"/>
      <c r="E2" s="78"/>
      <c r="F2" s="78"/>
    </row>
    <row r="3" spans="1:6" ht="21.6" customHeight="1" x14ac:dyDescent="0.25">
      <c r="A3" s="79" t="s">
        <v>73</v>
      </c>
      <c r="B3" s="79"/>
      <c r="C3" s="79"/>
      <c r="D3" s="79"/>
      <c r="E3" s="79"/>
      <c r="F3" s="79"/>
    </row>
    <row r="4" spans="1:6" ht="17.399999999999999" x14ac:dyDescent="0.3">
      <c r="A4" s="80" t="s">
        <v>49</v>
      </c>
      <c r="B4" s="80"/>
      <c r="C4" s="80"/>
      <c r="D4" s="80"/>
      <c r="E4" s="52"/>
      <c r="F4"/>
    </row>
    <row r="6" spans="1:6" x14ac:dyDescent="0.25">
      <c r="A6" s="75" t="s">
        <v>0</v>
      </c>
      <c r="B6" s="75" t="s">
        <v>48</v>
      </c>
      <c r="C6" s="75" t="s">
        <v>47</v>
      </c>
      <c r="D6" s="75" t="s">
        <v>52</v>
      </c>
      <c r="E6" s="75" t="s">
        <v>55</v>
      </c>
      <c r="F6" s="75" t="s">
        <v>53</v>
      </c>
    </row>
    <row r="7" spans="1:6" ht="19.5" customHeight="1" x14ac:dyDescent="0.25">
      <c r="A7" s="76"/>
      <c r="B7" s="76"/>
      <c r="C7" s="76"/>
      <c r="D7" s="76"/>
      <c r="E7" s="76"/>
      <c r="F7" s="76"/>
    </row>
    <row r="8" spans="1:6" ht="19.5" customHeight="1" x14ac:dyDescent="0.3">
      <c r="A8" s="61">
        <v>1</v>
      </c>
      <c r="B8" s="64"/>
      <c r="C8" s="44"/>
      <c r="D8" s="63"/>
      <c r="E8" s="44"/>
      <c r="F8" s="44"/>
    </row>
    <row r="9" spans="1:6" ht="19.5" customHeight="1" x14ac:dyDescent="0.3">
      <c r="A9" s="61">
        <v>2</v>
      </c>
      <c r="B9" s="64"/>
      <c r="C9" s="44"/>
      <c r="D9" s="63"/>
      <c r="E9" s="44"/>
      <c r="F9" s="44"/>
    </row>
    <row r="10" spans="1:6" ht="19.5" customHeight="1" x14ac:dyDescent="0.3">
      <c r="A10" s="61">
        <v>3</v>
      </c>
      <c r="B10" s="64"/>
      <c r="C10" s="44"/>
      <c r="D10" s="63"/>
      <c r="E10" s="44"/>
      <c r="F10" s="44"/>
    </row>
    <row r="11" spans="1:6" ht="19.5" customHeight="1" x14ac:dyDescent="0.3">
      <c r="A11" s="61">
        <v>4</v>
      </c>
      <c r="B11" s="64"/>
      <c r="C11" s="44"/>
      <c r="D11" s="63"/>
      <c r="E11" s="44"/>
      <c r="F11" s="44"/>
    </row>
    <row r="12" spans="1:6" ht="19.5" customHeight="1" x14ac:dyDescent="0.3">
      <c r="A12" s="61">
        <v>5</v>
      </c>
      <c r="B12" s="64"/>
      <c r="C12" s="44"/>
      <c r="D12" s="63"/>
      <c r="E12" s="44"/>
      <c r="F12" s="44"/>
    </row>
    <row r="13" spans="1:6" ht="19.5" customHeight="1" x14ac:dyDescent="0.3">
      <c r="A13" s="61">
        <v>6</v>
      </c>
      <c r="B13" s="64"/>
      <c r="C13" s="44"/>
      <c r="D13" s="63"/>
      <c r="E13" s="44"/>
      <c r="F13" s="44"/>
    </row>
    <row r="14" spans="1:6" ht="19.5" customHeight="1" x14ac:dyDescent="0.3">
      <c r="A14" s="62">
        <v>7</v>
      </c>
      <c r="B14" s="64"/>
      <c r="C14" s="44"/>
      <c r="D14" s="63"/>
      <c r="E14" s="44"/>
      <c r="F14" s="44"/>
    </row>
    <row r="15" spans="1:6" ht="19.5" customHeight="1" x14ac:dyDescent="0.3">
      <c r="A15" s="62">
        <v>8</v>
      </c>
      <c r="B15" s="64"/>
      <c r="C15" s="44"/>
      <c r="D15" s="63"/>
      <c r="E15" s="44"/>
      <c r="F15" s="44"/>
    </row>
    <row r="16" spans="1:6" ht="19.5" customHeight="1" x14ac:dyDescent="0.3">
      <c r="A16" s="62">
        <v>9</v>
      </c>
      <c r="B16" s="64"/>
      <c r="C16" s="44"/>
      <c r="D16" s="63"/>
      <c r="E16" s="44"/>
      <c r="F16" s="44"/>
    </row>
    <row r="17" spans="1:6" ht="19.5" customHeight="1" x14ac:dyDescent="0.3">
      <c r="A17" s="62">
        <v>10</v>
      </c>
      <c r="B17" s="64"/>
      <c r="C17" s="44"/>
      <c r="D17" s="63"/>
      <c r="E17" s="44"/>
      <c r="F17" s="44"/>
    </row>
    <row r="18" spans="1:6" ht="19.5" customHeight="1" x14ac:dyDescent="0.3">
      <c r="A18" s="62">
        <v>11</v>
      </c>
      <c r="B18" s="64"/>
      <c r="C18" s="44"/>
      <c r="D18" s="63"/>
      <c r="E18" s="44"/>
      <c r="F18" s="44"/>
    </row>
    <row r="19" spans="1:6" ht="19.5" customHeight="1" x14ac:dyDescent="0.3">
      <c r="A19" s="62">
        <v>12</v>
      </c>
      <c r="B19" s="64"/>
      <c r="C19" s="44"/>
      <c r="D19" s="63"/>
      <c r="E19" s="44"/>
      <c r="F19" s="44"/>
    </row>
    <row r="20" spans="1:6" ht="19.5" customHeight="1" x14ac:dyDescent="0.3">
      <c r="A20" s="61">
        <v>13</v>
      </c>
      <c r="B20" s="64"/>
      <c r="C20" s="44"/>
      <c r="D20" s="63"/>
      <c r="E20" s="44"/>
      <c r="F20" s="44"/>
    </row>
    <row r="21" spans="1:6" ht="19.5" customHeight="1" x14ac:dyDescent="0.3">
      <c r="A21" s="61">
        <v>14</v>
      </c>
      <c r="B21" s="64"/>
      <c r="C21" s="44"/>
      <c r="D21" s="63"/>
      <c r="E21" s="44"/>
      <c r="F21" s="44"/>
    </row>
    <row r="22" spans="1:6" ht="19.5" customHeight="1" x14ac:dyDescent="0.3">
      <c r="A22" s="61">
        <v>15</v>
      </c>
      <c r="B22" s="64"/>
      <c r="C22" s="44"/>
      <c r="D22" s="63"/>
      <c r="E22" s="44"/>
      <c r="F22" s="44"/>
    </row>
    <row r="23" spans="1:6" ht="19.5" customHeight="1" x14ac:dyDescent="0.3">
      <c r="A23" s="61">
        <v>16</v>
      </c>
      <c r="B23" s="64"/>
      <c r="C23" s="44"/>
      <c r="D23" s="63"/>
      <c r="E23" s="44"/>
      <c r="F23" s="44"/>
    </row>
    <row r="24" spans="1:6" ht="19.5" customHeight="1" x14ac:dyDescent="0.3">
      <c r="A24" s="61">
        <v>17</v>
      </c>
      <c r="B24" s="64"/>
      <c r="C24" s="44"/>
      <c r="D24" s="63"/>
      <c r="E24" s="44"/>
      <c r="F24" s="44"/>
    </row>
    <row r="25" spans="1:6" ht="19.5" customHeight="1" x14ac:dyDescent="0.3">
      <c r="A25" s="61">
        <v>18</v>
      </c>
      <c r="B25" s="64"/>
      <c r="C25" s="44"/>
      <c r="D25" s="63"/>
      <c r="E25" s="44"/>
      <c r="F25" s="44"/>
    </row>
    <row r="26" spans="1:6" ht="19.5" customHeight="1" x14ac:dyDescent="0.3">
      <c r="A26" s="62">
        <v>19</v>
      </c>
      <c r="B26" s="64"/>
      <c r="C26" s="44"/>
      <c r="D26" s="63"/>
      <c r="E26" s="44"/>
      <c r="F26" s="44"/>
    </row>
    <row r="27" spans="1:6" ht="19.5" customHeight="1" x14ac:dyDescent="0.3">
      <c r="A27" s="62">
        <v>20</v>
      </c>
      <c r="B27" s="64"/>
      <c r="C27" s="44"/>
      <c r="D27" s="63"/>
      <c r="E27" s="44"/>
      <c r="F27" s="44"/>
    </row>
    <row r="28" spans="1:6" ht="19.5" customHeight="1" x14ac:dyDescent="0.3">
      <c r="A28" s="62">
        <v>21</v>
      </c>
      <c r="B28" s="64"/>
      <c r="C28" s="44"/>
      <c r="D28" s="63"/>
      <c r="E28" s="44"/>
      <c r="F28" s="44"/>
    </row>
    <row r="29" spans="1:6" ht="19.5" customHeight="1" x14ac:dyDescent="0.3">
      <c r="A29" s="62">
        <v>22</v>
      </c>
      <c r="B29" s="64"/>
      <c r="C29" s="44"/>
      <c r="D29" s="63"/>
      <c r="E29" s="44"/>
      <c r="F29" s="44"/>
    </row>
    <row r="30" spans="1:6" ht="19.5" customHeight="1" x14ac:dyDescent="0.3">
      <c r="A30" s="62">
        <v>23</v>
      </c>
      <c r="B30" s="64"/>
      <c r="C30" s="44"/>
      <c r="D30" s="63"/>
      <c r="E30" s="44"/>
      <c r="F30" s="44"/>
    </row>
    <row r="31" spans="1:6" ht="19.5" customHeight="1" x14ac:dyDescent="0.3">
      <c r="A31" s="62">
        <v>24</v>
      </c>
      <c r="B31" s="64"/>
      <c r="C31" s="44"/>
      <c r="D31" s="63"/>
      <c r="E31" s="44"/>
      <c r="F31" s="44"/>
    </row>
    <row r="32" spans="1:6" ht="19.5" customHeight="1" x14ac:dyDescent="0.3">
      <c r="A32" s="61">
        <v>25</v>
      </c>
      <c r="B32" s="64"/>
      <c r="C32" s="44"/>
      <c r="D32" s="63"/>
      <c r="E32" s="44"/>
      <c r="F32" s="44"/>
    </row>
    <row r="33" spans="1:6" ht="19.5" customHeight="1" x14ac:dyDescent="0.3">
      <c r="A33" s="61">
        <v>26</v>
      </c>
      <c r="B33" s="64"/>
      <c r="C33" s="44"/>
      <c r="D33" s="63"/>
      <c r="E33" s="44"/>
      <c r="F33" s="44"/>
    </row>
    <row r="34" spans="1:6" ht="19.5" customHeight="1" x14ac:dyDescent="0.3">
      <c r="A34" s="61">
        <v>27</v>
      </c>
      <c r="B34" s="64"/>
      <c r="C34" s="44"/>
      <c r="D34" s="63"/>
      <c r="E34" s="44"/>
      <c r="F34" s="44"/>
    </row>
    <row r="35" spans="1:6" ht="19.5" customHeight="1" x14ac:dyDescent="0.3">
      <c r="A35" s="61">
        <v>28</v>
      </c>
      <c r="B35" s="64"/>
      <c r="C35" s="44"/>
      <c r="D35" s="63"/>
      <c r="E35" s="44"/>
      <c r="F35" s="44"/>
    </row>
    <row r="36" spans="1:6" ht="19.5" customHeight="1" x14ac:dyDescent="0.3">
      <c r="A36" s="61">
        <v>29</v>
      </c>
      <c r="B36" s="64"/>
      <c r="C36" s="44"/>
      <c r="D36" s="63"/>
      <c r="E36" s="44"/>
      <c r="F36" s="44"/>
    </row>
    <row r="37" spans="1:6" ht="19.5" customHeight="1" x14ac:dyDescent="0.3">
      <c r="A37" s="61">
        <v>30</v>
      </c>
      <c r="B37" s="64"/>
      <c r="C37" s="44"/>
      <c r="D37" s="63"/>
      <c r="E37" s="44"/>
      <c r="F37" s="44"/>
    </row>
    <row r="38" spans="1:6" ht="19.5" customHeight="1" x14ac:dyDescent="0.3">
      <c r="A38" s="62">
        <v>31</v>
      </c>
      <c r="B38" s="64"/>
      <c r="C38" s="44"/>
      <c r="D38" s="63"/>
      <c r="E38" s="44"/>
      <c r="F38" s="44"/>
    </row>
    <row r="39" spans="1:6" ht="19.5" customHeight="1" x14ac:dyDescent="0.3">
      <c r="A39" s="62">
        <v>32</v>
      </c>
      <c r="B39" s="64"/>
      <c r="C39" s="44"/>
      <c r="D39" s="63"/>
      <c r="E39" s="44"/>
      <c r="F39" s="44"/>
    </row>
    <row r="40" spans="1:6" ht="19.5" customHeight="1" x14ac:dyDescent="0.3">
      <c r="A40" s="62">
        <v>33</v>
      </c>
      <c r="B40" s="64"/>
      <c r="C40" s="44"/>
      <c r="D40" s="63"/>
      <c r="E40" s="44"/>
      <c r="F40" s="44"/>
    </row>
    <row r="41" spans="1:6" ht="19.5" customHeight="1" x14ac:dyDescent="0.3">
      <c r="A41" s="62">
        <v>34</v>
      </c>
      <c r="B41" s="64"/>
      <c r="C41" s="44"/>
      <c r="D41" s="63"/>
      <c r="E41" s="44"/>
      <c r="F41" s="44"/>
    </row>
    <row r="42" spans="1:6" ht="19.5" customHeight="1" x14ac:dyDescent="0.3">
      <c r="A42" s="62">
        <v>35</v>
      </c>
      <c r="B42" s="64"/>
      <c r="C42" s="44"/>
      <c r="D42" s="63"/>
      <c r="E42" s="44"/>
      <c r="F42" s="44"/>
    </row>
    <row r="43" spans="1:6" ht="19.5" customHeight="1" x14ac:dyDescent="0.3">
      <c r="A43" s="62">
        <v>36</v>
      </c>
      <c r="B43" s="64"/>
      <c r="C43" s="44"/>
      <c r="D43" s="63"/>
      <c r="E43" s="44"/>
      <c r="F43" s="44"/>
    </row>
    <row r="44" spans="1:6" ht="19.5" customHeight="1" x14ac:dyDescent="0.3">
      <c r="A44" s="61">
        <v>37</v>
      </c>
      <c r="B44" s="64"/>
      <c r="C44" s="44"/>
      <c r="D44" s="63"/>
      <c r="E44" s="44"/>
      <c r="F44" s="44"/>
    </row>
    <row r="45" spans="1:6" ht="19.5" customHeight="1" x14ac:dyDescent="0.3">
      <c r="A45" s="61">
        <v>38</v>
      </c>
      <c r="B45" s="64"/>
      <c r="C45" s="44"/>
      <c r="D45" s="63"/>
      <c r="E45" s="44"/>
      <c r="F45" s="44"/>
    </row>
    <row r="46" spans="1:6" ht="19.5" customHeight="1" x14ac:dyDescent="0.3">
      <c r="A46" s="61">
        <v>39</v>
      </c>
      <c r="B46" s="64"/>
      <c r="C46" s="44"/>
      <c r="D46" s="63"/>
      <c r="E46" s="44"/>
      <c r="F46" s="44"/>
    </row>
    <row r="47" spans="1:6" ht="19.5" customHeight="1" x14ac:dyDescent="0.3">
      <c r="A47" s="61">
        <v>40</v>
      </c>
      <c r="B47" s="64"/>
      <c r="C47" s="44"/>
      <c r="D47" s="63"/>
      <c r="E47" s="44"/>
      <c r="F47" s="44"/>
    </row>
    <row r="48" spans="1:6" ht="19.5" customHeight="1" x14ac:dyDescent="0.3">
      <c r="A48" s="61">
        <v>41</v>
      </c>
      <c r="B48" s="64"/>
      <c r="C48" s="44"/>
      <c r="D48" s="63"/>
      <c r="E48" s="44"/>
      <c r="F48" s="44"/>
    </row>
    <row r="49" spans="1:6" ht="19.5" customHeight="1" x14ac:dyDescent="0.3">
      <c r="A49" s="61">
        <v>42</v>
      </c>
      <c r="B49" s="64"/>
      <c r="C49" s="44"/>
      <c r="D49" s="63"/>
      <c r="E49" s="44"/>
      <c r="F49" s="44"/>
    </row>
    <row r="50" spans="1:6" ht="19.5" customHeight="1" x14ac:dyDescent="0.3">
      <c r="A50" s="62">
        <v>43</v>
      </c>
      <c r="B50" s="64"/>
      <c r="C50" s="44"/>
      <c r="D50" s="63"/>
      <c r="E50" s="44"/>
      <c r="F50" s="44"/>
    </row>
    <row r="51" spans="1:6" ht="19.5" customHeight="1" x14ac:dyDescent="0.3">
      <c r="A51" s="62">
        <v>44</v>
      </c>
      <c r="B51" s="64"/>
      <c r="C51" s="44"/>
      <c r="D51" s="63"/>
      <c r="E51" s="44"/>
      <c r="F51" s="44"/>
    </row>
    <row r="52" spans="1:6" ht="19.5" customHeight="1" x14ac:dyDescent="0.3">
      <c r="A52" s="62">
        <v>45</v>
      </c>
      <c r="B52" s="64"/>
      <c r="C52" s="44"/>
      <c r="D52" s="63"/>
      <c r="E52" s="44"/>
      <c r="F52" s="44"/>
    </row>
    <row r="53" spans="1:6" ht="19.5" customHeight="1" x14ac:dyDescent="0.3">
      <c r="A53" s="62">
        <v>46</v>
      </c>
      <c r="B53" s="64"/>
      <c r="C53" s="44"/>
      <c r="D53" s="63"/>
      <c r="E53" s="44"/>
      <c r="F53" s="44"/>
    </row>
    <row r="54" spans="1:6" ht="19.5" customHeight="1" x14ac:dyDescent="0.3">
      <c r="A54" s="62">
        <v>47</v>
      </c>
      <c r="B54" s="64"/>
      <c r="C54" s="44"/>
      <c r="D54" s="63"/>
      <c r="E54" s="44"/>
      <c r="F54" s="44"/>
    </row>
    <row r="55" spans="1:6" ht="19.5" customHeight="1" x14ac:dyDescent="0.3">
      <c r="A55" s="62">
        <v>48</v>
      </c>
      <c r="B55" s="64"/>
      <c r="C55" s="44"/>
      <c r="D55" s="63"/>
      <c r="E55" s="44"/>
      <c r="F55" s="44"/>
    </row>
    <row r="56" spans="1:6" ht="19.5" customHeight="1" x14ac:dyDescent="0.3">
      <c r="A56" s="61">
        <v>49</v>
      </c>
      <c r="B56" s="64"/>
      <c r="C56" s="44"/>
      <c r="D56" s="63"/>
      <c r="E56" s="44"/>
      <c r="F56" s="44"/>
    </row>
    <row r="57" spans="1:6" ht="19.5" customHeight="1" x14ac:dyDescent="0.3">
      <c r="A57" s="61">
        <v>50</v>
      </c>
      <c r="B57" s="64"/>
      <c r="C57" s="44"/>
      <c r="D57" s="63"/>
      <c r="E57" s="44"/>
      <c r="F57" s="44"/>
    </row>
    <row r="58" spans="1:6" ht="19.5" customHeight="1" x14ac:dyDescent="0.3">
      <c r="A58" s="61">
        <v>51</v>
      </c>
      <c r="B58" s="64"/>
      <c r="C58" s="44"/>
      <c r="D58" s="63"/>
      <c r="E58" s="44"/>
      <c r="F58" s="44"/>
    </row>
    <row r="59" spans="1:6" ht="19.5" customHeight="1" x14ac:dyDescent="0.3">
      <c r="A59" s="61">
        <v>52</v>
      </c>
      <c r="B59" s="64"/>
      <c r="C59" s="44"/>
      <c r="D59" s="63"/>
      <c r="E59" s="44"/>
      <c r="F59" s="44"/>
    </row>
    <row r="60" spans="1:6" ht="19.5" customHeight="1" x14ac:dyDescent="0.3">
      <c r="A60" s="61">
        <v>53</v>
      </c>
      <c r="B60" s="64"/>
      <c r="C60" s="44"/>
      <c r="D60" s="63"/>
      <c r="E60" s="44"/>
      <c r="F60" s="44"/>
    </row>
    <row r="61" spans="1:6" ht="19.5" customHeight="1" x14ac:dyDescent="0.3">
      <c r="A61" s="61">
        <v>54</v>
      </c>
      <c r="B61" s="64"/>
      <c r="C61" s="44"/>
      <c r="D61" s="63"/>
      <c r="E61" s="44"/>
      <c r="F61" s="44"/>
    </row>
    <row r="62" spans="1:6" ht="19.5" customHeight="1" x14ac:dyDescent="0.3">
      <c r="A62" s="62">
        <v>55</v>
      </c>
      <c r="B62" s="64"/>
      <c r="C62" s="44"/>
      <c r="D62" s="63"/>
      <c r="E62" s="44"/>
      <c r="F62" s="44"/>
    </row>
    <row r="63" spans="1:6" ht="19.5" customHeight="1" x14ac:dyDescent="0.3">
      <c r="A63" s="62">
        <v>56</v>
      </c>
      <c r="B63" s="64"/>
      <c r="C63" s="44"/>
      <c r="D63" s="63"/>
      <c r="E63" s="44"/>
      <c r="F63" s="44"/>
    </row>
    <row r="64" spans="1:6" ht="19.5" customHeight="1" x14ac:dyDescent="0.3">
      <c r="A64" s="62">
        <v>57</v>
      </c>
      <c r="B64" s="64"/>
      <c r="C64" s="44"/>
      <c r="D64" s="63"/>
      <c r="E64" s="44"/>
      <c r="F64" s="44"/>
    </row>
    <row r="65" spans="1:6" ht="19.5" customHeight="1" x14ac:dyDescent="0.3">
      <c r="A65" s="62">
        <v>58</v>
      </c>
      <c r="B65" s="64"/>
      <c r="C65" s="44"/>
      <c r="D65" s="63"/>
      <c r="E65" s="44"/>
      <c r="F65" s="44"/>
    </row>
    <row r="66" spans="1:6" ht="19.5" customHeight="1" x14ac:dyDescent="0.3">
      <c r="A66" s="62">
        <v>59</v>
      </c>
      <c r="B66" s="64"/>
      <c r="C66" s="44"/>
      <c r="D66" s="63"/>
      <c r="E66" s="44"/>
      <c r="F66" s="44"/>
    </row>
    <row r="67" spans="1:6" ht="19.5" customHeight="1" x14ac:dyDescent="0.3">
      <c r="A67" s="62">
        <v>60</v>
      </c>
      <c r="B67" s="64"/>
      <c r="C67" s="44"/>
      <c r="D67" s="63"/>
      <c r="E67" s="44"/>
      <c r="F67" s="44"/>
    </row>
    <row r="68" spans="1:6" ht="19.5" customHeight="1" x14ac:dyDescent="0.3">
      <c r="A68" s="61">
        <v>61</v>
      </c>
      <c r="B68" s="64"/>
      <c r="C68" s="44"/>
      <c r="D68" s="63"/>
      <c r="E68" s="44"/>
      <c r="F68" s="44"/>
    </row>
    <row r="69" spans="1:6" ht="19.5" customHeight="1" x14ac:dyDescent="0.3">
      <c r="A69" s="61">
        <v>62</v>
      </c>
      <c r="B69" s="64"/>
      <c r="C69" s="44"/>
      <c r="D69" s="63"/>
      <c r="E69" s="44"/>
      <c r="F69" s="44"/>
    </row>
    <row r="70" spans="1:6" ht="19.5" customHeight="1" x14ac:dyDescent="0.3">
      <c r="A70" s="61">
        <v>63</v>
      </c>
      <c r="B70" s="64"/>
      <c r="C70" s="44"/>
      <c r="D70" s="63"/>
      <c r="E70" s="44"/>
      <c r="F70" s="44"/>
    </row>
    <row r="71" spans="1:6" ht="19.5" customHeight="1" x14ac:dyDescent="0.3">
      <c r="A71" s="61">
        <v>64</v>
      </c>
      <c r="B71" s="64"/>
      <c r="C71" s="44"/>
      <c r="D71" s="63"/>
      <c r="E71" s="44"/>
      <c r="F71" s="44"/>
    </row>
    <row r="72" spans="1:6" ht="19.5" customHeight="1" x14ac:dyDescent="0.3">
      <c r="A72" s="61">
        <v>65</v>
      </c>
      <c r="B72" s="64"/>
      <c r="C72" s="44"/>
      <c r="D72" s="63"/>
      <c r="E72" s="44"/>
      <c r="F72" s="44"/>
    </row>
    <row r="73" spans="1:6" ht="19.5" customHeight="1" x14ac:dyDescent="0.3">
      <c r="A73" s="61">
        <v>66</v>
      </c>
      <c r="B73" s="64"/>
      <c r="C73" s="44"/>
      <c r="D73" s="63"/>
      <c r="E73" s="44"/>
      <c r="F73" s="44"/>
    </row>
    <row r="74" spans="1:6" ht="19.5" customHeight="1" x14ac:dyDescent="0.3">
      <c r="A74" s="62">
        <v>67</v>
      </c>
      <c r="B74" s="64"/>
      <c r="C74" s="44"/>
      <c r="D74" s="63"/>
      <c r="E74" s="44"/>
      <c r="F74" s="44"/>
    </row>
    <row r="75" spans="1:6" ht="19.5" customHeight="1" x14ac:dyDescent="0.3">
      <c r="A75" s="62">
        <v>68</v>
      </c>
      <c r="B75" s="64"/>
      <c r="C75" s="44"/>
      <c r="D75" s="63"/>
      <c r="E75" s="44"/>
      <c r="F75" s="44"/>
    </row>
    <row r="76" spans="1:6" ht="19.5" customHeight="1" x14ac:dyDescent="0.3">
      <c r="A76" s="62">
        <v>69</v>
      </c>
      <c r="B76" s="64"/>
      <c r="C76" s="44"/>
      <c r="D76" s="63"/>
      <c r="E76" s="44"/>
      <c r="F76" s="44"/>
    </row>
    <row r="77" spans="1:6" ht="19.5" customHeight="1" x14ac:dyDescent="0.3">
      <c r="A77" s="62">
        <v>70</v>
      </c>
      <c r="B77" s="64"/>
      <c r="C77" s="44"/>
      <c r="D77" s="63"/>
      <c r="E77" s="44"/>
      <c r="F77" s="44"/>
    </row>
    <row r="78" spans="1:6" ht="19.5" customHeight="1" x14ac:dyDescent="0.3">
      <c r="A78" s="62">
        <v>71</v>
      </c>
      <c r="B78" s="64"/>
      <c r="C78" s="44"/>
      <c r="D78" s="63"/>
      <c r="E78" s="44"/>
      <c r="F78" s="44"/>
    </row>
    <row r="79" spans="1:6" ht="19.5" customHeight="1" x14ac:dyDescent="0.3">
      <c r="A79" s="62">
        <v>72</v>
      </c>
      <c r="B79" s="64"/>
      <c r="C79" s="44"/>
      <c r="D79" s="63"/>
      <c r="E79" s="44"/>
      <c r="F79" s="44"/>
    </row>
    <row r="80" spans="1:6" ht="19.5" customHeight="1" x14ac:dyDescent="0.3">
      <c r="A80" s="61">
        <v>73</v>
      </c>
      <c r="B80" s="64"/>
      <c r="C80" s="44"/>
      <c r="D80" s="63"/>
      <c r="E80" s="44"/>
      <c r="F80" s="44"/>
    </row>
    <row r="81" spans="1:6" ht="19.5" customHeight="1" x14ac:dyDescent="0.3">
      <c r="A81" s="61">
        <v>74</v>
      </c>
      <c r="B81" s="64"/>
      <c r="C81" s="44"/>
      <c r="D81" s="63"/>
      <c r="E81" s="44"/>
      <c r="F81" s="44"/>
    </row>
    <row r="82" spans="1:6" ht="19.5" customHeight="1" x14ac:dyDescent="0.3">
      <c r="A82" s="61">
        <v>75</v>
      </c>
      <c r="B82" s="64"/>
      <c r="C82" s="44"/>
      <c r="D82" s="63"/>
      <c r="E82" s="44"/>
      <c r="F82" s="44"/>
    </row>
    <row r="83" spans="1:6" ht="19.5" customHeight="1" x14ac:dyDescent="0.3">
      <c r="A83" s="61">
        <v>76</v>
      </c>
      <c r="B83" s="64"/>
      <c r="C83" s="44"/>
      <c r="D83" s="63"/>
      <c r="E83" s="44"/>
      <c r="F83" s="44"/>
    </row>
    <row r="84" spans="1:6" ht="19.5" customHeight="1" x14ac:dyDescent="0.3">
      <c r="A84" s="61">
        <v>77</v>
      </c>
      <c r="B84" s="64"/>
      <c r="C84" s="44"/>
      <c r="D84" s="63"/>
      <c r="E84" s="44"/>
      <c r="F84" s="44"/>
    </row>
    <row r="85" spans="1:6" ht="19.5" customHeight="1" x14ac:dyDescent="0.3">
      <c r="A85" s="61">
        <v>78</v>
      </c>
      <c r="B85" s="64"/>
      <c r="C85" s="44"/>
      <c r="D85" s="63"/>
      <c r="E85" s="44"/>
      <c r="F85" s="44"/>
    </row>
    <row r="86" spans="1:6" ht="19.5" customHeight="1" x14ac:dyDescent="0.3">
      <c r="A86" s="62">
        <v>79</v>
      </c>
      <c r="B86" s="64"/>
      <c r="C86" s="44"/>
      <c r="D86" s="63"/>
      <c r="E86" s="44"/>
      <c r="F86" s="44"/>
    </row>
    <row r="87" spans="1:6" ht="19.5" customHeight="1" x14ac:dyDescent="0.3">
      <c r="A87" s="62">
        <v>80</v>
      </c>
      <c r="B87" s="64"/>
      <c r="C87" s="44"/>
      <c r="D87" s="63"/>
      <c r="E87" s="44"/>
      <c r="F87" s="44"/>
    </row>
    <row r="88" spans="1:6" ht="19.5" customHeight="1" x14ac:dyDescent="0.3">
      <c r="A88" s="62">
        <v>81</v>
      </c>
      <c r="B88" s="64"/>
      <c r="C88" s="44"/>
      <c r="D88" s="63"/>
      <c r="E88" s="44"/>
      <c r="F88" s="44"/>
    </row>
    <row r="89" spans="1:6" ht="19.5" customHeight="1" x14ac:dyDescent="0.3">
      <c r="A89" s="62">
        <v>82</v>
      </c>
      <c r="B89" s="64"/>
      <c r="C89" s="44"/>
      <c r="D89" s="63"/>
      <c r="E89" s="44"/>
      <c r="F89" s="44"/>
    </row>
    <row r="90" spans="1:6" ht="19.5" customHeight="1" x14ac:dyDescent="0.3">
      <c r="A90" s="62">
        <v>83</v>
      </c>
      <c r="B90" s="64"/>
      <c r="C90" s="44"/>
      <c r="D90" s="63"/>
      <c r="E90" s="44"/>
      <c r="F90" s="44"/>
    </row>
    <row r="91" spans="1:6" ht="19.5" customHeight="1" x14ac:dyDescent="0.3">
      <c r="A91" s="62">
        <v>84</v>
      </c>
      <c r="B91" s="64"/>
      <c r="C91" s="44"/>
      <c r="D91" s="63"/>
      <c r="E91" s="44"/>
      <c r="F91" s="44"/>
    </row>
    <row r="92" spans="1:6" ht="19.5" customHeight="1" x14ac:dyDescent="0.3">
      <c r="A92" s="61">
        <v>85</v>
      </c>
      <c r="B92" s="64"/>
      <c r="C92" s="44"/>
      <c r="D92" s="63"/>
      <c r="E92" s="44"/>
      <c r="F92" s="44"/>
    </row>
    <row r="93" spans="1:6" ht="19.5" customHeight="1" x14ac:dyDescent="0.3">
      <c r="A93" s="61">
        <v>86</v>
      </c>
      <c r="B93" s="64"/>
      <c r="C93" s="44"/>
      <c r="D93" s="63"/>
      <c r="E93" s="44"/>
      <c r="F93" s="44"/>
    </row>
    <row r="94" spans="1:6" ht="19.5" customHeight="1" x14ac:dyDescent="0.3">
      <c r="A94" s="61">
        <v>87</v>
      </c>
      <c r="B94" s="64"/>
      <c r="C94" s="44"/>
      <c r="D94" s="63"/>
      <c r="E94" s="44"/>
      <c r="F94" s="44"/>
    </row>
    <row r="95" spans="1:6" ht="19.5" customHeight="1" x14ac:dyDescent="0.3">
      <c r="A95" s="61">
        <v>88</v>
      </c>
      <c r="B95" s="64"/>
      <c r="C95" s="44"/>
      <c r="D95" s="63"/>
      <c r="E95" s="44"/>
      <c r="F95" s="44"/>
    </row>
    <row r="96" spans="1:6" ht="19.5" customHeight="1" x14ac:dyDescent="0.3">
      <c r="A96" s="61">
        <v>89</v>
      </c>
      <c r="B96" s="64"/>
      <c r="C96" s="44"/>
      <c r="D96" s="63"/>
      <c r="E96" s="44"/>
      <c r="F96" s="44"/>
    </row>
    <row r="97" spans="1:6" ht="19.5" customHeight="1" x14ac:dyDescent="0.3">
      <c r="A97" s="61">
        <v>90</v>
      </c>
      <c r="B97" s="64"/>
      <c r="C97" s="44"/>
      <c r="D97" s="63"/>
      <c r="E97" s="44"/>
      <c r="F97" s="44"/>
    </row>
    <row r="98" spans="1:6" ht="19.5" customHeight="1" x14ac:dyDescent="0.3">
      <c r="A98" s="62">
        <v>91</v>
      </c>
      <c r="B98" s="64"/>
      <c r="C98" s="44"/>
      <c r="D98" s="63"/>
      <c r="E98" s="44"/>
      <c r="F98" s="44"/>
    </row>
    <row r="99" spans="1:6" ht="19.5" customHeight="1" x14ac:dyDescent="0.3">
      <c r="A99" s="62">
        <v>92</v>
      </c>
      <c r="B99" s="64"/>
      <c r="C99" s="44"/>
      <c r="D99" s="63"/>
      <c r="E99" s="44"/>
      <c r="F99" s="44"/>
    </row>
    <row r="100" spans="1:6" ht="19.5" customHeight="1" x14ac:dyDescent="0.3">
      <c r="A100" s="62">
        <v>93</v>
      </c>
      <c r="B100" s="64"/>
      <c r="C100" s="44"/>
      <c r="D100" s="63"/>
      <c r="E100" s="44"/>
      <c r="F100" s="44"/>
    </row>
    <row r="101" spans="1:6" ht="19.5" customHeight="1" x14ac:dyDescent="0.3">
      <c r="A101" s="62">
        <v>94</v>
      </c>
      <c r="B101" s="64"/>
      <c r="C101" s="44"/>
      <c r="D101" s="63"/>
      <c r="E101" s="44"/>
      <c r="F101" s="44"/>
    </row>
    <row r="102" spans="1:6" ht="19.5" customHeight="1" x14ac:dyDescent="0.3">
      <c r="A102" s="62">
        <v>95</v>
      </c>
      <c r="B102" s="64"/>
      <c r="C102" s="44"/>
      <c r="D102" s="63"/>
      <c r="E102" s="44"/>
      <c r="F102" s="44"/>
    </row>
    <row r="103" spans="1:6" ht="19.5" customHeight="1" x14ac:dyDescent="0.3">
      <c r="A103" s="62">
        <v>96</v>
      </c>
      <c r="B103" s="64"/>
      <c r="C103" s="44"/>
      <c r="D103" s="63"/>
      <c r="E103" s="44"/>
      <c r="F103" s="44"/>
    </row>
    <row r="104" spans="1:6" ht="19.5" customHeight="1" x14ac:dyDescent="0.3">
      <c r="A104" s="61">
        <v>97</v>
      </c>
      <c r="B104" s="64"/>
      <c r="C104" s="44"/>
      <c r="D104" s="63"/>
      <c r="E104" s="44"/>
      <c r="F104" s="44"/>
    </row>
    <row r="105" spans="1:6" ht="19.5" customHeight="1" x14ac:dyDescent="0.3">
      <c r="A105" s="61">
        <v>98</v>
      </c>
      <c r="B105" s="64"/>
      <c r="C105" s="44"/>
      <c r="D105" s="63"/>
      <c r="E105" s="44"/>
      <c r="F105" s="44"/>
    </row>
    <row r="106" spans="1:6" ht="19.5" customHeight="1" x14ac:dyDescent="0.3">
      <c r="A106" s="61">
        <v>99</v>
      </c>
      <c r="B106" s="64"/>
      <c r="C106" s="44"/>
      <c r="D106" s="63"/>
      <c r="E106" s="44"/>
      <c r="F106" s="44"/>
    </row>
    <row r="107" spans="1:6" ht="19.5" customHeight="1" x14ac:dyDescent="0.3">
      <c r="A107" s="61">
        <v>100</v>
      </c>
      <c r="B107" s="64"/>
      <c r="C107" s="44"/>
      <c r="D107" s="63"/>
      <c r="E107" s="44"/>
      <c r="F107" s="44"/>
    </row>
    <row r="108" spans="1:6" ht="19.5" customHeight="1" x14ac:dyDescent="0.3">
      <c r="A108" s="61">
        <v>101</v>
      </c>
      <c r="B108" s="64"/>
      <c r="C108" s="44"/>
      <c r="D108" s="63"/>
      <c r="E108" s="44"/>
      <c r="F108" s="44"/>
    </row>
    <row r="109" spans="1:6" ht="19.5" customHeight="1" x14ac:dyDescent="0.3">
      <c r="A109" s="61">
        <v>102</v>
      </c>
      <c r="B109" s="64"/>
      <c r="C109" s="44"/>
      <c r="D109" s="63"/>
      <c r="E109" s="44"/>
      <c r="F109" s="44"/>
    </row>
    <row r="110" spans="1:6" ht="19.5" customHeight="1" x14ac:dyDescent="0.3">
      <c r="A110" s="62">
        <v>103</v>
      </c>
      <c r="B110" s="64"/>
      <c r="C110" s="44"/>
      <c r="D110" s="63"/>
      <c r="E110" s="44"/>
      <c r="F110" s="44"/>
    </row>
    <row r="111" spans="1:6" ht="19.5" customHeight="1" x14ac:dyDescent="0.3">
      <c r="A111" s="62">
        <v>104</v>
      </c>
      <c r="B111" s="64"/>
      <c r="C111" s="44"/>
      <c r="D111" s="63"/>
      <c r="E111" s="44"/>
      <c r="F111" s="44"/>
    </row>
    <row r="112" spans="1:6" ht="19.5" customHeight="1" x14ac:dyDescent="0.3">
      <c r="A112" s="62">
        <v>105</v>
      </c>
      <c r="B112" s="64"/>
      <c r="C112" s="44"/>
      <c r="D112" s="63"/>
      <c r="E112" s="44"/>
      <c r="F112" s="44"/>
    </row>
    <row r="113" spans="1:6" ht="19.5" customHeight="1" x14ac:dyDescent="0.3">
      <c r="A113" s="62">
        <v>106</v>
      </c>
      <c r="B113" s="64"/>
      <c r="C113" s="44"/>
      <c r="D113" s="63"/>
      <c r="E113" s="44"/>
      <c r="F113" s="44"/>
    </row>
    <row r="114" spans="1:6" ht="19.5" customHeight="1" x14ac:dyDescent="0.3">
      <c r="A114" s="62">
        <v>107</v>
      </c>
      <c r="B114" s="64"/>
      <c r="C114" s="44"/>
      <c r="D114" s="63"/>
      <c r="E114" s="44"/>
      <c r="F114" s="44"/>
    </row>
    <row r="115" spans="1:6" ht="19.5" customHeight="1" x14ac:dyDescent="0.3">
      <c r="A115" s="62">
        <v>108</v>
      </c>
      <c r="B115" s="64"/>
      <c r="C115" s="44"/>
      <c r="D115" s="63"/>
      <c r="E115" s="44"/>
      <c r="F115" s="44"/>
    </row>
    <row r="116" spans="1:6" ht="19.5" customHeight="1" x14ac:dyDescent="0.3">
      <c r="A116" s="61">
        <v>109</v>
      </c>
      <c r="B116" s="64"/>
      <c r="C116" s="44"/>
      <c r="D116" s="63"/>
      <c r="E116" s="44"/>
      <c r="F116" s="44"/>
    </row>
    <row r="117" spans="1:6" ht="19.5" customHeight="1" x14ac:dyDescent="0.3">
      <c r="A117" s="61">
        <v>110</v>
      </c>
      <c r="B117" s="64"/>
      <c r="C117" s="44"/>
      <c r="D117" s="63"/>
      <c r="E117" s="44"/>
      <c r="F117" s="44"/>
    </row>
    <row r="118" spans="1:6" ht="19.5" customHeight="1" x14ac:dyDescent="0.3">
      <c r="A118" s="61">
        <v>111</v>
      </c>
      <c r="B118" s="64"/>
      <c r="C118" s="44"/>
      <c r="D118" s="63"/>
      <c r="E118" s="44"/>
      <c r="F118" s="44"/>
    </row>
    <row r="119" spans="1:6" ht="19.5" customHeight="1" x14ac:dyDescent="0.3">
      <c r="A119" s="61">
        <v>112</v>
      </c>
      <c r="B119" s="64"/>
      <c r="C119" s="44"/>
      <c r="D119" s="63"/>
      <c r="E119" s="44"/>
      <c r="F119" s="44"/>
    </row>
    <row r="120" spans="1:6" ht="19.5" customHeight="1" x14ac:dyDescent="0.3">
      <c r="A120" s="61">
        <v>113</v>
      </c>
      <c r="B120" s="64"/>
      <c r="C120" s="44"/>
      <c r="D120" s="63"/>
      <c r="E120" s="44"/>
      <c r="F120" s="44"/>
    </row>
    <row r="121" spans="1:6" ht="19.5" customHeight="1" x14ac:dyDescent="0.3">
      <c r="A121" s="61">
        <v>114</v>
      </c>
      <c r="B121" s="64"/>
      <c r="C121" s="44"/>
      <c r="D121" s="63"/>
      <c r="E121" s="44"/>
      <c r="F121" s="44"/>
    </row>
    <row r="122" spans="1:6" ht="19.5" customHeight="1" x14ac:dyDescent="0.3">
      <c r="A122" s="62">
        <v>115</v>
      </c>
      <c r="B122" s="64"/>
      <c r="C122" s="44"/>
      <c r="D122" s="63"/>
      <c r="E122" s="44"/>
      <c r="F122" s="44"/>
    </row>
    <row r="123" spans="1:6" ht="19.5" customHeight="1" x14ac:dyDescent="0.3">
      <c r="A123" s="62">
        <v>116</v>
      </c>
      <c r="B123" s="64"/>
      <c r="C123" s="44"/>
      <c r="D123" s="63"/>
      <c r="E123" s="44"/>
      <c r="F123" s="44"/>
    </row>
    <row r="124" spans="1:6" ht="19.5" customHeight="1" x14ac:dyDescent="0.3">
      <c r="A124" s="62">
        <v>117</v>
      </c>
      <c r="B124" s="64"/>
      <c r="C124" s="44"/>
      <c r="D124" s="63"/>
      <c r="E124" s="44"/>
      <c r="F124" s="44"/>
    </row>
    <row r="125" spans="1:6" ht="19.5" customHeight="1" x14ac:dyDescent="0.3">
      <c r="A125" s="62">
        <v>118</v>
      </c>
      <c r="B125" s="64"/>
      <c r="C125" s="44"/>
      <c r="D125" s="63"/>
      <c r="E125" s="44"/>
      <c r="F125" s="44"/>
    </row>
    <row r="126" spans="1:6" ht="19.5" customHeight="1" x14ac:dyDescent="0.3">
      <c r="A126" s="62">
        <v>119</v>
      </c>
      <c r="B126" s="64"/>
      <c r="C126" s="44"/>
      <c r="D126" s="63"/>
      <c r="E126" s="44"/>
      <c r="F126" s="44"/>
    </row>
    <row r="127" spans="1:6" ht="19.5" customHeight="1" x14ac:dyDescent="0.3">
      <c r="A127" s="62">
        <v>120</v>
      </c>
      <c r="B127" s="64"/>
      <c r="C127" s="44"/>
      <c r="D127" s="63"/>
      <c r="E127" s="44"/>
      <c r="F127" s="44"/>
    </row>
    <row r="128" spans="1:6" ht="19.5" customHeight="1" x14ac:dyDescent="0.3">
      <c r="A128" s="61">
        <v>121</v>
      </c>
      <c r="B128" s="64"/>
      <c r="C128" s="44"/>
      <c r="D128" s="63"/>
      <c r="E128" s="44"/>
      <c r="F128" s="44"/>
    </row>
    <row r="129" spans="1:6" ht="19.5" customHeight="1" x14ac:dyDescent="0.3">
      <c r="A129" s="61">
        <v>122</v>
      </c>
      <c r="B129" s="64"/>
      <c r="C129" s="44"/>
      <c r="D129" s="63"/>
      <c r="E129" s="44"/>
      <c r="F129" s="44"/>
    </row>
    <row r="130" spans="1:6" ht="19.5" customHeight="1" x14ac:dyDescent="0.3">
      <c r="A130" s="61">
        <v>123</v>
      </c>
      <c r="B130" s="64"/>
      <c r="C130" s="44"/>
      <c r="D130" s="63"/>
      <c r="E130" s="44"/>
      <c r="F130" s="44"/>
    </row>
    <row r="131" spans="1:6" ht="19.5" customHeight="1" x14ac:dyDescent="0.3">
      <c r="A131" s="61">
        <v>124</v>
      </c>
      <c r="B131" s="64"/>
      <c r="C131" s="44"/>
      <c r="D131" s="63"/>
      <c r="E131" s="44"/>
      <c r="F131" s="44"/>
    </row>
    <row r="132" spans="1:6" ht="19.5" customHeight="1" x14ac:dyDescent="0.3">
      <c r="A132" s="61">
        <v>125</v>
      </c>
      <c r="B132" s="64"/>
      <c r="C132" s="44"/>
      <c r="D132" s="63"/>
      <c r="E132" s="44"/>
      <c r="F132" s="44"/>
    </row>
    <row r="133" spans="1:6" ht="19.5" customHeight="1" x14ac:dyDescent="0.3">
      <c r="A133" s="61">
        <v>126</v>
      </c>
      <c r="B133" s="64"/>
      <c r="C133" s="44"/>
      <c r="D133" s="63"/>
      <c r="E133" s="44"/>
      <c r="F133" s="44"/>
    </row>
    <row r="134" spans="1:6" ht="19.5" customHeight="1" x14ac:dyDescent="0.3">
      <c r="A134" s="62">
        <v>127</v>
      </c>
      <c r="B134" s="64"/>
      <c r="C134" s="44"/>
      <c r="D134" s="63"/>
      <c r="E134" s="44"/>
      <c r="F134" s="44"/>
    </row>
    <row r="135" spans="1:6" ht="19.5" customHeight="1" x14ac:dyDescent="0.3">
      <c r="A135" s="62">
        <v>128</v>
      </c>
      <c r="B135" s="64"/>
      <c r="C135" s="44"/>
      <c r="D135" s="63"/>
      <c r="E135" s="44"/>
      <c r="F135" s="44"/>
    </row>
    <row r="136" spans="1:6" ht="19.5" customHeight="1" x14ac:dyDescent="0.3">
      <c r="A136" s="62">
        <v>129</v>
      </c>
      <c r="B136" s="64"/>
      <c r="C136" s="44"/>
      <c r="D136" s="63"/>
      <c r="E136" s="44"/>
      <c r="F136" s="44"/>
    </row>
    <row r="137" spans="1:6" ht="19.5" customHeight="1" x14ac:dyDescent="0.3">
      <c r="A137" s="62">
        <v>130</v>
      </c>
      <c r="B137" s="64"/>
      <c r="C137" s="44"/>
      <c r="D137" s="63"/>
      <c r="E137" s="44"/>
      <c r="F137" s="44"/>
    </row>
    <row r="138" spans="1:6" ht="19.5" customHeight="1" x14ac:dyDescent="0.3">
      <c r="A138" s="62">
        <v>131</v>
      </c>
      <c r="B138" s="64"/>
      <c r="C138" s="44"/>
      <c r="D138" s="63"/>
      <c r="E138" s="44"/>
      <c r="F138" s="44"/>
    </row>
    <row r="139" spans="1:6" ht="19.5" customHeight="1" x14ac:dyDescent="0.3">
      <c r="A139" s="62">
        <v>132</v>
      </c>
      <c r="B139" s="64"/>
      <c r="C139" s="44"/>
      <c r="D139" s="63"/>
      <c r="E139" s="44"/>
      <c r="F139" s="44"/>
    </row>
    <row r="140" spans="1:6" ht="19.5" customHeight="1" x14ac:dyDescent="0.3">
      <c r="A140" s="61">
        <v>133</v>
      </c>
      <c r="B140" s="64"/>
      <c r="C140" s="44"/>
      <c r="D140" s="63"/>
      <c r="E140" s="44"/>
      <c r="F140" s="44"/>
    </row>
    <row r="141" spans="1:6" ht="19.5" customHeight="1" x14ac:dyDescent="0.3">
      <c r="A141" s="61">
        <v>134</v>
      </c>
      <c r="B141" s="64"/>
      <c r="C141" s="44"/>
      <c r="D141" s="63"/>
      <c r="E141" s="44"/>
      <c r="F141" s="44"/>
    </row>
    <row r="142" spans="1:6" ht="19.5" customHeight="1" x14ac:dyDescent="0.3">
      <c r="A142" s="61">
        <v>135</v>
      </c>
      <c r="B142" s="64"/>
      <c r="C142" s="44"/>
      <c r="D142" s="63"/>
      <c r="E142" s="44"/>
      <c r="F142" s="44"/>
    </row>
    <row r="143" spans="1:6" ht="19.5" customHeight="1" x14ac:dyDescent="0.3">
      <c r="A143" s="61">
        <v>136</v>
      </c>
      <c r="B143" s="64"/>
      <c r="C143" s="44"/>
      <c r="D143" s="63"/>
      <c r="E143" s="44"/>
      <c r="F143" s="44"/>
    </row>
    <row r="144" spans="1:6" ht="19.5" customHeight="1" x14ac:dyDescent="0.3">
      <c r="A144" s="61">
        <v>137</v>
      </c>
      <c r="B144" s="64"/>
      <c r="C144" s="44"/>
      <c r="D144" s="63"/>
      <c r="E144" s="44"/>
      <c r="F144" s="44"/>
    </row>
    <row r="145" spans="1:6" ht="19.5" customHeight="1" x14ac:dyDescent="0.3">
      <c r="A145" s="61">
        <v>138</v>
      </c>
      <c r="B145" s="64"/>
      <c r="C145" s="44"/>
      <c r="D145" s="63"/>
      <c r="E145" s="44"/>
      <c r="F145" s="44"/>
    </row>
    <row r="146" spans="1:6" ht="19.5" customHeight="1" x14ac:dyDescent="0.3">
      <c r="A146" s="62">
        <v>139</v>
      </c>
      <c r="B146" s="64"/>
      <c r="C146" s="44"/>
      <c r="D146" s="63"/>
      <c r="E146" s="44"/>
      <c r="F146" s="44"/>
    </row>
    <row r="147" spans="1:6" ht="19.5" customHeight="1" x14ac:dyDescent="0.3">
      <c r="A147" s="62">
        <v>140</v>
      </c>
      <c r="B147" s="64"/>
      <c r="C147" s="44"/>
      <c r="D147" s="63"/>
      <c r="E147" s="44"/>
      <c r="F147" s="44"/>
    </row>
    <row r="148" spans="1:6" ht="19.5" customHeight="1" x14ac:dyDescent="0.3">
      <c r="A148" s="62">
        <v>141</v>
      </c>
      <c r="B148" s="64"/>
      <c r="C148" s="44"/>
      <c r="D148" s="63"/>
      <c r="E148" s="44"/>
      <c r="F148" s="44"/>
    </row>
    <row r="149" spans="1:6" ht="19.5" customHeight="1" x14ac:dyDescent="0.3">
      <c r="A149" s="62">
        <v>142</v>
      </c>
      <c r="B149" s="64"/>
      <c r="C149" s="44"/>
      <c r="D149" s="63"/>
      <c r="E149" s="44"/>
      <c r="F149" s="44"/>
    </row>
    <row r="150" spans="1:6" ht="19.5" customHeight="1" x14ac:dyDescent="0.3">
      <c r="A150" s="62">
        <v>143</v>
      </c>
      <c r="B150" s="64"/>
      <c r="C150" s="44"/>
      <c r="D150" s="63"/>
      <c r="E150" s="44"/>
      <c r="F150" s="44"/>
    </row>
    <row r="151" spans="1:6" ht="19.5" customHeight="1" x14ac:dyDescent="0.3">
      <c r="A151" s="62">
        <v>144</v>
      </c>
      <c r="B151" s="64"/>
      <c r="C151" s="44"/>
      <c r="D151" s="63"/>
      <c r="E151" s="44"/>
      <c r="F151" s="44"/>
    </row>
    <row r="152" spans="1:6" ht="19.5" customHeight="1" x14ac:dyDescent="0.3">
      <c r="A152" s="61">
        <v>145</v>
      </c>
      <c r="B152" s="64"/>
      <c r="C152" s="44"/>
      <c r="D152" s="63"/>
      <c r="E152" s="44"/>
      <c r="F152" s="44"/>
    </row>
    <row r="153" spans="1:6" ht="19.5" customHeight="1" x14ac:dyDescent="0.3">
      <c r="A153" s="61">
        <v>146</v>
      </c>
      <c r="B153" s="64"/>
      <c r="C153" s="44"/>
      <c r="D153" s="63"/>
      <c r="E153" s="44"/>
      <c r="F153" s="44"/>
    </row>
    <row r="154" spans="1:6" ht="19.5" customHeight="1" x14ac:dyDescent="0.3">
      <c r="A154" s="61">
        <v>147</v>
      </c>
      <c r="B154" s="64"/>
      <c r="C154" s="44"/>
      <c r="D154" s="63"/>
      <c r="E154" s="44"/>
      <c r="F154" s="44"/>
    </row>
    <row r="155" spans="1:6" ht="19.5" customHeight="1" x14ac:dyDescent="0.3">
      <c r="A155" s="61">
        <v>148</v>
      </c>
      <c r="B155" s="64"/>
      <c r="C155" s="44"/>
      <c r="D155" s="63"/>
      <c r="E155" s="44"/>
      <c r="F155" s="44"/>
    </row>
    <row r="156" spans="1:6" ht="19.5" customHeight="1" x14ac:dyDescent="0.3">
      <c r="A156" s="61">
        <v>149</v>
      </c>
      <c r="B156" s="64"/>
      <c r="C156" s="44"/>
      <c r="D156" s="63"/>
      <c r="E156" s="44"/>
      <c r="F156" s="44"/>
    </row>
    <row r="157" spans="1:6" ht="19.5" customHeight="1" x14ac:dyDescent="0.3">
      <c r="A157" s="61">
        <v>150</v>
      </c>
      <c r="B157" s="64"/>
      <c r="C157" s="44"/>
      <c r="D157" s="63"/>
      <c r="E157" s="44"/>
      <c r="F157" s="44"/>
    </row>
    <row r="158" spans="1:6" ht="19.5" customHeight="1" x14ac:dyDescent="0.3">
      <c r="A158" s="62">
        <v>151</v>
      </c>
      <c r="B158" s="64"/>
      <c r="C158" s="44"/>
      <c r="D158" s="63"/>
      <c r="E158" s="44"/>
      <c r="F158" s="44"/>
    </row>
    <row r="159" spans="1:6" ht="19.5" customHeight="1" x14ac:dyDescent="0.3">
      <c r="A159" s="62">
        <v>152</v>
      </c>
      <c r="B159" s="64"/>
      <c r="C159" s="44"/>
      <c r="D159" s="63"/>
      <c r="E159" s="44"/>
      <c r="F159" s="44"/>
    </row>
    <row r="160" spans="1:6" ht="19.5" customHeight="1" x14ac:dyDescent="0.3">
      <c r="A160" s="62">
        <v>153</v>
      </c>
      <c r="B160" s="64"/>
      <c r="C160" s="44"/>
      <c r="D160" s="63"/>
      <c r="E160" s="44"/>
      <c r="F160" s="44"/>
    </row>
    <row r="161" spans="1:6" ht="19.5" customHeight="1" x14ac:dyDescent="0.3">
      <c r="A161" s="62">
        <v>154</v>
      </c>
      <c r="B161" s="64"/>
      <c r="C161" s="44"/>
      <c r="D161" s="63"/>
      <c r="E161" s="44"/>
      <c r="F161" s="44"/>
    </row>
    <row r="162" spans="1:6" ht="19.5" customHeight="1" x14ac:dyDescent="0.3">
      <c r="A162" s="62">
        <v>155</v>
      </c>
      <c r="B162" s="64"/>
      <c r="C162" s="44"/>
      <c r="D162" s="63"/>
      <c r="E162" s="44"/>
      <c r="F162" s="44"/>
    </row>
    <row r="163" spans="1:6" ht="19.5" customHeight="1" x14ac:dyDescent="0.3">
      <c r="A163" s="62">
        <v>156</v>
      </c>
      <c r="B163" s="64"/>
      <c r="C163" s="44"/>
      <c r="D163" s="63"/>
      <c r="E163" s="44"/>
      <c r="F163" s="44"/>
    </row>
    <row r="164" spans="1:6" ht="19.5" customHeight="1" x14ac:dyDescent="0.3">
      <c r="A164" s="61">
        <v>157</v>
      </c>
      <c r="B164" s="64"/>
      <c r="C164" s="44"/>
      <c r="D164" s="63"/>
      <c r="E164" s="44"/>
      <c r="F164" s="44"/>
    </row>
    <row r="165" spans="1:6" ht="19.5" customHeight="1" x14ac:dyDescent="0.3">
      <c r="A165" s="61">
        <v>158</v>
      </c>
      <c r="B165" s="64"/>
      <c r="C165" s="44"/>
      <c r="D165" s="63"/>
      <c r="E165" s="44"/>
      <c r="F165" s="44"/>
    </row>
    <row r="166" spans="1:6" ht="19.5" customHeight="1" x14ac:dyDescent="0.3">
      <c r="A166" s="61">
        <v>159</v>
      </c>
      <c r="B166" s="64"/>
      <c r="C166" s="44"/>
      <c r="D166" s="63"/>
      <c r="E166" s="44"/>
      <c r="F166" s="44"/>
    </row>
    <row r="167" spans="1:6" ht="19.5" customHeight="1" x14ac:dyDescent="0.3">
      <c r="A167" s="61">
        <v>160</v>
      </c>
      <c r="B167" s="64"/>
      <c r="C167" s="44"/>
      <c r="D167" s="63"/>
      <c r="E167" s="44"/>
      <c r="F167" s="44"/>
    </row>
    <row r="168" spans="1:6" ht="19.5" customHeight="1" x14ac:dyDescent="0.3">
      <c r="A168" s="61">
        <v>161</v>
      </c>
      <c r="B168" s="64"/>
      <c r="C168" s="44"/>
      <c r="D168" s="63"/>
      <c r="E168" s="44"/>
      <c r="F168" s="44"/>
    </row>
    <row r="169" spans="1:6" ht="19.5" customHeight="1" x14ac:dyDescent="0.3">
      <c r="A169" s="61">
        <v>162</v>
      </c>
      <c r="B169" s="64"/>
      <c r="C169" s="44"/>
      <c r="D169" s="63"/>
      <c r="E169" s="44"/>
      <c r="F169" s="44"/>
    </row>
    <row r="170" spans="1:6" ht="19.5" customHeight="1" x14ac:dyDescent="0.3">
      <c r="A170" s="62">
        <v>163</v>
      </c>
      <c r="B170" s="64"/>
      <c r="C170" s="44"/>
      <c r="D170" s="63"/>
      <c r="E170" s="44"/>
      <c r="F170" s="44"/>
    </row>
    <row r="171" spans="1:6" ht="19.5" customHeight="1" x14ac:dyDescent="0.3">
      <c r="A171" s="62">
        <v>164</v>
      </c>
      <c r="B171" s="64"/>
      <c r="C171" s="44"/>
      <c r="D171" s="63"/>
      <c r="E171" s="44"/>
      <c r="F171" s="44"/>
    </row>
    <row r="172" spans="1:6" ht="19.5" customHeight="1" x14ac:dyDescent="0.3">
      <c r="A172" s="62">
        <v>165</v>
      </c>
      <c r="B172" s="64"/>
      <c r="C172" s="44"/>
      <c r="D172" s="63"/>
      <c r="E172" s="44"/>
      <c r="F172" s="44"/>
    </row>
    <row r="173" spans="1:6" ht="19.5" customHeight="1" x14ac:dyDescent="0.3">
      <c r="A173" s="62">
        <v>166</v>
      </c>
      <c r="B173" s="64"/>
      <c r="C173" s="44"/>
      <c r="D173" s="63"/>
      <c r="E173" s="44"/>
      <c r="F173" s="44"/>
    </row>
    <row r="174" spans="1:6" ht="19.5" customHeight="1" x14ac:dyDescent="0.3">
      <c r="A174" s="62">
        <v>167</v>
      </c>
      <c r="B174" s="64"/>
      <c r="C174" s="44"/>
      <c r="D174" s="63"/>
      <c r="E174" s="44"/>
      <c r="F174" s="44"/>
    </row>
    <row r="175" spans="1:6" ht="19.5" customHeight="1" x14ac:dyDescent="0.3">
      <c r="A175" s="62">
        <v>168</v>
      </c>
      <c r="B175" s="64"/>
      <c r="C175" s="44"/>
      <c r="D175" s="63"/>
      <c r="E175" s="44"/>
      <c r="F175" s="44"/>
    </row>
    <row r="176" spans="1:6" ht="19.5" customHeight="1" x14ac:dyDescent="0.3">
      <c r="A176" s="61">
        <v>169</v>
      </c>
      <c r="B176" s="64"/>
      <c r="C176" s="44"/>
      <c r="D176" s="63"/>
      <c r="E176" s="44"/>
      <c r="F176" s="44"/>
    </row>
    <row r="177" spans="1:6" ht="19.5" customHeight="1" x14ac:dyDescent="0.3">
      <c r="A177" s="61">
        <v>170</v>
      </c>
      <c r="B177" s="64"/>
      <c r="C177" s="44"/>
      <c r="D177" s="63"/>
      <c r="E177" s="44"/>
      <c r="F177" s="44"/>
    </row>
    <row r="178" spans="1:6" ht="19.5" customHeight="1" x14ac:dyDescent="0.3">
      <c r="A178" s="61">
        <v>171</v>
      </c>
      <c r="B178" s="64"/>
      <c r="C178" s="44"/>
      <c r="D178" s="63"/>
      <c r="E178" s="44"/>
      <c r="F178" s="44"/>
    </row>
    <row r="179" spans="1:6" ht="19.5" customHeight="1" x14ac:dyDescent="0.3">
      <c r="A179" s="61">
        <v>172</v>
      </c>
      <c r="B179" s="64"/>
      <c r="C179" s="44"/>
      <c r="D179" s="63"/>
      <c r="E179" s="44"/>
      <c r="F179" s="44"/>
    </row>
    <row r="180" spans="1:6" ht="19.5" customHeight="1" x14ac:dyDescent="0.3">
      <c r="A180" s="61">
        <v>173</v>
      </c>
      <c r="B180" s="64"/>
      <c r="C180" s="44"/>
      <c r="D180" s="63"/>
      <c r="E180" s="44"/>
      <c r="F180" s="44"/>
    </row>
    <row r="181" spans="1:6" ht="19.5" customHeight="1" x14ac:dyDescent="0.3">
      <c r="A181" s="61">
        <v>174</v>
      </c>
      <c r="B181" s="64"/>
      <c r="C181" s="44"/>
      <c r="D181" s="63"/>
      <c r="E181" s="44"/>
      <c r="F181" s="44"/>
    </row>
    <row r="182" spans="1:6" ht="19.5" customHeight="1" x14ac:dyDescent="0.3">
      <c r="A182" s="62">
        <v>175</v>
      </c>
      <c r="B182" s="64"/>
      <c r="C182" s="44"/>
      <c r="D182" s="63"/>
      <c r="E182" s="44"/>
      <c r="F182" s="44"/>
    </row>
    <row r="183" spans="1:6" ht="19.5" customHeight="1" x14ac:dyDescent="0.3">
      <c r="A183" s="62">
        <v>176</v>
      </c>
      <c r="B183" s="64"/>
      <c r="C183" s="44"/>
      <c r="D183" s="63"/>
      <c r="E183" s="44"/>
      <c r="F183" s="44"/>
    </row>
    <row r="184" spans="1:6" ht="19.5" customHeight="1" x14ac:dyDescent="0.3">
      <c r="A184" s="62">
        <v>177</v>
      </c>
      <c r="B184" s="64"/>
      <c r="C184" s="44"/>
      <c r="D184" s="63"/>
      <c r="E184" s="44"/>
      <c r="F184" s="44"/>
    </row>
    <row r="185" spans="1:6" ht="19.5" customHeight="1" x14ac:dyDescent="0.3">
      <c r="A185" s="62">
        <v>178</v>
      </c>
      <c r="B185" s="64"/>
      <c r="C185" s="44"/>
      <c r="D185" s="63"/>
      <c r="E185" s="44"/>
      <c r="F185" s="44"/>
    </row>
    <row r="186" spans="1:6" ht="19.5" customHeight="1" x14ac:dyDescent="0.3">
      <c r="A186" s="62">
        <v>179</v>
      </c>
      <c r="B186" s="64"/>
      <c r="C186" s="44"/>
      <c r="D186" s="63"/>
      <c r="E186" s="44"/>
      <c r="F186" s="44"/>
    </row>
    <row r="187" spans="1:6" ht="19.5" customHeight="1" x14ac:dyDescent="0.3">
      <c r="A187" s="62">
        <v>180</v>
      </c>
      <c r="B187" s="64"/>
      <c r="C187" s="44"/>
      <c r="D187" s="63"/>
      <c r="E187" s="44"/>
      <c r="F187" s="44"/>
    </row>
    <row r="188" spans="1:6" ht="19.5" customHeight="1" x14ac:dyDescent="0.3">
      <c r="A188" s="61">
        <v>181</v>
      </c>
      <c r="B188" s="64"/>
      <c r="C188" s="59"/>
      <c r="D188" s="63"/>
      <c r="E188" s="44"/>
      <c r="F188" s="44"/>
    </row>
    <row r="189" spans="1:6" ht="19.5" customHeight="1" x14ac:dyDescent="0.3">
      <c r="A189" s="61">
        <v>182</v>
      </c>
      <c r="B189" s="64"/>
      <c r="C189" s="59"/>
      <c r="D189" s="63"/>
      <c r="E189" s="44"/>
      <c r="F189" s="44"/>
    </row>
    <row r="190" spans="1:6" ht="19.5" customHeight="1" x14ac:dyDescent="0.3">
      <c r="A190" s="61">
        <v>183</v>
      </c>
      <c r="B190" s="64"/>
      <c r="C190" s="59"/>
      <c r="D190" s="63"/>
      <c r="E190" s="44"/>
      <c r="F190" s="44"/>
    </row>
    <row r="191" spans="1:6" ht="19.5" customHeight="1" x14ac:dyDescent="0.3">
      <c r="A191" s="61">
        <v>184</v>
      </c>
      <c r="B191" s="64"/>
      <c r="C191" s="59"/>
      <c r="D191" s="63"/>
      <c r="E191" s="44"/>
      <c r="F191" s="44"/>
    </row>
    <row r="192" spans="1:6" ht="19.5" customHeight="1" x14ac:dyDescent="0.3">
      <c r="A192" s="61">
        <v>185</v>
      </c>
      <c r="B192" s="64"/>
      <c r="C192" s="59"/>
      <c r="D192" s="63"/>
      <c r="E192" s="44"/>
      <c r="F192" s="44"/>
    </row>
    <row r="193" spans="1:6" ht="19.5" customHeight="1" x14ac:dyDescent="0.3">
      <c r="A193" s="61">
        <v>186</v>
      </c>
      <c r="B193" s="64"/>
      <c r="C193" s="59"/>
      <c r="D193" s="63"/>
      <c r="E193" s="44"/>
      <c r="F193" s="44"/>
    </row>
    <row r="194" spans="1:6" ht="19.5" customHeight="1" x14ac:dyDescent="0.3">
      <c r="A194" s="62">
        <v>187</v>
      </c>
      <c r="B194" s="64"/>
      <c r="C194" s="59"/>
      <c r="D194" s="63"/>
      <c r="E194" s="44"/>
      <c r="F194" s="44"/>
    </row>
    <row r="195" spans="1:6" ht="19.5" customHeight="1" x14ac:dyDescent="0.3">
      <c r="A195" s="62">
        <v>188</v>
      </c>
      <c r="B195" s="64"/>
      <c r="C195" s="59"/>
      <c r="D195" s="63"/>
      <c r="E195" s="44"/>
      <c r="F195" s="44"/>
    </row>
    <row r="196" spans="1:6" ht="19.5" customHeight="1" x14ac:dyDescent="0.3">
      <c r="A196" s="62">
        <v>189</v>
      </c>
      <c r="B196" s="64"/>
      <c r="C196" s="59"/>
      <c r="D196" s="63"/>
      <c r="E196" s="44"/>
      <c r="F196" s="44"/>
    </row>
    <row r="197" spans="1:6" ht="19.5" customHeight="1" x14ac:dyDescent="0.3">
      <c r="A197" s="62">
        <v>190</v>
      </c>
      <c r="B197" s="64"/>
      <c r="C197" s="59"/>
      <c r="D197" s="63"/>
      <c r="E197" s="44"/>
      <c r="F197" s="44"/>
    </row>
    <row r="198" spans="1:6" ht="19.5" customHeight="1" x14ac:dyDescent="0.3">
      <c r="A198" s="62">
        <v>191</v>
      </c>
      <c r="B198" s="64"/>
      <c r="C198" s="59"/>
      <c r="D198" s="63"/>
      <c r="E198" s="44"/>
      <c r="F198" s="44"/>
    </row>
    <row r="199" spans="1:6" ht="19.5" customHeight="1" x14ac:dyDescent="0.3">
      <c r="A199" s="62">
        <v>192</v>
      </c>
      <c r="B199" s="64"/>
      <c r="C199" s="59"/>
      <c r="D199" s="63"/>
      <c r="E199" s="44"/>
      <c r="F199" s="44"/>
    </row>
    <row r="200" spans="1:6" ht="19.5" customHeight="1" x14ac:dyDescent="0.3">
      <c r="A200" s="61">
        <v>193</v>
      </c>
      <c r="B200" s="64"/>
      <c r="C200" s="59"/>
      <c r="D200" s="63"/>
      <c r="E200" s="44"/>
      <c r="F200" s="44"/>
    </row>
    <row r="201" spans="1:6" ht="19.5" customHeight="1" x14ac:dyDescent="0.3">
      <c r="A201" s="61">
        <v>194</v>
      </c>
      <c r="B201" s="64"/>
      <c r="C201" s="59"/>
      <c r="D201" s="63"/>
      <c r="E201" s="44"/>
      <c r="F201" s="44"/>
    </row>
    <row r="202" spans="1:6" ht="19.5" customHeight="1" x14ac:dyDescent="0.3">
      <c r="A202" s="61">
        <v>195</v>
      </c>
      <c r="B202" s="64"/>
      <c r="C202" s="59"/>
      <c r="D202" s="63"/>
      <c r="E202" s="44"/>
      <c r="F202" s="44"/>
    </row>
    <row r="203" spans="1:6" ht="19.5" customHeight="1" x14ac:dyDescent="0.3">
      <c r="A203" s="61">
        <v>196</v>
      </c>
      <c r="B203" s="64"/>
      <c r="C203" s="59"/>
      <c r="D203" s="63"/>
      <c r="E203" s="44"/>
      <c r="F203" s="44"/>
    </row>
    <row r="204" spans="1:6" ht="19.5" customHeight="1" x14ac:dyDescent="0.3">
      <c r="A204" s="61">
        <v>197</v>
      </c>
      <c r="B204" s="64"/>
      <c r="C204" s="59"/>
      <c r="D204" s="63"/>
      <c r="E204" s="44"/>
      <c r="F204" s="44"/>
    </row>
    <row r="205" spans="1:6" ht="19.5" customHeight="1" x14ac:dyDescent="0.3">
      <c r="A205" s="61">
        <v>198</v>
      </c>
      <c r="B205" s="64"/>
      <c r="C205" s="59"/>
      <c r="D205" s="63"/>
      <c r="E205" s="44"/>
      <c r="F205" s="44"/>
    </row>
    <row r="206" spans="1:6" ht="19.5" customHeight="1" x14ac:dyDescent="0.3">
      <c r="A206" s="62">
        <v>199</v>
      </c>
      <c r="B206" s="64"/>
      <c r="C206" s="59"/>
      <c r="D206" s="63"/>
      <c r="E206" s="44"/>
      <c r="F206" s="44"/>
    </row>
    <row r="207" spans="1:6" ht="19.5" customHeight="1" x14ac:dyDescent="0.3">
      <c r="A207" s="62">
        <v>200</v>
      </c>
      <c r="B207" s="64"/>
      <c r="C207" s="59"/>
      <c r="D207" s="63"/>
      <c r="E207" s="44"/>
      <c r="F207" s="44"/>
    </row>
    <row r="208" spans="1:6" ht="19.5" customHeight="1" x14ac:dyDescent="0.3">
      <c r="A208" s="62">
        <v>201</v>
      </c>
      <c r="B208" s="64"/>
      <c r="C208" s="59"/>
      <c r="D208" s="63"/>
      <c r="E208" s="44"/>
      <c r="F208" s="44"/>
    </row>
    <row r="209" spans="1:6" ht="19.5" customHeight="1" x14ac:dyDescent="0.3">
      <c r="A209" s="62">
        <v>202</v>
      </c>
      <c r="B209" s="64"/>
      <c r="C209" s="59"/>
      <c r="D209" s="63"/>
      <c r="E209" s="44"/>
      <c r="F209" s="44"/>
    </row>
    <row r="210" spans="1:6" ht="17.25" customHeight="1" x14ac:dyDescent="0.3">
      <c r="A210" s="62">
        <v>203</v>
      </c>
      <c r="B210" s="64"/>
      <c r="C210" s="59"/>
      <c r="D210" s="63"/>
      <c r="E210" s="44"/>
      <c r="F210" s="44"/>
    </row>
    <row r="211" spans="1:6" ht="19.2" customHeight="1" x14ac:dyDescent="0.3">
      <c r="A211" s="62">
        <v>204</v>
      </c>
      <c r="B211" s="64"/>
      <c r="C211" s="65"/>
      <c r="D211" s="63"/>
      <c r="E211" s="44"/>
      <c r="F211" s="44"/>
    </row>
    <row r="212" spans="1:6" ht="19.2" customHeight="1" x14ac:dyDescent="0.25"/>
    <row r="213" spans="1:6" ht="19.2" customHeight="1" x14ac:dyDescent="0.25"/>
    <row r="214" spans="1:6" ht="19.2" customHeight="1" x14ac:dyDescent="0.25"/>
    <row r="215" spans="1:6" ht="19.2" customHeight="1" x14ac:dyDescent="0.25"/>
    <row r="216" spans="1:6" ht="19.2" customHeight="1" x14ac:dyDescent="0.25"/>
    <row r="217" spans="1:6" ht="19.2" customHeight="1" x14ac:dyDescent="0.25"/>
    <row r="218" spans="1:6" ht="19.2" customHeight="1" x14ac:dyDescent="0.25"/>
    <row r="219" spans="1:6" ht="19.2" customHeight="1" x14ac:dyDescent="0.25"/>
    <row r="220" spans="1:6" ht="19.2" customHeight="1" x14ac:dyDescent="0.25"/>
    <row r="221" spans="1:6" ht="19.2" customHeight="1" x14ac:dyDescent="0.25"/>
    <row r="222" spans="1:6" ht="19.2" customHeight="1" x14ac:dyDescent="0.25"/>
    <row r="223" spans="1:6" ht="19.2" customHeight="1" x14ac:dyDescent="0.25"/>
    <row r="224" spans="1:6" ht="19.2" customHeight="1" x14ac:dyDescent="0.25"/>
    <row r="225" ht="19.2" customHeight="1" x14ac:dyDescent="0.25"/>
    <row r="226" ht="19.2" customHeight="1" x14ac:dyDescent="0.25"/>
    <row r="227" ht="19.2" customHeight="1" x14ac:dyDescent="0.25"/>
    <row r="228" ht="19.2" customHeight="1" x14ac:dyDescent="0.25"/>
    <row r="229" ht="19.2" customHeight="1" x14ac:dyDescent="0.25"/>
    <row r="230" ht="19.2" customHeight="1" x14ac:dyDescent="0.25"/>
    <row r="231" ht="19.2" customHeight="1" x14ac:dyDescent="0.25"/>
    <row r="232" ht="19.2" customHeight="1" x14ac:dyDescent="0.25"/>
    <row r="233" ht="19.2" customHeight="1" x14ac:dyDescent="0.25"/>
    <row r="234" ht="19.2" customHeight="1" x14ac:dyDescent="0.25"/>
    <row r="235" ht="19.2" customHeight="1" x14ac:dyDescent="0.25"/>
    <row r="236" ht="19.2" customHeight="1" x14ac:dyDescent="0.25"/>
    <row r="237" ht="19.2" customHeight="1" x14ac:dyDescent="0.25"/>
    <row r="238" ht="19.2" customHeight="1" x14ac:dyDescent="0.25"/>
    <row r="239" ht="19.2" customHeight="1" x14ac:dyDescent="0.25"/>
    <row r="240" ht="19.2" customHeight="1" x14ac:dyDescent="0.25"/>
    <row r="241" ht="19.2" customHeight="1" x14ac:dyDescent="0.25"/>
    <row r="242" ht="19.2" customHeight="1" x14ac:dyDescent="0.25"/>
    <row r="243" ht="19.2" customHeight="1" x14ac:dyDescent="0.25"/>
    <row r="244" ht="19.2" customHeight="1" x14ac:dyDescent="0.25"/>
    <row r="245" ht="19.2" customHeight="1" x14ac:dyDescent="0.25"/>
    <row r="246" ht="19.2" customHeight="1" x14ac:dyDescent="0.25"/>
    <row r="247" ht="19.2" customHeight="1" x14ac:dyDescent="0.25"/>
    <row r="248" ht="19.2" customHeight="1" x14ac:dyDescent="0.25"/>
    <row r="249" ht="19.2" customHeight="1" x14ac:dyDescent="0.25"/>
    <row r="250" ht="19.2" customHeight="1" x14ac:dyDescent="0.25"/>
    <row r="251" ht="19.2" customHeight="1" x14ac:dyDescent="0.25"/>
    <row r="252" ht="19.2" customHeight="1" x14ac:dyDescent="0.25"/>
    <row r="253" ht="19.2" customHeight="1" x14ac:dyDescent="0.25"/>
    <row r="254" ht="19.2" customHeight="1" x14ac:dyDescent="0.25"/>
    <row r="255" ht="19.2" customHeight="1" x14ac:dyDescent="0.25"/>
    <row r="256" ht="19.2" customHeight="1" x14ac:dyDescent="0.25"/>
    <row r="257" ht="19.2" customHeight="1" x14ac:dyDescent="0.25"/>
    <row r="258" ht="19.2" customHeight="1" x14ac:dyDescent="0.25"/>
    <row r="259" ht="19.2" customHeight="1" x14ac:dyDescent="0.25"/>
    <row r="260" ht="19.2" customHeight="1" x14ac:dyDescent="0.25"/>
    <row r="261" ht="19.2" customHeight="1" x14ac:dyDescent="0.25"/>
    <row r="262" ht="19.2" customHeight="1" x14ac:dyDescent="0.25"/>
    <row r="263" ht="19.2" customHeight="1" x14ac:dyDescent="0.25"/>
    <row r="264" ht="19.2" customHeight="1" x14ac:dyDescent="0.25"/>
    <row r="265" ht="19.2" customHeight="1" x14ac:dyDescent="0.25"/>
    <row r="266" ht="19.2" customHeight="1" x14ac:dyDescent="0.25"/>
    <row r="267" ht="19.2" customHeight="1" x14ac:dyDescent="0.25"/>
    <row r="268" ht="19.2" customHeight="1" x14ac:dyDescent="0.25"/>
    <row r="269" ht="19.2" customHeight="1" x14ac:dyDescent="0.25"/>
    <row r="270" ht="19.2" customHeight="1" x14ac:dyDescent="0.25"/>
    <row r="271" ht="19.2" customHeight="1" x14ac:dyDescent="0.25"/>
    <row r="272" ht="19.2" customHeight="1" x14ac:dyDescent="0.25"/>
    <row r="273" ht="19.2" customHeight="1" x14ac:dyDescent="0.25"/>
    <row r="274" ht="19.2" customHeight="1" x14ac:dyDescent="0.25"/>
    <row r="275" ht="19.2" customHeight="1" x14ac:dyDescent="0.25"/>
    <row r="276" ht="19.2" customHeight="1" x14ac:dyDescent="0.25"/>
    <row r="277" ht="19.2" customHeight="1" x14ac:dyDescent="0.25"/>
    <row r="278" ht="19.2" customHeight="1" x14ac:dyDescent="0.25"/>
    <row r="279" ht="19.2" customHeight="1" x14ac:dyDescent="0.25"/>
    <row r="280" ht="19.2" customHeight="1" x14ac:dyDescent="0.25"/>
    <row r="281" ht="19.2" customHeight="1" x14ac:dyDescent="0.25"/>
    <row r="282" ht="19.2" customHeight="1" x14ac:dyDescent="0.25"/>
    <row r="283" ht="19.2" customHeight="1" x14ac:dyDescent="0.25"/>
    <row r="284" ht="19.2" customHeight="1" x14ac:dyDescent="0.25"/>
    <row r="285" ht="19.2" customHeight="1" x14ac:dyDescent="0.25"/>
    <row r="286" ht="19.2" customHeight="1" x14ac:dyDescent="0.25"/>
    <row r="287" ht="19.2" customHeight="1" x14ac:dyDescent="0.25"/>
    <row r="288" ht="19.2" customHeight="1" x14ac:dyDescent="0.25"/>
    <row r="289" ht="19.2" customHeight="1" x14ac:dyDescent="0.25"/>
    <row r="290" ht="19.2" customHeight="1" x14ac:dyDescent="0.25"/>
    <row r="291" ht="19.2" customHeight="1" x14ac:dyDescent="0.25"/>
    <row r="292" ht="19.2" customHeight="1" x14ac:dyDescent="0.25"/>
    <row r="293" ht="19.2" customHeight="1" x14ac:dyDescent="0.25"/>
    <row r="294" ht="19.2" customHeight="1" x14ac:dyDescent="0.25"/>
    <row r="295" ht="19.2" customHeight="1" x14ac:dyDescent="0.25"/>
    <row r="296" ht="19.2" customHeight="1" x14ac:dyDescent="0.25"/>
    <row r="297" ht="19.2" customHeight="1" x14ac:dyDescent="0.25"/>
    <row r="298" ht="19.2" customHeight="1" x14ac:dyDescent="0.25"/>
    <row r="299" ht="19.2" customHeight="1" x14ac:dyDescent="0.25"/>
    <row r="300" ht="19.2" customHeight="1" x14ac:dyDescent="0.25"/>
    <row r="301" ht="19.2" customHeight="1" x14ac:dyDescent="0.25"/>
    <row r="302" ht="19.2" customHeight="1" x14ac:dyDescent="0.25"/>
    <row r="303" ht="19.2" customHeight="1" x14ac:dyDescent="0.25"/>
    <row r="304" ht="19.2" customHeight="1" x14ac:dyDescent="0.25"/>
    <row r="305" ht="19.2" customHeight="1" x14ac:dyDescent="0.25"/>
    <row r="306" ht="19.2" customHeight="1" x14ac:dyDescent="0.25"/>
    <row r="307" ht="19.2" customHeight="1" x14ac:dyDescent="0.25"/>
    <row r="308" ht="19.2" customHeight="1" x14ac:dyDescent="0.25"/>
    <row r="309" ht="19.2" customHeight="1" x14ac:dyDescent="0.25"/>
    <row r="310" ht="19.2" customHeight="1" x14ac:dyDescent="0.25"/>
    <row r="311" ht="19.2" customHeight="1" x14ac:dyDescent="0.25"/>
    <row r="312" ht="19.2" customHeight="1" x14ac:dyDescent="0.25"/>
    <row r="313" ht="19.2" customHeight="1" x14ac:dyDescent="0.25"/>
    <row r="314" ht="19.2" customHeight="1" x14ac:dyDescent="0.25"/>
    <row r="315" ht="19.2" customHeight="1" x14ac:dyDescent="0.25"/>
    <row r="316" ht="19.2" customHeight="1" x14ac:dyDescent="0.25"/>
    <row r="317" ht="19.2" customHeight="1" x14ac:dyDescent="0.25"/>
    <row r="318" ht="19.2" customHeight="1" x14ac:dyDescent="0.25"/>
    <row r="319" ht="19.2" customHeight="1" x14ac:dyDescent="0.25"/>
    <row r="320" ht="19.2" customHeight="1" x14ac:dyDescent="0.25"/>
    <row r="321" ht="19.2" customHeight="1" x14ac:dyDescent="0.25"/>
    <row r="322" ht="19.2" customHeight="1" x14ac:dyDescent="0.25"/>
    <row r="323" ht="19.2" customHeight="1" x14ac:dyDescent="0.25"/>
    <row r="324" ht="19.2" customHeight="1" x14ac:dyDescent="0.25"/>
    <row r="325" ht="19.2" customHeight="1" x14ac:dyDescent="0.25"/>
    <row r="326" ht="19.2" customHeight="1" x14ac:dyDescent="0.25"/>
    <row r="327" ht="19.2" customHeight="1" x14ac:dyDescent="0.25"/>
    <row r="328" ht="19.2" customHeight="1" x14ac:dyDescent="0.25"/>
    <row r="329" ht="19.2" customHeight="1" x14ac:dyDescent="0.25"/>
    <row r="330" ht="19.2" customHeight="1" x14ac:dyDescent="0.25"/>
  </sheetData>
  <autoFilter ref="A6:F211" xr:uid="{00000000-0001-0000-0000-000000000000}">
    <sortState xmlns:xlrd2="http://schemas.microsoft.com/office/spreadsheetml/2017/richdata2" ref="A9:F211">
      <sortCondition ref="A6:A211"/>
    </sortState>
  </autoFilter>
  <mergeCells count="10">
    <mergeCell ref="F6:F7"/>
    <mergeCell ref="A1:F1"/>
    <mergeCell ref="A2:F2"/>
    <mergeCell ref="A3:F3"/>
    <mergeCell ref="D6:D7"/>
    <mergeCell ref="A4:D4"/>
    <mergeCell ref="A6:A7"/>
    <mergeCell ref="B6:B7"/>
    <mergeCell ref="C6:C7"/>
    <mergeCell ref="E6:E7"/>
  </mergeCells>
  <printOptions horizontalCentered="1"/>
  <pageMargins left="0.25" right="0.25" top="0.42499999999999999" bottom="0.75" header="0.3" footer="0.3"/>
  <pageSetup paperSize="9" scale="92" orientation="portrait" horizontalDpi="360" verticalDpi="360" r:id="rId1"/>
  <headerFooter alignWithMargins="0"/>
  <rowBreaks count="9" manualBreakCount="9">
    <brk id="37" max="16383" man="1"/>
    <brk id="67" max="16383" man="1"/>
    <brk id="97" max="16383" man="1"/>
    <brk id="127" max="16383" man="1"/>
    <brk id="157" max="16383" man="1"/>
    <brk id="216" max="16383" man="1"/>
    <brk id="246" max="16383" man="1"/>
    <brk id="276" max="16383" man="1"/>
    <brk id="30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  <pageSetUpPr fitToPage="1"/>
  </sheetPr>
  <dimension ref="A1:J293"/>
  <sheetViews>
    <sheetView showGridLines="0" showZeros="0" topLeftCell="A79" zoomScaleNormal="100" workbookViewId="0">
      <selection activeCell="C48" sqref="C48"/>
    </sheetView>
  </sheetViews>
  <sheetFormatPr baseColWidth="10" defaultRowHeight="13.2" x14ac:dyDescent="0.25"/>
  <cols>
    <col min="1" max="1" width="23" customWidth="1"/>
    <col min="2" max="2" width="15" customWidth="1"/>
    <col min="3" max="3" width="65.6640625" customWidth="1"/>
    <col min="4" max="4" width="0.33203125" customWidth="1"/>
    <col min="5" max="5" width="18.6640625" customWidth="1"/>
  </cols>
  <sheetData>
    <row r="1" spans="1:10" ht="22.5" customHeight="1" x14ac:dyDescent="0.4">
      <c r="A1" s="77" t="str">
        <f>'INSCRIPCION '!A1:C1</f>
        <v>TIRADA</v>
      </c>
      <c r="B1" s="77"/>
      <c r="C1" s="77"/>
      <c r="D1" s="77"/>
      <c r="E1" s="77"/>
    </row>
    <row r="2" spans="1:10" s="16" customFormat="1" ht="20.25" customHeight="1" x14ac:dyDescent="0.4">
      <c r="A2" s="78" t="str">
        <f>'INSCRIPCION '!A2:C2</f>
        <v>CAMPO DE TIRO LA ISLA</v>
      </c>
      <c r="B2" s="78"/>
      <c r="C2" s="78"/>
      <c r="D2" s="78"/>
      <c r="E2" s="78"/>
      <c r="F2" s="29"/>
      <c r="G2" s="29"/>
    </row>
    <row r="3" spans="1:10" s="16" customFormat="1" ht="20.25" customHeight="1" x14ac:dyDescent="0.4">
      <c r="A3" s="86" t="str">
        <f>'INSCRIPCION '!A3:C3</f>
        <v>XXX PLATOS</v>
      </c>
      <c r="B3" s="86"/>
      <c r="C3" s="86"/>
      <c r="D3" s="86"/>
      <c r="E3" s="86"/>
      <c r="F3" s="29"/>
      <c r="G3" s="29"/>
    </row>
    <row r="4" spans="1:10" ht="41.25" customHeight="1" thickBot="1" x14ac:dyDescent="0.3">
      <c r="A4" s="21"/>
      <c r="C4" s="6"/>
      <c r="D4" s="6"/>
      <c r="E4" s="6"/>
    </row>
    <row r="5" spans="1:10" ht="12.75" customHeight="1" x14ac:dyDescent="0.25">
      <c r="A5" s="17" t="s">
        <v>4</v>
      </c>
      <c r="B5" s="19" t="s">
        <v>5</v>
      </c>
      <c r="C5" s="81" t="s">
        <v>48</v>
      </c>
      <c r="D5" s="81"/>
      <c r="E5" s="81" t="s">
        <v>47</v>
      </c>
    </row>
    <row r="6" spans="1:10" ht="12.75" customHeight="1" thickBot="1" x14ac:dyDescent="0.3">
      <c r="A6" s="18" t="s">
        <v>0</v>
      </c>
      <c r="B6" s="20" t="s">
        <v>0</v>
      </c>
      <c r="C6" s="82"/>
      <c r="D6" s="82"/>
      <c r="E6" s="82"/>
    </row>
    <row r="7" spans="1:10" ht="17.25" customHeight="1" x14ac:dyDescent="0.35">
      <c r="A7" s="83">
        <v>1</v>
      </c>
      <c r="B7" s="13">
        <f>'INSCRIPCION '!A8</f>
        <v>1</v>
      </c>
      <c r="C7" s="14">
        <f>'INSCRIPCION '!B8</f>
        <v>0</v>
      </c>
      <c r="D7" s="14" t="e">
        <f>'INSCRIPCION '!#REF!</f>
        <v>#REF!</v>
      </c>
      <c r="E7" s="15">
        <f>'INSCRIPCION '!C8</f>
        <v>0</v>
      </c>
    </row>
    <row r="8" spans="1:10" ht="17.25" customHeight="1" x14ac:dyDescent="0.35">
      <c r="A8" s="84"/>
      <c r="B8" s="13">
        <f>'INSCRIPCION '!A9</f>
        <v>2</v>
      </c>
      <c r="C8" s="14">
        <f>'INSCRIPCION '!B9</f>
        <v>0</v>
      </c>
      <c r="D8" s="14" t="e">
        <f>'INSCRIPCION '!#REF!</f>
        <v>#REF!</v>
      </c>
      <c r="E8" s="15">
        <f>'INSCRIPCION '!C9</f>
        <v>0</v>
      </c>
    </row>
    <row r="9" spans="1:10" ht="17.25" customHeight="1" x14ac:dyDescent="0.35">
      <c r="A9" s="84"/>
      <c r="B9" s="13">
        <f>'INSCRIPCION '!A10</f>
        <v>3</v>
      </c>
      <c r="C9" s="14">
        <f>'INSCRIPCION '!B10</f>
        <v>0</v>
      </c>
      <c r="D9" s="14" t="e">
        <f>'INSCRIPCION '!#REF!</f>
        <v>#REF!</v>
      </c>
      <c r="E9" s="15">
        <f>'INSCRIPCION '!C10</f>
        <v>0</v>
      </c>
    </row>
    <row r="10" spans="1:10" ht="17.25" customHeight="1" x14ac:dyDescent="0.35">
      <c r="A10" s="84"/>
      <c r="B10" s="13">
        <f>'INSCRIPCION '!A11</f>
        <v>4</v>
      </c>
      <c r="C10" s="14">
        <f>'INSCRIPCION '!B11</f>
        <v>0</v>
      </c>
      <c r="D10" s="14" t="e">
        <f>'INSCRIPCION '!#REF!</f>
        <v>#REF!</v>
      </c>
      <c r="E10" s="15">
        <f>'INSCRIPCION '!C11</f>
        <v>0</v>
      </c>
      <c r="H10" s="4"/>
      <c r="I10" s="10"/>
      <c r="J10" s="10"/>
    </row>
    <row r="11" spans="1:10" ht="17.25" customHeight="1" x14ac:dyDescent="0.35">
      <c r="A11" s="84"/>
      <c r="B11" s="13">
        <f>'INSCRIPCION '!A12</f>
        <v>5</v>
      </c>
      <c r="C11" s="14">
        <f>'INSCRIPCION '!B12</f>
        <v>0</v>
      </c>
      <c r="D11" s="14" t="e">
        <f>'INSCRIPCION '!#REF!</f>
        <v>#REF!</v>
      </c>
      <c r="E11" s="15">
        <f>'INSCRIPCION '!C12</f>
        <v>0</v>
      </c>
    </row>
    <row r="12" spans="1:10" ht="17.25" customHeight="1" x14ac:dyDescent="0.35">
      <c r="A12" s="85"/>
      <c r="B12" s="13">
        <f>'INSCRIPCION '!A13</f>
        <v>6</v>
      </c>
      <c r="C12" s="14">
        <f>'INSCRIPCION '!B13</f>
        <v>0</v>
      </c>
      <c r="D12" s="14" t="e">
        <f>'INSCRIPCION '!#REF!</f>
        <v>#REF!</v>
      </c>
      <c r="E12" s="15">
        <f>'INSCRIPCION '!C13</f>
        <v>0</v>
      </c>
    </row>
    <row r="13" spans="1:10" ht="17.25" customHeight="1" x14ac:dyDescent="0.35">
      <c r="A13" s="83">
        <v>2</v>
      </c>
      <c r="B13" s="13">
        <f>'INSCRIPCION '!A14</f>
        <v>7</v>
      </c>
      <c r="C13" s="14">
        <f>'INSCRIPCION '!B14</f>
        <v>0</v>
      </c>
      <c r="D13" s="14" t="e">
        <f>'INSCRIPCION '!#REF!</f>
        <v>#REF!</v>
      </c>
      <c r="E13" s="15">
        <f>'INSCRIPCION '!C14</f>
        <v>0</v>
      </c>
    </row>
    <row r="14" spans="1:10" ht="17.25" customHeight="1" x14ac:dyDescent="0.35">
      <c r="A14" s="84"/>
      <c r="B14" s="13">
        <f>'INSCRIPCION '!A15</f>
        <v>8</v>
      </c>
      <c r="C14" s="14">
        <f>'INSCRIPCION '!B15</f>
        <v>0</v>
      </c>
      <c r="D14" s="14" t="e">
        <f>'INSCRIPCION '!#REF!</f>
        <v>#REF!</v>
      </c>
      <c r="E14" s="15">
        <f>'INSCRIPCION '!C15</f>
        <v>0</v>
      </c>
    </row>
    <row r="15" spans="1:10" ht="17.25" customHeight="1" x14ac:dyDescent="0.35">
      <c r="A15" s="84"/>
      <c r="B15" s="13">
        <f>'INSCRIPCION '!A16</f>
        <v>9</v>
      </c>
      <c r="C15" s="14">
        <f>'INSCRIPCION '!B16</f>
        <v>0</v>
      </c>
      <c r="D15" s="14" t="e">
        <f>'INSCRIPCION '!#REF!</f>
        <v>#REF!</v>
      </c>
      <c r="E15" s="15">
        <f>'INSCRIPCION '!C16</f>
        <v>0</v>
      </c>
      <c r="H15" s="11"/>
      <c r="I15" s="10"/>
      <c r="J15" s="12"/>
    </row>
    <row r="16" spans="1:10" ht="17.25" customHeight="1" x14ac:dyDescent="0.35">
      <c r="A16" s="84"/>
      <c r="B16" s="13">
        <f>'INSCRIPCION '!A17</f>
        <v>10</v>
      </c>
      <c r="C16" s="14">
        <f>'INSCRIPCION '!B17</f>
        <v>0</v>
      </c>
      <c r="D16" s="14" t="e">
        <f>'INSCRIPCION '!#REF!</f>
        <v>#REF!</v>
      </c>
      <c r="E16" s="15">
        <f>'INSCRIPCION '!C17</f>
        <v>0</v>
      </c>
    </row>
    <row r="17" spans="1:5" ht="17.25" customHeight="1" x14ac:dyDescent="0.35">
      <c r="A17" s="84"/>
      <c r="B17" s="13">
        <f>'INSCRIPCION '!A18</f>
        <v>11</v>
      </c>
      <c r="C17" s="14">
        <f>'INSCRIPCION '!B18</f>
        <v>0</v>
      </c>
      <c r="D17" s="14" t="e">
        <f>'INSCRIPCION '!#REF!</f>
        <v>#REF!</v>
      </c>
      <c r="E17" s="15">
        <f>'INSCRIPCION '!C18</f>
        <v>0</v>
      </c>
    </row>
    <row r="18" spans="1:5" ht="17.25" customHeight="1" x14ac:dyDescent="0.35">
      <c r="A18" s="85"/>
      <c r="B18" s="13">
        <f>'INSCRIPCION '!A19</f>
        <v>12</v>
      </c>
      <c r="C18" s="14">
        <f>'INSCRIPCION '!B19</f>
        <v>0</v>
      </c>
      <c r="D18" s="14" t="e">
        <f>'INSCRIPCION '!#REF!</f>
        <v>#REF!</v>
      </c>
      <c r="E18" s="15">
        <f>'INSCRIPCION '!C19</f>
        <v>0</v>
      </c>
    </row>
    <row r="19" spans="1:5" ht="17.25" customHeight="1" x14ac:dyDescent="0.35">
      <c r="A19" s="83">
        <v>3</v>
      </c>
      <c r="B19" s="13">
        <f>'INSCRIPCION '!A20</f>
        <v>13</v>
      </c>
      <c r="C19" s="14">
        <f>'INSCRIPCION '!B20</f>
        <v>0</v>
      </c>
      <c r="D19" s="14" t="e">
        <f>'INSCRIPCION '!#REF!</f>
        <v>#REF!</v>
      </c>
      <c r="E19" s="15">
        <f>'INSCRIPCION '!C20</f>
        <v>0</v>
      </c>
    </row>
    <row r="20" spans="1:5" ht="17.25" customHeight="1" x14ac:dyDescent="0.35">
      <c r="A20" s="84"/>
      <c r="B20" s="13">
        <f>'INSCRIPCION '!A21</f>
        <v>14</v>
      </c>
      <c r="C20" s="14">
        <f>'INSCRIPCION '!B21</f>
        <v>0</v>
      </c>
      <c r="D20" s="14" t="e">
        <f>'INSCRIPCION '!#REF!</f>
        <v>#REF!</v>
      </c>
      <c r="E20" s="15">
        <f>'INSCRIPCION '!C21</f>
        <v>0</v>
      </c>
    </row>
    <row r="21" spans="1:5" ht="17.25" customHeight="1" x14ac:dyDescent="0.35">
      <c r="A21" s="84"/>
      <c r="B21" s="13">
        <f>'INSCRIPCION '!A22</f>
        <v>15</v>
      </c>
      <c r="C21" s="14">
        <f>'INSCRIPCION '!B22</f>
        <v>0</v>
      </c>
      <c r="D21" s="14" t="e">
        <f>'INSCRIPCION '!#REF!</f>
        <v>#REF!</v>
      </c>
      <c r="E21" s="15">
        <f>'INSCRIPCION '!C22</f>
        <v>0</v>
      </c>
    </row>
    <row r="22" spans="1:5" ht="17.25" customHeight="1" x14ac:dyDescent="0.35">
      <c r="A22" s="84"/>
      <c r="B22" s="13">
        <f>'INSCRIPCION '!A23</f>
        <v>16</v>
      </c>
      <c r="C22" s="14">
        <f>'INSCRIPCION '!B23</f>
        <v>0</v>
      </c>
      <c r="D22" s="14" t="e">
        <f>'INSCRIPCION '!#REF!</f>
        <v>#REF!</v>
      </c>
      <c r="E22" s="15">
        <f>'INSCRIPCION '!C23</f>
        <v>0</v>
      </c>
    </row>
    <row r="23" spans="1:5" ht="17.25" customHeight="1" x14ac:dyDescent="0.35">
      <c r="A23" s="84"/>
      <c r="B23" s="13">
        <f>'INSCRIPCION '!A24</f>
        <v>17</v>
      </c>
      <c r="C23" s="14">
        <f>'INSCRIPCION '!B24</f>
        <v>0</v>
      </c>
      <c r="D23" s="14" t="e">
        <f>'INSCRIPCION '!#REF!</f>
        <v>#REF!</v>
      </c>
      <c r="E23" s="15">
        <f>'INSCRIPCION '!C24</f>
        <v>0</v>
      </c>
    </row>
    <row r="24" spans="1:5" ht="17.25" customHeight="1" x14ac:dyDescent="0.35">
      <c r="A24" s="85"/>
      <c r="B24" s="13">
        <f>'INSCRIPCION '!A25</f>
        <v>18</v>
      </c>
      <c r="C24" s="14">
        <f>'INSCRIPCION '!B25</f>
        <v>0</v>
      </c>
      <c r="D24" s="14" t="e">
        <f>'INSCRIPCION '!#REF!</f>
        <v>#REF!</v>
      </c>
      <c r="E24" s="15">
        <f>'INSCRIPCION '!C25</f>
        <v>0</v>
      </c>
    </row>
    <row r="25" spans="1:5" ht="17.25" customHeight="1" x14ac:dyDescent="0.35">
      <c r="A25" s="83">
        <v>4</v>
      </c>
      <c r="B25" s="13">
        <f>'INSCRIPCION '!A26</f>
        <v>19</v>
      </c>
      <c r="C25" s="14">
        <f>'INSCRIPCION '!B26</f>
        <v>0</v>
      </c>
      <c r="D25" s="14" t="e">
        <f>'INSCRIPCION '!#REF!</f>
        <v>#REF!</v>
      </c>
      <c r="E25" s="15">
        <f>'INSCRIPCION '!C26</f>
        <v>0</v>
      </c>
    </row>
    <row r="26" spans="1:5" ht="17.25" customHeight="1" x14ac:dyDescent="0.35">
      <c r="A26" s="84"/>
      <c r="B26" s="13">
        <f>'INSCRIPCION '!A27</f>
        <v>20</v>
      </c>
      <c r="C26" s="14">
        <f>'INSCRIPCION '!B27</f>
        <v>0</v>
      </c>
      <c r="D26" s="14" t="e">
        <f>'INSCRIPCION '!#REF!</f>
        <v>#REF!</v>
      </c>
      <c r="E26" s="15">
        <f>'INSCRIPCION '!C27</f>
        <v>0</v>
      </c>
    </row>
    <row r="27" spans="1:5" ht="17.25" customHeight="1" x14ac:dyDescent="0.35">
      <c r="A27" s="84"/>
      <c r="B27" s="13">
        <f>'INSCRIPCION '!A28</f>
        <v>21</v>
      </c>
      <c r="C27" s="14">
        <f>'INSCRIPCION '!B28</f>
        <v>0</v>
      </c>
      <c r="D27" s="14" t="e">
        <f>'INSCRIPCION '!#REF!</f>
        <v>#REF!</v>
      </c>
      <c r="E27" s="15">
        <f>'INSCRIPCION '!C28</f>
        <v>0</v>
      </c>
    </row>
    <row r="28" spans="1:5" ht="17.25" customHeight="1" x14ac:dyDescent="0.35">
      <c r="A28" s="84"/>
      <c r="B28" s="13">
        <f>'INSCRIPCION '!A29</f>
        <v>22</v>
      </c>
      <c r="C28" s="14">
        <f>'INSCRIPCION '!B29</f>
        <v>0</v>
      </c>
      <c r="D28" s="14" t="e">
        <f>'INSCRIPCION '!#REF!</f>
        <v>#REF!</v>
      </c>
      <c r="E28" s="15">
        <f>'INSCRIPCION '!C29</f>
        <v>0</v>
      </c>
    </row>
    <row r="29" spans="1:5" ht="17.25" customHeight="1" x14ac:dyDescent="0.35">
      <c r="A29" s="84"/>
      <c r="B29" s="13">
        <f>'INSCRIPCION '!A30</f>
        <v>23</v>
      </c>
      <c r="C29" s="14">
        <f>'INSCRIPCION '!B30</f>
        <v>0</v>
      </c>
      <c r="D29" s="14" t="e">
        <f>'INSCRIPCION '!#REF!</f>
        <v>#REF!</v>
      </c>
      <c r="E29" s="15">
        <f>'INSCRIPCION '!C30</f>
        <v>0</v>
      </c>
    </row>
    <row r="30" spans="1:5" ht="17.25" customHeight="1" x14ac:dyDescent="0.35">
      <c r="A30" s="85"/>
      <c r="B30" s="13">
        <f>'INSCRIPCION '!A31</f>
        <v>24</v>
      </c>
      <c r="C30" s="14">
        <f>'INSCRIPCION '!B31</f>
        <v>0</v>
      </c>
      <c r="D30" s="14" t="e">
        <f>'INSCRIPCION '!#REF!</f>
        <v>#REF!</v>
      </c>
      <c r="E30" s="15">
        <f>'INSCRIPCION '!C31</f>
        <v>0</v>
      </c>
    </row>
    <row r="31" spans="1:5" ht="17.25" customHeight="1" x14ac:dyDescent="0.35">
      <c r="A31" s="83">
        <v>5</v>
      </c>
      <c r="B31" s="13">
        <f>'INSCRIPCION '!A32</f>
        <v>25</v>
      </c>
      <c r="C31" s="51">
        <f>'INSCRIPCION '!B32</f>
        <v>0</v>
      </c>
      <c r="D31" s="14" t="e">
        <f>'INSCRIPCION '!#REF!</f>
        <v>#REF!</v>
      </c>
      <c r="E31" s="15">
        <f>'INSCRIPCION '!C32</f>
        <v>0</v>
      </c>
    </row>
    <row r="32" spans="1:5" ht="17.25" customHeight="1" x14ac:dyDescent="0.35">
      <c r="A32" s="84"/>
      <c r="B32" s="13">
        <f>'INSCRIPCION '!A33</f>
        <v>26</v>
      </c>
      <c r="C32" s="14">
        <f>'INSCRIPCION '!B33</f>
        <v>0</v>
      </c>
      <c r="D32" s="14" t="e">
        <f>'INSCRIPCION '!#REF!</f>
        <v>#REF!</v>
      </c>
      <c r="E32" s="15">
        <f>'INSCRIPCION '!C33</f>
        <v>0</v>
      </c>
    </row>
    <row r="33" spans="1:9" ht="17.25" customHeight="1" x14ac:dyDescent="0.35">
      <c r="A33" s="84"/>
      <c r="B33" s="13">
        <f>'INSCRIPCION '!A34</f>
        <v>27</v>
      </c>
      <c r="C33" s="14">
        <f>'INSCRIPCION '!B34</f>
        <v>0</v>
      </c>
      <c r="D33" s="14" t="e">
        <f>'INSCRIPCION '!#REF!</f>
        <v>#REF!</v>
      </c>
      <c r="E33" s="15">
        <f>'INSCRIPCION '!C34</f>
        <v>0</v>
      </c>
    </row>
    <row r="34" spans="1:9" ht="17.25" customHeight="1" x14ac:dyDescent="0.35">
      <c r="A34" s="84"/>
      <c r="B34" s="13">
        <f>'INSCRIPCION '!A35</f>
        <v>28</v>
      </c>
      <c r="C34" s="14">
        <f>'INSCRIPCION '!B35</f>
        <v>0</v>
      </c>
      <c r="D34" s="14" t="e">
        <f>'INSCRIPCION '!#REF!</f>
        <v>#REF!</v>
      </c>
      <c r="E34" s="15">
        <f>'INSCRIPCION '!C35</f>
        <v>0</v>
      </c>
    </row>
    <row r="35" spans="1:9" ht="17.25" customHeight="1" x14ac:dyDescent="0.35">
      <c r="A35" s="84"/>
      <c r="B35" s="13">
        <f>'INSCRIPCION '!A36</f>
        <v>29</v>
      </c>
      <c r="C35" s="14">
        <f>'INSCRIPCION '!B36</f>
        <v>0</v>
      </c>
      <c r="D35" s="14" t="e">
        <f>'INSCRIPCION '!#REF!</f>
        <v>#REF!</v>
      </c>
      <c r="E35" s="15">
        <f>'INSCRIPCION '!C36</f>
        <v>0</v>
      </c>
    </row>
    <row r="36" spans="1:9" ht="17.25" customHeight="1" x14ac:dyDescent="0.35">
      <c r="A36" s="85"/>
      <c r="B36" s="13">
        <f>'INSCRIPCION '!A37</f>
        <v>30</v>
      </c>
      <c r="C36" s="14">
        <f>'INSCRIPCION '!B37</f>
        <v>0</v>
      </c>
      <c r="D36" s="14" t="e">
        <f>'INSCRIPCION '!#REF!</f>
        <v>#REF!</v>
      </c>
      <c r="E36" s="15">
        <f>'INSCRIPCION '!C37</f>
        <v>0</v>
      </c>
    </row>
    <row r="37" spans="1:9" ht="17.25" customHeight="1" x14ac:dyDescent="0.35">
      <c r="A37" s="83">
        <v>6</v>
      </c>
      <c r="B37" s="13">
        <f>'INSCRIPCION '!A38</f>
        <v>31</v>
      </c>
      <c r="C37" s="14">
        <f>'INSCRIPCION '!B38</f>
        <v>0</v>
      </c>
      <c r="D37" s="14" t="e">
        <f>'INSCRIPCION '!#REF!</f>
        <v>#REF!</v>
      </c>
      <c r="E37" s="15">
        <f>'INSCRIPCION '!C38</f>
        <v>0</v>
      </c>
    </row>
    <row r="38" spans="1:9" ht="17.25" customHeight="1" x14ac:dyDescent="0.35">
      <c r="A38" s="84"/>
      <c r="B38" s="13">
        <f>'INSCRIPCION '!A39</f>
        <v>32</v>
      </c>
      <c r="C38" s="14">
        <f>'INSCRIPCION '!B39</f>
        <v>0</v>
      </c>
      <c r="D38" s="14" t="e">
        <f>'INSCRIPCION '!#REF!</f>
        <v>#REF!</v>
      </c>
      <c r="E38" s="15">
        <f>'INSCRIPCION '!C39</f>
        <v>0</v>
      </c>
    </row>
    <row r="39" spans="1:9" ht="17.25" customHeight="1" x14ac:dyDescent="0.35">
      <c r="A39" s="84"/>
      <c r="B39" s="13">
        <f>'INSCRIPCION '!A40</f>
        <v>33</v>
      </c>
      <c r="C39" s="14">
        <f>'INSCRIPCION '!B40</f>
        <v>0</v>
      </c>
      <c r="D39" s="14" t="e">
        <f>'INSCRIPCION '!#REF!</f>
        <v>#REF!</v>
      </c>
      <c r="E39" s="15">
        <f>'INSCRIPCION '!C40</f>
        <v>0</v>
      </c>
    </row>
    <row r="40" spans="1:9" ht="17.25" customHeight="1" x14ac:dyDescent="0.35">
      <c r="A40" s="84"/>
      <c r="B40" s="13">
        <f>'INSCRIPCION '!A41</f>
        <v>34</v>
      </c>
      <c r="C40" s="14">
        <f>'INSCRIPCION '!B41</f>
        <v>0</v>
      </c>
      <c r="D40" s="14" t="e">
        <f>'INSCRIPCION '!#REF!</f>
        <v>#REF!</v>
      </c>
      <c r="E40" s="15">
        <f>'INSCRIPCION '!C41</f>
        <v>0</v>
      </c>
    </row>
    <row r="41" spans="1:9" ht="17.25" customHeight="1" x14ac:dyDescent="0.35">
      <c r="A41" s="84"/>
      <c r="B41" s="13">
        <f>'INSCRIPCION '!A42</f>
        <v>35</v>
      </c>
      <c r="C41" s="14">
        <f>'INSCRIPCION '!B42</f>
        <v>0</v>
      </c>
      <c r="D41" s="14" t="e">
        <f>'INSCRIPCION '!#REF!</f>
        <v>#REF!</v>
      </c>
      <c r="E41" s="15">
        <f>'INSCRIPCION '!C42</f>
        <v>0</v>
      </c>
    </row>
    <row r="42" spans="1:9" ht="17.25" customHeight="1" x14ac:dyDescent="0.35">
      <c r="A42" s="85"/>
      <c r="B42" s="13">
        <f>'INSCRIPCION '!A43</f>
        <v>36</v>
      </c>
      <c r="C42" s="14">
        <f>'INSCRIPCION '!B43</f>
        <v>0</v>
      </c>
      <c r="D42" s="14" t="e">
        <f>'INSCRIPCION '!#REF!</f>
        <v>#REF!</v>
      </c>
      <c r="E42" s="15">
        <f>'INSCRIPCION '!C43</f>
        <v>0</v>
      </c>
      <c r="G42" s="4"/>
      <c r="H42" s="10"/>
      <c r="I42" s="10"/>
    </row>
    <row r="43" spans="1:9" ht="17.25" customHeight="1" x14ac:dyDescent="0.35">
      <c r="A43" s="83">
        <v>7</v>
      </c>
      <c r="B43" s="13">
        <f>'INSCRIPCION '!A44</f>
        <v>37</v>
      </c>
      <c r="C43" s="14">
        <f>'INSCRIPCION '!B44</f>
        <v>0</v>
      </c>
      <c r="D43" s="14" t="e">
        <f>'INSCRIPCION '!#REF!</f>
        <v>#REF!</v>
      </c>
      <c r="E43" s="15">
        <f>'INSCRIPCION '!C44</f>
        <v>0</v>
      </c>
    </row>
    <row r="44" spans="1:9" ht="17.25" customHeight="1" x14ac:dyDescent="0.35">
      <c r="A44" s="84"/>
      <c r="B44" s="13">
        <f>'INSCRIPCION '!A45</f>
        <v>38</v>
      </c>
      <c r="C44" s="14">
        <f>'INSCRIPCION '!B45</f>
        <v>0</v>
      </c>
      <c r="D44" s="14" t="e">
        <f>'INSCRIPCION '!#REF!</f>
        <v>#REF!</v>
      </c>
      <c r="E44" s="15">
        <f>'INSCRIPCION '!C45</f>
        <v>0</v>
      </c>
    </row>
    <row r="45" spans="1:9" ht="17.25" customHeight="1" x14ac:dyDescent="0.35">
      <c r="A45" s="84"/>
      <c r="B45" s="13">
        <f>'INSCRIPCION '!A46</f>
        <v>39</v>
      </c>
      <c r="C45" s="14">
        <f>'INSCRIPCION '!B46</f>
        <v>0</v>
      </c>
      <c r="D45" s="14" t="e">
        <f>'INSCRIPCION '!#REF!</f>
        <v>#REF!</v>
      </c>
      <c r="E45" s="15">
        <f>'INSCRIPCION '!C46</f>
        <v>0</v>
      </c>
    </row>
    <row r="46" spans="1:9" ht="17.25" customHeight="1" x14ac:dyDescent="0.35">
      <c r="A46" s="84"/>
      <c r="B46" s="13">
        <f>'INSCRIPCION '!A47</f>
        <v>40</v>
      </c>
      <c r="C46" s="14">
        <f>'INSCRIPCION '!B47</f>
        <v>0</v>
      </c>
      <c r="D46" s="14" t="e">
        <f>'INSCRIPCION '!#REF!</f>
        <v>#REF!</v>
      </c>
      <c r="E46" s="15">
        <f>'INSCRIPCION '!C47</f>
        <v>0</v>
      </c>
    </row>
    <row r="47" spans="1:9" ht="17.25" customHeight="1" x14ac:dyDescent="0.35">
      <c r="A47" s="84"/>
      <c r="B47" s="13">
        <f>'INSCRIPCION '!A48</f>
        <v>41</v>
      </c>
      <c r="C47" s="14">
        <f>'INSCRIPCION '!B48</f>
        <v>0</v>
      </c>
      <c r="D47" s="14" t="e">
        <f>'INSCRIPCION '!#REF!</f>
        <v>#REF!</v>
      </c>
      <c r="E47" s="15">
        <f>'INSCRIPCION '!C48</f>
        <v>0</v>
      </c>
    </row>
    <row r="48" spans="1:9" ht="17.25" customHeight="1" x14ac:dyDescent="0.35">
      <c r="A48" s="85"/>
      <c r="B48" s="13">
        <f>'INSCRIPCION '!A49</f>
        <v>42</v>
      </c>
      <c r="C48" s="14">
        <f>'INSCRIPCION '!B49</f>
        <v>0</v>
      </c>
      <c r="D48" s="14" t="e">
        <f>'INSCRIPCION '!#REF!</f>
        <v>#REF!</v>
      </c>
      <c r="E48" s="15">
        <f>'INSCRIPCION '!C49</f>
        <v>0</v>
      </c>
    </row>
    <row r="49" spans="1:5" ht="17.25" customHeight="1" x14ac:dyDescent="0.35">
      <c r="A49" s="83">
        <v>8</v>
      </c>
      <c r="B49" s="13">
        <f>'INSCRIPCION '!A50</f>
        <v>43</v>
      </c>
      <c r="C49" s="14">
        <f>'INSCRIPCION '!B50</f>
        <v>0</v>
      </c>
      <c r="D49" s="14" t="e">
        <f>'INSCRIPCION '!#REF!</f>
        <v>#REF!</v>
      </c>
      <c r="E49" s="15">
        <f>'INSCRIPCION '!C50</f>
        <v>0</v>
      </c>
    </row>
    <row r="50" spans="1:5" ht="17.25" customHeight="1" x14ac:dyDescent="0.35">
      <c r="A50" s="84"/>
      <c r="B50" s="13">
        <f>'INSCRIPCION '!A51</f>
        <v>44</v>
      </c>
      <c r="C50" s="14">
        <f>'INSCRIPCION '!B51</f>
        <v>0</v>
      </c>
      <c r="D50" s="14" t="e">
        <f>'INSCRIPCION '!#REF!</f>
        <v>#REF!</v>
      </c>
      <c r="E50" s="15">
        <f>'INSCRIPCION '!C51</f>
        <v>0</v>
      </c>
    </row>
    <row r="51" spans="1:5" ht="17.25" customHeight="1" x14ac:dyDescent="0.35">
      <c r="A51" s="84"/>
      <c r="B51" s="13">
        <f>'INSCRIPCION '!A52</f>
        <v>45</v>
      </c>
      <c r="C51" s="14">
        <f>'INSCRIPCION '!B52</f>
        <v>0</v>
      </c>
      <c r="D51" s="14" t="e">
        <f>'INSCRIPCION '!#REF!</f>
        <v>#REF!</v>
      </c>
      <c r="E51" s="15">
        <f>'INSCRIPCION '!C52</f>
        <v>0</v>
      </c>
    </row>
    <row r="52" spans="1:5" ht="17.25" customHeight="1" x14ac:dyDescent="0.35">
      <c r="A52" s="84"/>
      <c r="B52" s="13">
        <f>'INSCRIPCION '!A53</f>
        <v>46</v>
      </c>
      <c r="C52" s="14">
        <f>'INSCRIPCION '!B53</f>
        <v>0</v>
      </c>
      <c r="D52" s="14" t="e">
        <f>'INSCRIPCION '!#REF!</f>
        <v>#REF!</v>
      </c>
      <c r="E52" s="15">
        <f>'INSCRIPCION '!C53</f>
        <v>0</v>
      </c>
    </row>
    <row r="53" spans="1:5" ht="17.25" customHeight="1" x14ac:dyDescent="0.35">
      <c r="A53" s="84"/>
      <c r="B53" s="13">
        <f>'INSCRIPCION '!A54</f>
        <v>47</v>
      </c>
      <c r="C53" s="14">
        <f>'INSCRIPCION '!B54</f>
        <v>0</v>
      </c>
      <c r="D53" s="14" t="e">
        <f>'INSCRIPCION '!#REF!</f>
        <v>#REF!</v>
      </c>
      <c r="E53" s="15">
        <f>'INSCRIPCION '!C54</f>
        <v>0</v>
      </c>
    </row>
    <row r="54" spans="1:5" ht="17.25" customHeight="1" x14ac:dyDescent="0.35">
      <c r="A54" s="85"/>
      <c r="B54" s="13">
        <f>'INSCRIPCION '!A55</f>
        <v>48</v>
      </c>
      <c r="C54" s="14">
        <f>'INSCRIPCION '!B55</f>
        <v>0</v>
      </c>
      <c r="D54" s="14" t="e">
        <f>'INSCRIPCION '!#REF!</f>
        <v>#REF!</v>
      </c>
      <c r="E54" s="15">
        <f>'INSCRIPCION '!C55</f>
        <v>0</v>
      </c>
    </row>
    <row r="55" spans="1:5" ht="17.25" customHeight="1" x14ac:dyDescent="0.35">
      <c r="A55" s="83">
        <v>9</v>
      </c>
      <c r="B55" s="13">
        <f>'INSCRIPCION '!A56</f>
        <v>49</v>
      </c>
      <c r="C55" s="14">
        <f>'INSCRIPCION '!B56</f>
        <v>0</v>
      </c>
      <c r="D55" s="14" t="e">
        <f>'INSCRIPCION '!#REF!</f>
        <v>#REF!</v>
      </c>
      <c r="E55" s="15">
        <f>'INSCRIPCION '!C56</f>
        <v>0</v>
      </c>
    </row>
    <row r="56" spans="1:5" ht="17.25" customHeight="1" x14ac:dyDescent="0.35">
      <c r="A56" s="84"/>
      <c r="B56" s="13">
        <f>'INSCRIPCION '!A57</f>
        <v>50</v>
      </c>
      <c r="C56" s="14">
        <f>'INSCRIPCION '!B57</f>
        <v>0</v>
      </c>
      <c r="D56" s="14" t="e">
        <f>'INSCRIPCION '!#REF!</f>
        <v>#REF!</v>
      </c>
      <c r="E56" s="15">
        <f>'INSCRIPCION '!C57</f>
        <v>0</v>
      </c>
    </row>
    <row r="57" spans="1:5" ht="17.25" customHeight="1" x14ac:dyDescent="0.35">
      <c r="A57" s="84"/>
      <c r="B57" s="13">
        <f>'INSCRIPCION '!A58</f>
        <v>51</v>
      </c>
      <c r="C57" s="14">
        <f>'INSCRIPCION '!B58</f>
        <v>0</v>
      </c>
      <c r="D57" s="14" t="e">
        <f>'INSCRIPCION '!#REF!</f>
        <v>#REF!</v>
      </c>
      <c r="E57" s="15">
        <f>'INSCRIPCION '!C58</f>
        <v>0</v>
      </c>
    </row>
    <row r="58" spans="1:5" ht="17.25" customHeight="1" x14ac:dyDescent="0.35">
      <c r="A58" s="84"/>
      <c r="B58" s="13">
        <f>'INSCRIPCION '!A59</f>
        <v>52</v>
      </c>
      <c r="C58" s="14">
        <f>'INSCRIPCION '!B59</f>
        <v>0</v>
      </c>
      <c r="D58" s="14" t="e">
        <f>'INSCRIPCION '!#REF!</f>
        <v>#REF!</v>
      </c>
      <c r="E58" s="15">
        <f>'INSCRIPCION '!C59</f>
        <v>0</v>
      </c>
    </row>
    <row r="59" spans="1:5" ht="17.25" customHeight="1" x14ac:dyDescent="0.35">
      <c r="A59" s="84"/>
      <c r="B59" s="13">
        <f>'INSCRIPCION '!A60</f>
        <v>53</v>
      </c>
      <c r="C59" s="14">
        <f>'INSCRIPCION '!B60</f>
        <v>0</v>
      </c>
      <c r="D59" s="14" t="e">
        <f>'INSCRIPCION '!#REF!</f>
        <v>#REF!</v>
      </c>
      <c r="E59" s="15">
        <f>'INSCRIPCION '!C60</f>
        <v>0</v>
      </c>
    </row>
    <row r="60" spans="1:5" ht="17.25" customHeight="1" x14ac:dyDescent="0.35">
      <c r="A60" s="85"/>
      <c r="B60" s="13">
        <f>'INSCRIPCION '!A61</f>
        <v>54</v>
      </c>
      <c r="C60" s="14">
        <f>'INSCRIPCION '!B61</f>
        <v>0</v>
      </c>
      <c r="D60" s="14" t="e">
        <f>'INSCRIPCION '!#REF!</f>
        <v>#REF!</v>
      </c>
      <c r="E60" s="15">
        <f>'INSCRIPCION '!C61</f>
        <v>0</v>
      </c>
    </row>
    <row r="61" spans="1:5" ht="17.25" customHeight="1" x14ac:dyDescent="0.35">
      <c r="A61" s="83">
        <v>10</v>
      </c>
      <c r="B61" s="13">
        <f>'INSCRIPCION '!A62</f>
        <v>55</v>
      </c>
      <c r="C61" s="14">
        <f>'INSCRIPCION '!B62</f>
        <v>0</v>
      </c>
      <c r="D61" s="14" t="e">
        <f>'INSCRIPCION '!#REF!</f>
        <v>#REF!</v>
      </c>
      <c r="E61" s="15">
        <f>'INSCRIPCION '!C62</f>
        <v>0</v>
      </c>
    </row>
    <row r="62" spans="1:5" ht="17.25" customHeight="1" x14ac:dyDescent="0.35">
      <c r="A62" s="84"/>
      <c r="B62" s="13">
        <f>'INSCRIPCION '!A63</f>
        <v>56</v>
      </c>
      <c r="C62" s="14">
        <f>'INSCRIPCION '!B63</f>
        <v>0</v>
      </c>
      <c r="D62" s="14" t="e">
        <f>'INSCRIPCION '!#REF!</f>
        <v>#REF!</v>
      </c>
      <c r="E62" s="15">
        <f>'INSCRIPCION '!C63</f>
        <v>0</v>
      </c>
    </row>
    <row r="63" spans="1:5" ht="17.25" customHeight="1" x14ac:dyDescent="0.35">
      <c r="A63" s="84"/>
      <c r="B63" s="13">
        <f>'INSCRIPCION '!A64</f>
        <v>57</v>
      </c>
      <c r="C63" s="14">
        <f>'INSCRIPCION '!B64</f>
        <v>0</v>
      </c>
      <c r="D63" s="14" t="e">
        <f>'INSCRIPCION '!#REF!</f>
        <v>#REF!</v>
      </c>
      <c r="E63" s="15">
        <f>'INSCRIPCION '!C64</f>
        <v>0</v>
      </c>
    </row>
    <row r="64" spans="1:5" ht="17.25" customHeight="1" x14ac:dyDescent="0.35">
      <c r="A64" s="84"/>
      <c r="B64" s="13">
        <f>'INSCRIPCION '!A65</f>
        <v>58</v>
      </c>
      <c r="C64" s="14">
        <f>'INSCRIPCION '!B65</f>
        <v>0</v>
      </c>
      <c r="D64" s="14" t="e">
        <f>'INSCRIPCION '!#REF!</f>
        <v>#REF!</v>
      </c>
      <c r="E64" s="15">
        <f>'INSCRIPCION '!C65</f>
        <v>0</v>
      </c>
    </row>
    <row r="65" spans="1:5" ht="17.25" customHeight="1" x14ac:dyDescent="0.35">
      <c r="A65" s="84"/>
      <c r="B65" s="13">
        <f>'INSCRIPCION '!A66</f>
        <v>59</v>
      </c>
      <c r="C65" s="14">
        <f>'INSCRIPCION '!B66</f>
        <v>0</v>
      </c>
      <c r="D65" s="14" t="e">
        <f>'INSCRIPCION '!#REF!</f>
        <v>#REF!</v>
      </c>
      <c r="E65" s="15">
        <f>'INSCRIPCION '!C66</f>
        <v>0</v>
      </c>
    </row>
    <row r="66" spans="1:5" ht="17.25" customHeight="1" x14ac:dyDescent="0.35">
      <c r="A66" s="85"/>
      <c r="B66" s="13">
        <f>'INSCRIPCION '!A67</f>
        <v>60</v>
      </c>
      <c r="C66" s="14">
        <f>'INSCRIPCION '!B67</f>
        <v>0</v>
      </c>
      <c r="D66" s="14" t="e">
        <f>'INSCRIPCION '!#REF!</f>
        <v>#REF!</v>
      </c>
      <c r="E66" s="15">
        <f>'INSCRIPCION '!C67</f>
        <v>0</v>
      </c>
    </row>
    <row r="67" spans="1:5" ht="17.25" customHeight="1" x14ac:dyDescent="0.35">
      <c r="A67" s="83">
        <v>11</v>
      </c>
      <c r="B67" s="13">
        <f>'INSCRIPCION '!A68</f>
        <v>61</v>
      </c>
      <c r="C67" s="14">
        <f>'INSCRIPCION '!B68</f>
        <v>0</v>
      </c>
      <c r="D67" s="14" t="e">
        <f>'INSCRIPCION '!#REF!</f>
        <v>#REF!</v>
      </c>
      <c r="E67" s="15">
        <f>'INSCRIPCION '!C68</f>
        <v>0</v>
      </c>
    </row>
    <row r="68" spans="1:5" ht="17.25" customHeight="1" x14ac:dyDescent="0.35">
      <c r="A68" s="84"/>
      <c r="B68" s="13">
        <f>'INSCRIPCION '!A69</f>
        <v>62</v>
      </c>
      <c r="C68" s="14">
        <f>'INSCRIPCION '!B69</f>
        <v>0</v>
      </c>
      <c r="D68" s="14" t="e">
        <f>'INSCRIPCION '!#REF!</f>
        <v>#REF!</v>
      </c>
      <c r="E68" s="15">
        <f>'INSCRIPCION '!C69</f>
        <v>0</v>
      </c>
    </row>
    <row r="69" spans="1:5" ht="17.25" customHeight="1" x14ac:dyDescent="0.35">
      <c r="A69" s="84"/>
      <c r="B69" s="13">
        <f>'INSCRIPCION '!A70</f>
        <v>63</v>
      </c>
      <c r="C69" s="14">
        <f>'INSCRIPCION '!B70</f>
        <v>0</v>
      </c>
      <c r="D69" s="14" t="e">
        <f>'INSCRIPCION '!#REF!</f>
        <v>#REF!</v>
      </c>
      <c r="E69" s="15">
        <f>'INSCRIPCION '!C70</f>
        <v>0</v>
      </c>
    </row>
    <row r="70" spans="1:5" ht="17.25" customHeight="1" x14ac:dyDescent="0.35">
      <c r="A70" s="84"/>
      <c r="B70" s="13">
        <f>'INSCRIPCION '!A71</f>
        <v>64</v>
      </c>
      <c r="C70" s="14">
        <f>'INSCRIPCION '!B71</f>
        <v>0</v>
      </c>
      <c r="D70" s="14" t="e">
        <f>'INSCRIPCION '!#REF!</f>
        <v>#REF!</v>
      </c>
      <c r="E70" s="15">
        <f>'INSCRIPCION '!C71</f>
        <v>0</v>
      </c>
    </row>
    <row r="71" spans="1:5" ht="17.25" customHeight="1" x14ac:dyDescent="0.35">
      <c r="A71" s="84"/>
      <c r="B71" s="13">
        <f>'INSCRIPCION '!A72</f>
        <v>65</v>
      </c>
      <c r="C71" s="14">
        <f>'INSCRIPCION '!B72</f>
        <v>0</v>
      </c>
      <c r="D71" s="14" t="e">
        <f>'INSCRIPCION '!#REF!</f>
        <v>#REF!</v>
      </c>
      <c r="E71" s="15">
        <f>'INSCRIPCION '!C72</f>
        <v>0</v>
      </c>
    </row>
    <row r="72" spans="1:5" ht="17.25" customHeight="1" x14ac:dyDescent="0.35">
      <c r="A72" s="85"/>
      <c r="B72" s="13">
        <f>'INSCRIPCION '!A73</f>
        <v>66</v>
      </c>
      <c r="C72" s="14">
        <f>'INSCRIPCION '!B73</f>
        <v>0</v>
      </c>
      <c r="D72" s="14" t="e">
        <f>'INSCRIPCION '!#REF!</f>
        <v>#REF!</v>
      </c>
      <c r="E72" s="15">
        <f>'INSCRIPCION '!C73</f>
        <v>0</v>
      </c>
    </row>
    <row r="73" spans="1:5" ht="17.25" customHeight="1" x14ac:dyDescent="0.35">
      <c r="A73" s="83">
        <v>12</v>
      </c>
      <c r="B73" s="13">
        <f>'INSCRIPCION '!A74</f>
        <v>67</v>
      </c>
      <c r="C73" s="14">
        <f>'INSCRIPCION '!B74</f>
        <v>0</v>
      </c>
      <c r="D73" s="14" t="e">
        <f>'INSCRIPCION '!#REF!</f>
        <v>#REF!</v>
      </c>
      <c r="E73" s="15">
        <f>'INSCRIPCION '!C74</f>
        <v>0</v>
      </c>
    </row>
    <row r="74" spans="1:5" ht="17.25" customHeight="1" x14ac:dyDescent="0.35">
      <c r="A74" s="84"/>
      <c r="B74" s="13">
        <f>'INSCRIPCION '!A75</f>
        <v>68</v>
      </c>
      <c r="C74" s="14">
        <f>'INSCRIPCION '!B75</f>
        <v>0</v>
      </c>
      <c r="D74" s="14" t="e">
        <f>'INSCRIPCION '!#REF!</f>
        <v>#REF!</v>
      </c>
      <c r="E74" s="15">
        <f>'INSCRIPCION '!C75</f>
        <v>0</v>
      </c>
    </row>
    <row r="75" spans="1:5" ht="17.25" customHeight="1" x14ac:dyDescent="0.35">
      <c r="A75" s="84"/>
      <c r="B75" s="13">
        <f>'INSCRIPCION '!A76</f>
        <v>69</v>
      </c>
      <c r="C75" s="14">
        <f>'INSCRIPCION '!B76</f>
        <v>0</v>
      </c>
      <c r="D75" s="14" t="e">
        <f>'INSCRIPCION '!#REF!</f>
        <v>#REF!</v>
      </c>
      <c r="E75" s="15">
        <f>'INSCRIPCION '!C76</f>
        <v>0</v>
      </c>
    </row>
    <row r="76" spans="1:5" ht="17.25" customHeight="1" x14ac:dyDescent="0.35">
      <c r="A76" s="84"/>
      <c r="B76" s="13">
        <f>'INSCRIPCION '!A77</f>
        <v>70</v>
      </c>
      <c r="C76" s="14">
        <f>'INSCRIPCION '!B77</f>
        <v>0</v>
      </c>
      <c r="D76" s="14" t="e">
        <f>'INSCRIPCION '!#REF!</f>
        <v>#REF!</v>
      </c>
      <c r="E76" s="15">
        <f>'INSCRIPCION '!C77</f>
        <v>0</v>
      </c>
    </row>
    <row r="77" spans="1:5" ht="17.25" customHeight="1" x14ac:dyDescent="0.35">
      <c r="A77" s="84"/>
      <c r="B77" s="13">
        <f>'INSCRIPCION '!A78</f>
        <v>71</v>
      </c>
      <c r="C77" s="14">
        <f>'INSCRIPCION '!B78</f>
        <v>0</v>
      </c>
      <c r="D77" s="14" t="e">
        <f>'INSCRIPCION '!#REF!</f>
        <v>#REF!</v>
      </c>
      <c r="E77" s="15">
        <f>'INSCRIPCION '!C78</f>
        <v>0</v>
      </c>
    </row>
    <row r="78" spans="1:5" ht="17.25" customHeight="1" x14ac:dyDescent="0.35">
      <c r="A78" s="85"/>
      <c r="B78" s="13">
        <f>'INSCRIPCION '!A79</f>
        <v>72</v>
      </c>
      <c r="C78" s="14">
        <f>'INSCRIPCION '!B79</f>
        <v>0</v>
      </c>
      <c r="D78" s="14" t="e">
        <f>'INSCRIPCION '!#REF!</f>
        <v>#REF!</v>
      </c>
      <c r="E78" s="15">
        <f>'INSCRIPCION '!C79</f>
        <v>0</v>
      </c>
    </row>
    <row r="79" spans="1:5" ht="17.25" customHeight="1" x14ac:dyDescent="0.35">
      <c r="A79" s="83">
        <v>13</v>
      </c>
      <c r="B79" s="13">
        <f>'INSCRIPCION '!A80</f>
        <v>73</v>
      </c>
      <c r="C79" s="14">
        <f>'INSCRIPCION '!B80</f>
        <v>0</v>
      </c>
      <c r="D79" s="14" t="e">
        <f>'INSCRIPCION '!#REF!</f>
        <v>#REF!</v>
      </c>
      <c r="E79" s="15">
        <f>'INSCRIPCION '!C80</f>
        <v>0</v>
      </c>
    </row>
    <row r="80" spans="1:5" ht="17.25" customHeight="1" x14ac:dyDescent="0.35">
      <c r="A80" s="84"/>
      <c r="B80" s="13">
        <f>'INSCRIPCION '!A81</f>
        <v>74</v>
      </c>
      <c r="C80" s="14">
        <f>'INSCRIPCION '!B81</f>
        <v>0</v>
      </c>
      <c r="D80" s="14" t="e">
        <f>'INSCRIPCION '!#REF!</f>
        <v>#REF!</v>
      </c>
      <c r="E80" s="15">
        <f>'INSCRIPCION '!C81</f>
        <v>0</v>
      </c>
    </row>
    <row r="81" spans="1:5" ht="17.25" customHeight="1" x14ac:dyDescent="0.35">
      <c r="A81" s="84"/>
      <c r="B81" s="13">
        <f>'INSCRIPCION '!A82</f>
        <v>75</v>
      </c>
      <c r="C81" s="14">
        <f>'INSCRIPCION '!B82</f>
        <v>0</v>
      </c>
      <c r="D81" s="14" t="e">
        <f>'INSCRIPCION '!#REF!</f>
        <v>#REF!</v>
      </c>
      <c r="E81" s="15">
        <f>'INSCRIPCION '!C82</f>
        <v>0</v>
      </c>
    </row>
    <row r="82" spans="1:5" ht="17.25" customHeight="1" x14ac:dyDescent="0.35">
      <c r="A82" s="84"/>
      <c r="B82" s="13">
        <f>'INSCRIPCION '!A83</f>
        <v>76</v>
      </c>
      <c r="C82" s="14">
        <f>'INSCRIPCION '!B83</f>
        <v>0</v>
      </c>
      <c r="D82" s="14" t="e">
        <f>'INSCRIPCION '!#REF!</f>
        <v>#REF!</v>
      </c>
      <c r="E82" s="15">
        <f>'INSCRIPCION '!C83</f>
        <v>0</v>
      </c>
    </row>
    <row r="83" spans="1:5" ht="17.25" customHeight="1" x14ac:dyDescent="0.35">
      <c r="A83" s="84"/>
      <c r="B83" s="13">
        <f>'INSCRIPCION '!A84</f>
        <v>77</v>
      </c>
      <c r="C83" s="14">
        <f>'INSCRIPCION '!B84</f>
        <v>0</v>
      </c>
      <c r="D83" s="14" t="e">
        <f>'INSCRIPCION '!#REF!</f>
        <v>#REF!</v>
      </c>
      <c r="E83" s="15">
        <f>'INSCRIPCION '!C84</f>
        <v>0</v>
      </c>
    </row>
    <row r="84" spans="1:5" ht="17.25" customHeight="1" x14ac:dyDescent="0.35">
      <c r="A84" s="85"/>
      <c r="B84" s="13">
        <f>'INSCRIPCION '!A85</f>
        <v>78</v>
      </c>
      <c r="C84" s="14">
        <f>'INSCRIPCION '!B85</f>
        <v>0</v>
      </c>
      <c r="D84" s="14" t="e">
        <f>'INSCRIPCION '!#REF!</f>
        <v>#REF!</v>
      </c>
      <c r="E84" s="15">
        <f>'INSCRIPCION '!C85</f>
        <v>0</v>
      </c>
    </row>
    <row r="85" spans="1:5" ht="17.25" customHeight="1" x14ac:dyDescent="0.35">
      <c r="A85" s="83">
        <v>14</v>
      </c>
      <c r="B85" s="13">
        <f>'INSCRIPCION '!A86</f>
        <v>79</v>
      </c>
      <c r="C85" s="14">
        <f>'INSCRIPCION '!B86</f>
        <v>0</v>
      </c>
      <c r="D85" s="14" t="e">
        <f>'INSCRIPCION '!#REF!</f>
        <v>#REF!</v>
      </c>
      <c r="E85" s="15">
        <f>'INSCRIPCION '!C86</f>
        <v>0</v>
      </c>
    </row>
    <row r="86" spans="1:5" ht="17.25" customHeight="1" x14ac:dyDescent="0.35">
      <c r="A86" s="84"/>
      <c r="B86" s="13">
        <f>'INSCRIPCION '!A87</f>
        <v>80</v>
      </c>
      <c r="C86" s="14">
        <f>'INSCRIPCION '!B87</f>
        <v>0</v>
      </c>
      <c r="D86" s="14" t="e">
        <f>'INSCRIPCION '!#REF!</f>
        <v>#REF!</v>
      </c>
      <c r="E86" s="15">
        <f>'INSCRIPCION '!C87</f>
        <v>0</v>
      </c>
    </row>
    <row r="87" spans="1:5" ht="17.25" customHeight="1" x14ac:dyDescent="0.35">
      <c r="A87" s="84"/>
      <c r="B87" s="13">
        <f>'INSCRIPCION '!A88</f>
        <v>81</v>
      </c>
      <c r="C87" s="14">
        <f>'INSCRIPCION '!B88</f>
        <v>0</v>
      </c>
      <c r="D87" s="14" t="e">
        <f>'INSCRIPCION '!#REF!</f>
        <v>#REF!</v>
      </c>
      <c r="E87" s="15">
        <f>'INSCRIPCION '!C88</f>
        <v>0</v>
      </c>
    </row>
    <row r="88" spans="1:5" ht="17.25" customHeight="1" x14ac:dyDescent="0.35">
      <c r="A88" s="84"/>
      <c r="B88" s="13">
        <f>'INSCRIPCION '!A89</f>
        <v>82</v>
      </c>
      <c r="C88" s="14">
        <f>'INSCRIPCION '!B89</f>
        <v>0</v>
      </c>
      <c r="D88" s="14" t="e">
        <f>'INSCRIPCION '!#REF!</f>
        <v>#REF!</v>
      </c>
      <c r="E88" s="15">
        <f>'INSCRIPCION '!C89</f>
        <v>0</v>
      </c>
    </row>
    <row r="89" spans="1:5" ht="17.25" customHeight="1" x14ac:dyDescent="0.35">
      <c r="A89" s="84"/>
      <c r="B89" s="13">
        <f>'INSCRIPCION '!A90</f>
        <v>83</v>
      </c>
      <c r="C89" s="14">
        <f>'INSCRIPCION '!B90</f>
        <v>0</v>
      </c>
      <c r="D89" s="14" t="e">
        <f>'INSCRIPCION '!#REF!</f>
        <v>#REF!</v>
      </c>
      <c r="E89" s="15">
        <f>'INSCRIPCION '!C90</f>
        <v>0</v>
      </c>
    </row>
    <row r="90" spans="1:5" ht="17.25" customHeight="1" x14ac:dyDescent="0.35">
      <c r="A90" s="85"/>
      <c r="B90" s="13">
        <f>'INSCRIPCION '!A91</f>
        <v>84</v>
      </c>
      <c r="C90" s="14">
        <f>'INSCRIPCION '!B91</f>
        <v>0</v>
      </c>
      <c r="D90" s="14" t="e">
        <f>'INSCRIPCION '!#REF!</f>
        <v>#REF!</v>
      </c>
      <c r="E90" s="15">
        <f>'INSCRIPCION '!C91</f>
        <v>0</v>
      </c>
    </row>
    <row r="91" spans="1:5" ht="17.25" customHeight="1" x14ac:dyDescent="0.35">
      <c r="A91" s="83">
        <v>15</v>
      </c>
      <c r="B91" s="13">
        <f>'INSCRIPCION '!A92</f>
        <v>85</v>
      </c>
      <c r="C91" s="14">
        <f>'INSCRIPCION '!B92</f>
        <v>0</v>
      </c>
      <c r="D91" s="14" t="e">
        <f>'INSCRIPCION '!#REF!</f>
        <v>#REF!</v>
      </c>
      <c r="E91" s="15">
        <f>'INSCRIPCION '!C92</f>
        <v>0</v>
      </c>
    </row>
    <row r="92" spans="1:5" ht="17.25" customHeight="1" x14ac:dyDescent="0.35">
      <c r="A92" s="84"/>
      <c r="B92" s="13">
        <f>'INSCRIPCION '!A93</f>
        <v>86</v>
      </c>
      <c r="C92" s="14">
        <f>'INSCRIPCION '!B93</f>
        <v>0</v>
      </c>
      <c r="D92" s="14" t="e">
        <f>'INSCRIPCION '!#REF!</f>
        <v>#REF!</v>
      </c>
      <c r="E92" s="15">
        <f>'INSCRIPCION '!C93</f>
        <v>0</v>
      </c>
    </row>
    <row r="93" spans="1:5" ht="17.25" customHeight="1" x14ac:dyDescent="0.35">
      <c r="A93" s="84"/>
      <c r="B93" s="13">
        <f>'INSCRIPCION '!A94</f>
        <v>87</v>
      </c>
      <c r="C93" s="14">
        <f>'INSCRIPCION '!B94</f>
        <v>0</v>
      </c>
      <c r="D93" s="14" t="e">
        <f>'INSCRIPCION '!#REF!</f>
        <v>#REF!</v>
      </c>
      <c r="E93" s="15">
        <f>'INSCRIPCION '!C94</f>
        <v>0</v>
      </c>
    </row>
    <row r="94" spans="1:5" ht="17.25" customHeight="1" x14ac:dyDescent="0.35">
      <c r="A94" s="84"/>
      <c r="B94" s="13">
        <f>'INSCRIPCION '!A95</f>
        <v>88</v>
      </c>
      <c r="C94" s="14">
        <f>'INSCRIPCION '!B95</f>
        <v>0</v>
      </c>
      <c r="D94" s="14" t="e">
        <f>'INSCRIPCION '!#REF!</f>
        <v>#REF!</v>
      </c>
      <c r="E94" s="15">
        <f>'INSCRIPCION '!C95</f>
        <v>0</v>
      </c>
    </row>
    <row r="95" spans="1:5" ht="17.25" customHeight="1" x14ac:dyDescent="0.35">
      <c r="A95" s="84"/>
      <c r="B95" s="13">
        <f>'INSCRIPCION '!A96</f>
        <v>89</v>
      </c>
      <c r="C95" s="14">
        <f>'INSCRIPCION '!B96</f>
        <v>0</v>
      </c>
      <c r="D95" s="14" t="e">
        <f>'INSCRIPCION '!#REF!</f>
        <v>#REF!</v>
      </c>
      <c r="E95" s="15">
        <f>'INSCRIPCION '!C96</f>
        <v>0</v>
      </c>
    </row>
    <row r="96" spans="1:5" ht="17.25" customHeight="1" x14ac:dyDescent="0.35">
      <c r="A96" s="85"/>
      <c r="B96" s="13">
        <f>'INSCRIPCION '!A97</f>
        <v>90</v>
      </c>
      <c r="C96" s="14">
        <f>'INSCRIPCION '!B97</f>
        <v>0</v>
      </c>
      <c r="D96" s="14" t="e">
        <f>'INSCRIPCION '!#REF!</f>
        <v>#REF!</v>
      </c>
      <c r="E96" s="15">
        <f>'INSCRIPCION '!C97</f>
        <v>0</v>
      </c>
    </row>
    <row r="97" spans="1:5" ht="17.25" customHeight="1" x14ac:dyDescent="0.35">
      <c r="A97" s="83">
        <v>16</v>
      </c>
      <c r="B97" s="13">
        <f>'INSCRIPCION '!A98</f>
        <v>91</v>
      </c>
      <c r="C97" s="14">
        <f>'INSCRIPCION '!B98</f>
        <v>0</v>
      </c>
      <c r="D97" s="14" t="e">
        <f>'INSCRIPCION '!#REF!</f>
        <v>#REF!</v>
      </c>
      <c r="E97" s="15">
        <f>'INSCRIPCION '!C98</f>
        <v>0</v>
      </c>
    </row>
    <row r="98" spans="1:5" ht="17.25" customHeight="1" x14ac:dyDescent="0.35">
      <c r="A98" s="84"/>
      <c r="B98" s="13">
        <f>'INSCRIPCION '!A99</f>
        <v>92</v>
      </c>
      <c r="C98" s="14">
        <f>'INSCRIPCION '!B99</f>
        <v>0</v>
      </c>
      <c r="D98" s="14" t="e">
        <f>'INSCRIPCION '!#REF!</f>
        <v>#REF!</v>
      </c>
      <c r="E98" s="15">
        <f>'INSCRIPCION '!C99</f>
        <v>0</v>
      </c>
    </row>
    <row r="99" spans="1:5" ht="17.25" customHeight="1" x14ac:dyDescent="0.35">
      <c r="A99" s="84"/>
      <c r="B99" s="13">
        <f>'INSCRIPCION '!A100</f>
        <v>93</v>
      </c>
      <c r="C99" s="14">
        <f>'INSCRIPCION '!B100</f>
        <v>0</v>
      </c>
      <c r="D99" s="14" t="e">
        <f>'INSCRIPCION '!#REF!</f>
        <v>#REF!</v>
      </c>
      <c r="E99" s="15">
        <f>'INSCRIPCION '!C100</f>
        <v>0</v>
      </c>
    </row>
    <row r="100" spans="1:5" ht="17.25" customHeight="1" x14ac:dyDescent="0.35">
      <c r="A100" s="84"/>
      <c r="B100" s="13">
        <f>'INSCRIPCION '!A101</f>
        <v>94</v>
      </c>
      <c r="C100" s="14">
        <f>'INSCRIPCION '!B101</f>
        <v>0</v>
      </c>
      <c r="D100" s="14" t="e">
        <f>'INSCRIPCION '!#REF!</f>
        <v>#REF!</v>
      </c>
      <c r="E100" s="15">
        <f>'INSCRIPCION '!C101</f>
        <v>0</v>
      </c>
    </row>
    <row r="101" spans="1:5" ht="17.25" customHeight="1" x14ac:dyDescent="0.35">
      <c r="A101" s="84"/>
      <c r="B101" s="13">
        <f>'INSCRIPCION '!A102</f>
        <v>95</v>
      </c>
      <c r="C101" s="14">
        <f>'INSCRIPCION '!B102</f>
        <v>0</v>
      </c>
      <c r="D101" s="14" t="e">
        <f>'INSCRIPCION '!#REF!</f>
        <v>#REF!</v>
      </c>
      <c r="E101" s="15">
        <f>'INSCRIPCION '!C102</f>
        <v>0</v>
      </c>
    </row>
    <row r="102" spans="1:5" ht="17.25" customHeight="1" x14ac:dyDescent="0.35">
      <c r="A102" s="85"/>
      <c r="B102" s="13">
        <f>'INSCRIPCION '!A103</f>
        <v>96</v>
      </c>
      <c r="C102" s="14">
        <f>'INSCRIPCION '!B103</f>
        <v>0</v>
      </c>
      <c r="D102" s="14" t="e">
        <f>'INSCRIPCION '!#REF!</f>
        <v>#REF!</v>
      </c>
      <c r="E102" s="15">
        <f>'INSCRIPCION '!C103</f>
        <v>0</v>
      </c>
    </row>
    <row r="103" spans="1:5" ht="17.25" customHeight="1" x14ac:dyDescent="0.35">
      <c r="A103" s="83">
        <v>17</v>
      </c>
      <c r="B103" s="13">
        <f>'INSCRIPCION '!A104</f>
        <v>97</v>
      </c>
      <c r="C103" s="14">
        <f>'INSCRIPCION '!B104</f>
        <v>0</v>
      </c>
      <c r="D103" s="14" t="e">
        <f>'INSCRIPCION '!#REF!</f>
        <v>#REF!</v>
      </c>
      <c r="E103" s="15">
        <f>'INSCRIPCION '!C104</f>
        <v>0</v>
      </c>
    </row>
    <row r="104" spans="1:5" ht="17.25" customHeight="1" x14ac:dyDescent="0.35">
      <c r="A104" s="84"/>
      <c r="B104" s="13">
        <f>'INSCRIPCION '!A105</f>
        <v>98</v>
      </c>
      <c r="C104" s="14">
        <f>'INSCRIPCION '!B105</f>
        <v>0</v>
      </c>
      <c r="D104" s="14" t="e">
        <f>'INSCRIPCION '!#REF!</f>
        <v>#REF!</v>
      </c>
      <c r="E104" s="15">
        <f>'INSCRIPCION '!C105</f>
        <v>0</v>
      </c>
    </row>
    <row r="105" spans="1:5" ht="17.25" customHeight="1" x14ac:dyDescent="0.35">
      <c r="A105" s="84"/>
      <c r="B105" s="13">
        <f>'INSCRIPCION '!A106</f>
        <v>99</v>
      </c>
      <c r="C105" s="14">
        <f>'INSCRIPCION '!B106</f>
        <v>0</v>
      </c>
      <c r="D105" s="14" t="e">
        <f>'INSCRIPCION '!#REF!</f>
        <v>#REF!</v>
      </c>
      <c r="E105" s="15">
        <f>'INSCRIPCION '!C106</f>
        <v>0</v>
      </c>
    </row>
    <row r="106" spans="1:5" ht="17.25" customHeight="1" x14ac:dyDescent="0.35">
      <c r="A106" s="84"/>
      <c r="B106" s="13">
        <f>'INSCRIPCION '!A107</f>
        <v>100</v>
      </c>
      <c r="C106" s="14">
        <f>'INSCRIPCION '!B107</f>
        <v>0</v>
      </c>
      <c r="D106" s="14" t="e">
        <f>'INSCRIPCION '!#REF!</f>
        <v>#REF!</v>
      </c>
      <c r="E106" s="15">
        <f>'INSCRIPCION '!C107</f>
        <v>0</v>
      </c>
    </row>
    <row r="107" spans="1:5" ht="17.25" customHeight="1" x14ac:dyDescent="0.35">
      <c r="A107" s="84"/>
      <c r="B107" s="13">
        <f>'INSCRIPCION '!A108</f>
        <v>101</v>
      </c>
      <c r="C107" s="14">
        <f>'INSCRIPCION '!B108</f>
        <v>0</v>
      </c>
      <c r="D107" s="14" t="e">
        <f>'INSCRIPCION '!#REF!</f>
        <v>#REF!</v>
      </c>
      <c r="E107" s="15">
        <f>'INSCRIPCION '!C108</f>
        <v>0</v>
      </c>
    </row>
    <row r="108" spans="1:5" ht="17.25" customHeight="1" x14ac:dyDescent="0.35">
      <c r="A108" s="85"/>
      <c r="B108" s="13">
        <f>'INSCRIPCION '!A109</f>
        <v>102</v>
      </c>
      <c r="C108" s="14">
        <f>'INSCRIPCION '!B109</f>
        <v>0</v>
      </c>
      <c r="D108" s="14" t="e">
        <f>'INSCRIPCION '!#REF!</f>
        <v>#REF!</v>
      </c>
      <c r="E108" s="15">
        <f>'INSCRIPCION '!C109</f>
        <v>0</v>
      </c>
    </row>
    <row r="109" spans="1:5" ht="17.25" customHeight="1" x14ac:dyDescent="0.35">
      <c r="A109" s="83">
        <v>18</v>
      </c>
      <c r="B109" s="13">
        <f>'INSCRIPCION '!A110</f>
        <v>103</v>
      </c>
      <c r="C109" s="14">
        <f>'INSCRIPCION '!B110</f>
        <v>0</v>
      </c>
      <c r="D109" s="14" t="e">
        <f>'INSCRIPCION '!#REF!</f>
        <v>#REF!</v>
      </c>
      <c r="E109" s="15">
        <f>'INSCRIPCION '!C110</f>
        <v>0</v>
      </c>
    </row>
    <row r="110" spans="1:5" ht="17.25" customHeight="1" x14ac:dyDescent="0.35">
      <c r="A110" s="84"/>
      <c r="B110" s="13">
        <f>'INSCRIPCION '!A111</f>
        <v>104</v>
      </c>
      <c r="C110" s="14">
        <f>'INSCRIPCION '!B111</f>
        <v>0</v>
      </c>
      <c r="D110" s="14" t="e">
        <f>'INSCRIPCION '!#REF!</f>
        <v>#REF!</v>
      </c>
      <c r="E110" s="15">
        <f>'INSCRIPCION '!C111</f>
        <v>0</v>
      </c>
    </row>
    <row r="111" spans="1:5" ht="17.25" customHeight="1" x14ac:dyDescent="0.35">
      <c r="A111" s="84"/>
      <c r="B111" s="13">
        <f>'INSCRIPCION '!A112</f>
        <v>105</v>
      </c>
      <c r="C111" s="14">
        <f>'INSCRIPCION '!B112</f>
        <v>0</v>
      </c>
      <c r="D111" s="14" t="e">
        <f>'INSCRIPCION '!#REF!</f>
        <v>#REF!</v>
      </c>
      <c r="E111" s="15">
        <f>'INSCRIPCION '!C112</f>
        <v>0</v>
      </c>
    </row>
    <row r="112" spans="1:5" ht="17.25" customHeight="1" x14ac:dyDescent="0.35">
      <c r="A112" s="84"/>
      <c r="B112" s="13">
        <f>'INSCRIPCION '!A113</f>
        <v>106</v>
      </c>
      <c r="C112" s="14">
        <f>'INSCRIPCION '!B113</f>
        <v>0</v>
      </c>
      <c r="D112" s="14" t="e">
        <f>'INSCRIPCION '!#REF!</f>
        <v>#REF!</v>
      </c>
      <c r="E112" s="15">
        <f>'INSCRIPCION '!C113</f>
        <v>0</v>
      </c>
    </row>
    <row r="113" spans="1:5" ht="17.25" customHeight="1" x14ac:dyDescent="0.35">
      <c r="A113" s="84"/>
      <c r="B113" s="13">
        <f>'INSCRIPCION '!A114</f>
        <v>107</v>
      </c>
      <c r="C113" s="14">
        <f>'INSCRIPCION '!B114</f>
        <v>0</v>
      </c>
      <c r="D113" s="14" t="e">
        <f>'INSCRIPCION '!#REF!</f>
        <v>#REF!</v>
      </c>
      <c r="E113" s="15">
        <f>'INSCRIPCION '!C114</f>
        <v>0</v>
      </c>
    </row>
    <row r="114" spans="1:5" ht="17.25" customHeight="1" x14ac:dyDescent="0.35">
      <c r="A114" s="85"/>
      <c r="B114" s="13">
        <f>'INSCRIPCION '!A115</f>
        <v>108</v>
      </c>
      <c r="C114" s="14">
        <f>'INSCRIPCION '!B115</f>
        <v>0</v>
      </c>
      <c r="D114" s="14" t="e">
        <f>'INSCRIPCION '!#REF!</f>
        <v>#REF!</v>
      </c>
      <c r="E114" s="15">
        <f>'INSCRIPCION '!C115</f>
        <v>0</v>
      </c>
    </row>
    <row r="115" spans="1:5" ht="17.25" customHeight="1" x14ac:dyDescent="0.35">
      <c r="A115" s="83">
        <v>19</v>
      </c>
      <c r="B115" s="13">
        <f>'INSCRIPCION '!A116</f>
        <v>109</v>
      </c>
      <c r="C115" s="14">
        <f>'INSCRIPCION '!B116</f>
        <v>0</v>
      </c>
      <c r="D115" s="14" t="e">
        <f>'INSCRIPCION '!#REF!</f>
        <v>#REF!</v>
      </c>
      <c r="E115" s="15">
        <f>'INSCRIPCION '!C116</f>
        <v>0</v>
      </c>
    </row>
    <row r="116" spans="1:5" ht="17.25" customHeight="1" x14ac:dyDescent="0.35">
      <c r="A116" s="84"/>
      <c r="B116" s="13">
        <f>'INSCRIPCION '!A117</f>
        <v>110</v>
      </c>
      <c r="C116" s="14">
        <f>'INSCRIPCION '!B117</f>
        <v>0</v>
      </c>
      <c r="D116" s="14" t="e">
        <f>'INSCRIPCION '!#REF!</f>
        <v>#REF!</v>
      </c>
      <c r="E116" s="15">
        <f>'INSCRIPCION '!C117</f>
        <v>0</v>
      </c>
    </row>
    <row r="117" spans="1:5" ht="17.25" customHeight="1" x14ac:dyDescent="0.35">
      <c r="A117" s="84"/>
      <c r="B117" s="13">
        <f>'INSCRIPCION '!A118</f>
        <v>111</v>
      </c>
      <c r="C117" s="14">
        <f>'INSCRIPCION '!B118</f>
        <v>0</v>
      </c>
      <c r="D117" s="14" t="e">
        <f>'INSCRIPCION '!#REF!</f>
        <v>#REF!</v>
      </c>
      <c r="E117" s="15">
        <f>'INSCRIPCION '!C118</f>
        <v>0</v>
      </c>
    </row>
    <row r="118" spans="1:5" ht="17.25" customHeight="1" x14ac:dyDescent="0.35">
      <c r="A118" s="84"/>
      <c r="B118" s="13">
        <f>'INSCRIPCION '!A119</f>
        <v>112</v>
      </c>
      <c r="C118" s="14">
        <f>'INSCRIPCION '!B119</f>
        <v>0</v>
      </c>
      <c r="D118" s="14" t="e">
        <f>'INSCRIPCION '!#REF!</f>
        <v>#REF!</v>
      </c>
      <c r="E118" s="15">
        <f>'INSCRIPCION '!C119</f>
        <v>0</v>
      </c>
    </row>
    <row r="119" spans="1:5" ht="17.25" customHeight="1" x14ac:dyDescent="0.35">
      <c r="A119" s="84"/>
      <c r="B119" s="13">
        <f>'INSCRIPCION '!A120</f>
        <v>113</v>
      </c>
      <c r="C119" s="14">
        <f>'INSCRIPCION '!B120</f>
        <v>0</v>
      </c>
      <c r="D119" s="14" t="e">
        <f>'INSCRIPCION '!#REF!</f>
        <v>#REF!</v>
      </c>
      <c r="E119" s="15">
        <f>'INSCRIPCION '!C120</f>
        <v>0</v>
      </c>
    </row>
    <row r="120" spans="1:5" ht="17.25" customHeight="1" x14ac:dyDescent="0.35">
      <c r="A120" s="85"/>
      <c r="B120" s="13">
        <f>'INSCRIPCION '!A121</f>
        <v>114</v>
      </c>
      <c r="C120" s="14">
        <f>'INSCRIPCION '!B121</f>
        <v>0</v>
      </c>
      <c r="D120" s="14" t="e">
        <f>'INSCRIPCION '!#REF!</f>
        <v>#REF!</v>
      </c>
      <c r="E120" s="15">
        <f>'INSCRIPCION '!C121</f>
        <v>0</v>
      </c>
    </row>
    <row r="121" spans="1:5" ht="17.25" customHeight="1" x14ac:dyDescent="0.35">
      <c r="A121" s="83">
        <v>20</v>
      </c>
      <c r="B121" s="13">
        <f>'INSCRIPCION '!A122</f>
        <v>115</v>
      </c>
      <c r="C121" s="14">
        <f>'INSCRIPCION '!B122</f>
        <v>0</v>
      </c>
      <c r="D121" s="14" t="e">
        <f>'INSCRIPCION '!#REF!</f>
        <v>#REF!</v>
      </c>
      <c r="E121" s="15">
        <f>'INSCRIPCION '!C122</f>
        <v>0</v>
      </c>
    </row>
    <row r="122" spans="1:5" ht="17.25" customHeight="1" x14ac:dyDescent="0.35">
      <c r="A122" s="84"/>
      <c r="B122" s="13">
        <f>'INSCRIPCION '!A123</f>
        <v>116</v>
      </c>
      <c r="C122" s="14">
        <f>'INSCRIPCION '!B123</f>
        <v>0</v>
      </c>
      <c r="D122" s="14" t="e">
        <f>'INSCRIPCION '!#REF!</f>
        <v>#REF!</v>
      </c>
      <c r="E122" s="15">
        <f>'INSCRIPCION '!C123</f>
        <v>0</v>
      </c>
    </row>
    <row r="123" spans="1:5" ht="17.25" customHeight="1" x14ac:dyDescent="0.35">
      <c r="A123" s="84"/>
      <c r="B123" s="13">
        <f>'INSCRIPCION '!A124</f>
        <v>117</v>
      </c>
      <c r="C123" s="14">
        <f>'INSCRIPCION '!B124</f>
        <v>0</v>
      </c>
      <c r="D123" s="14" t="e">
        <f>'INSCRIPCION '!#REF!</f>
        <v>#REF!</v>
      </c>
      <c r="E123" s="15">
        <f>'INSCRIPCION '!C124</f>
        <v>0</v>
      </c>
    </row>
    <row r="124" spans="1:5" ht="17.25" customHeight="1" x14ac:dyDescent="0.35">
      <c r="A124" s="84"/>
      <c r="B124" s="13">
        <f>'INSCRIPCION '!A125</f>
        <v>118</v>
      </c>
      <c r="C124" s="14">
        <f>'INSCRIPCION '!B125</f>
        <v>0</v>
      </c>
      <c r="D124" s="14" t="e">
        <f>'INSCRIPCION '!#REF!</f>
        <v>#REF!</v>
      </c>
      <c r="E124" s="15">
        <f>'INSCRIPCION '!C125</f>
        <v>0</v>
      </c>
    </row>
    <row r="125" spans="1:5" ht="17.25" customHeight="1" x14ac:dyDescent="0.35">
      <c r="A125" s="84"/>
      <c r="B125" s="13">
        <f>'INSCRIPCION '!A126</f>
        <v>119</v>
      </c>
      <c r="C125" s="14">
        <f>'INSCRIPCION '!B126</f>
        <v>0</v>
      </c>
      <c r="D125" s="14" t="e">
        <f>'INSCRIPCION '!#REF!</f>
        <v>#REF!</v>
      </c>
      <c r="E125" s="15">
        <f>'INSCRIPCION '!C126</f>
        <v>0</v>
      </c>
    </row>
    <row r="126" spans="1:5" ht="17.25" customHeight="1" x14ac:dyDescent="0.35">
      <c r="A126" s="85"/>
      <c r="B126" s="13">
        <f>'INSCRIPCION '!A127</f>
        <v>120</v>
      </c>
      <c r="C126" s="14">
        <f>'INSCRIPCION '!B127</f>
        <v>0</v>
      </c>
      <c r="D126" s="14" t="e">
        <f>'INSCRIPCION '!#REF!</f>
        <v>#REF!</v>
      </c>
      <c r="E126" s="15">
        <f>'INSCRIPCION '!C127</f>
        <v>0</v>
      </c>
    </row>
    <row r="127" spans="1:5" ht="17.25" customHeight="1" x14ac:dyDescent="0.35">
      <c r="A127" s="83">
        <v>21</v>
      </c>
      <c r="B127" s="13">
        <f>'INSCRIPCION '!A128</f>
        <v>121</v>
      </c>
      <c r="C127" s="14">
        <f>'INSCRIPCION '!B128</f>
        <v>0</v>
      </c>
      <c r="D127" s="14" t="e">
        <f>'INSCRIPCION '!#REF!</f>
        <v>#REF!</v>
      </c>
      <c r="E127" s="15">
        <f>'INSCRIPCION '!C128</f>
        <v>0</v>
      </c>
    </row>
    <row r="128" spans="1:5" ht="17.25" customHeight="1" x14ac:dyDescent="0.35">
      <c r="A128" s="84"/>
      <c r="B128" s="13">
        <f>'INSCRIPCION '!A129</f>
        <v>122</v>
      </c>
      <c r="C128" s="14">
        <f>'INSCRIPCION '!B129</f>
        <v>0</v>
      </c>
      <c r="D128" s="14" t="e">
        <f>'INSCRIPCION '!#REF!</f>
        <v>#REF!</v>
      </c>
      <c r="E128" s="15">
        <f>'INSCRIPCION '!C129</f>
        <v>0</v>
      </c>
    </row>
    <row r="129" spans="1:5" ht="17.25" customHeight="1" x14ac:dyDescent="0.35">
      <c r="A129" s="84"/>
      <c r="B129" s="13">
        <f>'INSCRIPCION '!A130</f>
        <v>123</v>
      </c>
      <c r="C129" s="14">
        <f>'INSCRIPCION '!B130</f>
        <v>0</v>
      </c>
      <c r="D129" s="14" t="e">
        <f>'INSCRIPCION '!#REF!</f>
        <v>#REF!</v>
      </c>
      <c r="E129" s="15">
        <f>'INSCRIPCION '!C130</f>
        <v>0</v>
      </c>
    </row>
    <row r="130" spans="1:5" ht="17.25" customHeight="1" x14ac:dyDescent="0.35">
      <c r="A130" s="84"/>
      <c r="B130" s="13">
        <f>'INSCRIPCION '!A131</f>
        <v>124</v>
      </c>
      <c r="C130" s="14">
        <f>'INSCRIPCION '!B131</f>
        <v>0</v>
      </c>
      <c r="D130" s="14" t="e">
        <f>'INSCRIPCION '!#REF!</f>
        <v>#REF!</v>
      </c>
      <c r="E130" s="15">
        <f>'INSCRIPCION '!C131</f>
        <v>0</v>
      </c>
    </row>
    <row r="131" spans="1:5" ht="17.25" customHeight="1" x14ac:dyDescent="0.35">
      <c r="A131" s="84"/>
      <c r="B131" s="13">
        <f>'INSCRIPCION '!A132</f>
        <v>125</v>
      </c>
      <c r="C131" s="14">
        <f>'INSCRIPCION '!B132</f>
        <v>0</v>
      </c>
      <c r="D131" s="14" t="e">
        <f>'INSCRIPCION '!#REF!</f>
        <v>#REF!</v>
      </c>
      <c r="E131" s="15">
        <f>'INSCRIPCION '!C132</f>
        <v>0</v>
      </c>
    </row>
    <row r="132" spans="1:5" ht="17.25" customHeight="1" x14ac:dyDescent="0.35">
      <c r="A132" s="85"/>
      <c r="B132" s="13">
        <f>'INSCRIPCION '!A133</f>
        <v>126</v>
      </c>
      <c r="C132" s="14">
        <f>'INSCRIPCION '!B133</f>
        <v>0</v>
      </c>
      <c r="D132" s="14" t="e">
        <f>'INSCRIPCION '!#REF!</f>
        <v>#REF!</v>
      </c>
      <c r="E132" s="15">
        <f>'INSCRIPCION '!C133</f>
        <v>0</v>
      </c>
    </row>
    <row r="133" spans="1:5" ht="17.25" customHeight="1" x14ac:dyDescent="0.35">
      <c r="A133" s="83">
        <v>22</v>
      </c>
      <c r="B133" s="13">
        <f>'INSCRIPCION '!A134</f>
        <v>127</v>
      </c>
      <c r="C133" s="14">
        <f>'INSCRIPCION '!B134</f>
        <v>0</v>
      </c>
      <c r="D133" s="14" t="e">
        <f>'INSCRIPCION '!#REF!</f>
        <v>#REF!</v>
      </c>
      <c r="E133" s="15">
        <f>'INSCRIPCION '!C134</f>
        <v>0</v>
      </c>
    </row>
    <row r="134" spans="1:5" ht="17.25" customHeight="1" x14ac:dyDescent="0.35">
      <c r="A134" s="84"/>
      <c r="B134" s="13">
        <f>'INSCRIPCION '!A135</f>
        <v>128</v>
      </c>
      <c r="C134" s="14">
        <f>'INSCRIPCION '!B135</f>
        <v>0</v>
      </c>
      <c r="D134" s="14" t="e">
        <f>'INSCRIPCION '!#REF!</f>
        <v>#REF!</v>
      </c>
      <c r="E134" s="15">
        <f>'INSCRIPCION '!C135</f>
        <v>0</v>
      </c>
    </row>
    <row r="135" spans="1:5" ht="17.25" customHeight="1" x14ac:dyDescent="0.35">
      <c r="A135" s="84"/>
      <c r="B135" s="13">
        <f>'INSCRIPCION '!A136</f>
        <v>129</v>
      </c>
      <c r="C135" s="14">
        <f>'INSCRIPCION '!B136</f>
        <v>0</v>
      </c>
      <c r="D135" s="14" t="e">
        <f>'INSCRIPCION '!#REF!</f>
        <v>#REF!</v>
      </c>
      <c r="E135" s="15">
        <f>'INSCRIPCION '!C136</f>
        <v>0</v>
      </c>
    </row>
    <row r="136" spans="1:5" ht="17.25" customHeight="1" x14ac:dyDescent="0.35">
      <c r="A136" s="84"/>
      <c r="B136" s="13">
        <f>'INSCRIPCION '!A137</f>
        <v>130</v>
      </c>
      <c r="C136" s="14">
        <f>'INSCRIPCION '!B137</f>
        <v>0</v>
      </c>
      <c r="D136" s="14" t="e">
        <f>'INSCRIPCION '!#REF!</f>
        <v>#REF!</v>
      </c>
      <c r="E136" s="15">
        <f>'INSCRIPCION '!C137</f>
        <v>0</v>
      </c>
    </row>
    <row r="137" spans="1:5" ht="17.25" customHeight="1" x14ac:dyDescent="0.35">
      <c r="A137" s="84"/>
      <c r="B137" s="13">
        <f>'INSCRIPCION '!A138</f>
        <v>131</v>
      </c>
      <c r="C137" s="14">
        <f>'INSCRIPCION '!B138</f>
        <v>0</v>
      </c>
      <c r="D137" s="14" t="e">
        <f>'INSCRIPCION '!#REF!</f>
        <v>#REF!</v>
      </c>
      <c r="E137" s="15">
        <f>'INSCRIPCION '!C138</f>
        <v>0</v>
      </c>
    </row>
    <row r="138" spans="1:5" ht="17.25" customHeight="1" x14ac:dyDescent="0.35">
      <c r="A138" s="85"/>
      <c r="B138" s="13">
        <f>'INSCRIPCION '!A139</f>
        <v>132</v>
      </c>
      <c r="C138" s="14">
        <f>'INSCRIPCION '!B139</f>
        <v>0</v>
      </c>
      <c r="D138" s="14" t="e">
        <f>'INSCRIPCION '!#REF!</f>
        <v>#REF!</v>
      </c>
      <c r="E138" s="15">
        <f>'INSCRIPCION '!C139</f>
        <v>0</v>
      </c>
    </row>
    <row r="139" spans="1:5" ht="17.25" customHeight="1" x14ac:dyDescent="0.35">
      <c r="A139" s="83">
        <v>23</v>
      </c>
      <c r="B139" s="13">
        <f>'INSCRIPCION '!A140</f>
        <v>133</v>
      </c>
      <c r="C139" s="14">
        <f>'INSCRIPCION '!B140</f>
        <v>0</v>
      </c>
      <c r="D139" s="14" t="e">
        <f>'INSCRIPCION '!#REF!</f>
        <v>#REF!</v>
      </c>
      <c r="E139" s="15">
        <f>'INSCRIPCION '!C140</f>
        <v>0</v>
      </c>
    </row>
    <row r="140" spans="1:5" ht="17.25" customHeight="1" x14ac:dyDescent="0.35">
      <c r="A140" s="84"/>
      <c r="B140" s="13">
        <f>'INSCRIPCION '!A141</f>
        <v>134</v>
      </c>
      <c r="C140" s="14">
        <f>'INSCRIPCION '!B141</f>
        <v>0</v>
      </c>
      <c r="D140" s="14" t="e">
        <f>'INSCRIPCION '!#REF!</f>
        <v>#REF!</v>
      </c>
      <c r="E140" s="15">
        <f>'INSCRIPCION '!C141</f>
        <v>0</v>
      </c>
    </row>
    <row r="141" spans="1:5" ht="17.25" customHeight="1" x14ac:dyDescent="0.35">
      <c r="A141" s="84"/>
      <c r="B141" s="13">
        <f>'INSCRIPCION '!A142</f>
        <v>135</v>
      </c>
      <c r="C141" s="14">
        <f>'INSCRIPCION '!B142</f>
        <v>0</v>
      </c>
      <c r="D141" s="14" t="e">
        <f>'INSCRIPCION '!#REF!</f>
        <v>#REF!</v>
      </c>
      <c r="E141" s="15">
        <f>'INSCRIPCION '!C142</f>
        <v>0</v>
      </c>
    </row>
    <row r="142" spans="1:5" ht="17.25" customHeight="1" x14ac:dyDescent="0.35">
      <c r="A142" s="84"/>
      <c r="B142" s="13">
        <f>'INSCRIPCION '!A143</f>
        <v>136</v>
      </c>
      <c r="C142" s="14">
        <f>'INSCRIPCION '!B143</f>
        <v>0</v>
      </c>
      <c r="D142" s="14" t="e">
        <f>'INSCRIPCION '!#REF!</f>
        <v>#REF!</v>
      </c>
      <c r="E142" s="15">
        <f>'INSCRIPCION '!C143</f>
        <v>0</v>
      </c>
    </row>
    <row r="143" spans="1:5" ht="17.25" customHeight="1" x14ac:dyDescent="0.35">
      <c r="A143" s="84"/>
      <c r="B143" s="13">
        <f>'INSCRIPCION '!A144</f>
        <v>137</v>
      </c>
      <c r="C143" s="14">
        <f>'INSCRIPCION '!B144</f>
        <v>0</v>
      </c>
      <c r="D143" s="14" t="e">
        <f>'INSCRIPCION '!#REF!</f>
        <v>#REF!</v>
      </c>
      <c r="E143" s="15">
        <f>'INSCRIPCION '!C144</f>
        <v>0</v>
      </c>
    </row>
    <row r="144" spans="1:5" ht="17.25" customHeight="1" x14ac:dyDescent="0.35">
      <c r="A144" s="85"/>
      <c r="B144" s="13">
        <f>'INSCRIPCION '!A145</f>
        <v>138</v>
      </c>
      <c r="C144" s="14">
        <f>'INSCRIPCION '!B145</f>
        <v>0</v>
      </c>
      <c r="D144" s="14" t="e">
        <f>'INSCRIPCION '!#REF!</f>
        <v>#REF!</v>
      </c>
      <c r="E144" s="15">
        <f>'INSCRIPCION '!C145</f>
        <v>0</v>
      </c>
    </row>
    <row r="145" spans="1:5" ht="17.25" customHeight="1" x14ac:dyDescent="0.35">
      <c r="A145" s="83">
        <v>24</v>
      </c>
      <c r="B145" s="13">
        <f>'INSCRIPCION '!A146</f>
        <v>139</v>
      </c>
      <c r="C145" s="14">
        <f>'INSCRIPCION '!B146</f>
        <v>0</v>
      </c>
      <c r="D145" s="14" t="e">
        <f>'INSCRIPCION '!#REF!</f>
        <v>#REF!</v>
      </c>
      <c r="E145" s="15">
        <f>'INSCRIPCION '!C146</f>
        <v>0</v>
      </c>
    </row>
    <row r="146" spans="1:5" ht="17.25" customHeight="1" x14ac:dyDescent="0.35">
      <c r="A146" s="84"/>
      <c r="B146" s="13">
        <f>'INSCRIPCION '!A147</f>
        <v>140</v>
      </c>
      <c r="C146" s="14">
        <f>'INSCRIPCION '!B147</f>
        <v>0</v>
      </c>
      <c r="D146" s="14" t="e">
        <f>'INSCRIPCION '!#REF!</f>
        <v>#REF!</v>
      </c>
      <c r="E146" s="15">
        <f>'INSCRIPCION '!C147</f>
        <v>0</v>
      </c>
    </row>
    <row r="147" spans="1:5" ht="17.25" customHeight="1" x14ac:dyDescent="0.35">
      <c r="A147" s="84"/>
      <c r="B147" s="13">
        <f>'INSCRIPCION '!A148</f>
        <v>141</v>
      </c>
      <c r="C147" s="14">
        <f>'INSCRIPCION '!B148</f>
        <v>0</v>
      </c>
      <c r="D147" s="14" t="e">
        <f>'INSCRIPCION '!#REF!</f>
        <v>#REF!</v>
      </c>
      <c r="E147" s="15">
        <f>'INSCRIPCION '!C148</f>
        <v>0</v>
      </c>
    </row>
    <row r="148" spans="1:5" ht="17.25" customHeight="1" x14ac:dyDescent="0.35">
      <c r="A148" s="84"/>
      <c r="B148" s="13">
        <f>'INSCRIPCION '!A149</f>
        <v>142</v>
      </c>
      <c r="C148" s="14">
        <f>'INSCRIPCION '!B149</f>
        <v>0</v>
      </c>
      <c r="D148" s="14" t="e">
        <f>'INSCRIPCION '!#REF!</f>
        <v>#REF!</v>
      </c>
      <c r="E148" s="15">
        <f>'INSCRIPCION '!C149</f>
        <v>0</v>
      </c>
    </row>
    <row r="149" spans="1:5" ht="17.25" customHeight="1" x14ac:dyDescent="0.35">
      <c r="A149" s="84"/>
      <c r="B149" s="13">
        <f>'INSCRIPCION '!A150</f>
        <v>143</v>
      </c>
      <c r="C149" s="14">
        <f>'INSCRIPCION '!B150</f>
        <v>0</v>
      </c>
      <c r="D149" s="14" t="e">
        <f>'INSCRIPCION '!#REF!</f>
        <v>#REF!</v>
      </c>
      <c r="E149" s="15">
        <f>'INSCRIPCION '!C150</f>
        <v>0</v>
      </c>
    </row>
    <row r="150" spans="1:5" ht="17.25" customHeight="1" x14ac:dyDescent="0.35">
      <c r="A150" s="85"/>
      <c r="B150" s="13">
        <f>'INSCRIPCION '!A151</f>
        <v>144</v>
      </c>
      <c r="C150" s="14">
        <f>'INSCRIPCION '!B151</f>
        <v>0</v>
      </c>
      <c r="D150" s="14" t="e">
        <f>'INSCRIPCION '!#REF!</f>
        <v>#REF!</v>
      </c>
      <c r="E150" s="15">
        <f>'INSCRIPCION '!C151</f>
        <v>0</v>
      </c>
    </row>
    <row r="151" spans="1:5" ht="17.25" customHeight="1" x14ac:dyDescent="0.35">
      <c r="A151" s="83">
        <v>25</v>
      </c>
      <c r="B151" s="13">
        <f>'INSCRIPCION '!A152</f>
        <v>145</v>
      </c>
      <c r="C151" s="14">
        <f>'INSCRIPCION '!B152</f>
        <v>0</v>
      </c>
      <c r="D151" s="13" t="e">
        <f>'INSCRIPCION '!#REF!</f>
        <v>#REF!</v>
      </c>
      <c r="E151" s="13">
        <f>'INSCRIPCION '!C152</f>
        <v>0</v>
      </c>
    </row>
    <row r="152" spans="1:5" ht="17.25" customHeight="1" x14ac:dyDescent="0.35">
      <c r="A152" s="84"/>
      <c r="B152" s="13">
        <f>'INSCRIPCION '!A153</f>
        <v>146</v>
      </c>
      <c r="C152" s="14">
        <f>'INSCRIPCION '!B153</f>
        <v>0</v>
      </c>
      <c r="D152" s="13" t="e">
        <f>'INSCRIPCION '!#REF!</f>
        <v>#REF!</v>
      </c>
      <c r="E152" s="13">
        <f>'INSCRIPCION '!C153</f>
        <v>0</v>
      </c>
    </row>
    <row r="153" spans="1:5" ht="17.25" customHeight="1" x14ac:dyDescent="0.35">
      <c r="A153" s="84"/>
      <c r="B153" s="13">
        <f>'INSCRIPCION '!A154</f>
        <v>147</v>
      </c>
      <c r="C153" s="14">
        <f>'INSCRIPCION '!B154</f>
        <v>0</v>
      </c>
      <c r="D153" s="13" t="e">
        <f>'INSCRIPCION '!#REF!</f>
        <v>#REF!</v>
      </c>
      <c r="E153" s="13">
        <f>'INSCRIPCION '!C154</f>
        <v>0</v>
      </c>
    </row>
    <row r="154" spans="1:5" ht="17.25" customHeight="1" x14ac:dyDescent="0.35">
      <c r="A154" s="84"/>
      <c r="B154" s="13">
        <f>'INSCRIPCION '!A155</f>
        <v>148</v>
      </c>
      <c r="C154" s="14">
        <f>'INSCRIPCION '!B155</f>
        <v>0</v>
      </c>
      <c r="D154" s="13" t="e">
        <f>'INSCRIPCION '!#REF!</f>
        <v>#REF!</v>
      </c>
      <c r="E154" s="13">
        <f>'INSCRIPCION '!C155</f>
        <v>0</v>
      </c>
    </row>
    <row r="155" spans="1:5" ht="17.25" customHeight="1" x14ac:dyDescent="0.35">
      <c r="A155" s="84"/>
      <c r="B155" s="13">
        <f>'INSCRIPCION '!A156</f>
        <v>149</v>
      </c>
      <c r="C155" s="14">
        <f>'INSCRIPCION '!B156</f>
        <v>0</v>
      </c>
      <c r="D155" s="13" t="e">
        <f>'INSCRIPCION '!#REF!</f>
        <v>#REF!</v>
      </c>
      <c r="E155" s="13">
        <f>'INSCRIPCION '!C156</f>
        <v>0</v>
      </c>
    </row>
    <row r="156" spans="1:5" ht="17.25" customHeight="1" x14ac:dyDescent="0.35">
      <c r="A156" s="85"/>
      <c r="B156" s="13">
        <f>'INSCRIPCION '!A157</f>
        <v>150</v>
      </c>
      <c r="C156" s="14">
        <f>'INSCRIPCION '!B157</f>
        <v>0</v>
      </c>
      <c r="D156" s="13" t="e">
        <f>'INSCRIPCION '!#REF!</f>
        <v>#REF!</v>
      </c>
      <c r="E156" s="13">
        <f>'INSCRIPCION '!C157</f>
        <v>0</v>
      </c>
    </row>
    <row r="157" spans="1:5" ht="17.25" customHeight="1" x14ac:dyDescent="0.35">
      <c r="A157" s="83">
        <v>26</v>
      </c>
      <c r="B157" s="13">
        <f>'INSCRIPCION '!A158</f>
        <v>151</v>
      </c>
      <c r="C157" s="14">
        <f>'INSCRIPCION '!B158</f>
        <v>0</v>
      </c>
      <c r="D157" s="13" t="e">
        <f>'INSCRIPCION '!#REF!</f>
        <v>#REF!</v>
      </c>
      <c r="E157" s="13">
        <f>'INSCRIPCION '!C158</f>
        <v>0</v>
      </c>
    </row>
    <row r="158" spans="1:5" ht="17.25" customHeight="1" x14ac:dyDescent="0.35">
      <c r="A158" s="84"/>
      <c r="B158" s="13">
        <f>'INSCRIPCION '!A159</f>
        <v>152</v>
      </c>
      <c r="C158" s="14">
        <f>'INSCRIPCION '!B159</f>
        <v>0</v>
      </c>
      <c r="D158" s="13" t="e">
        <f>'INSCRIPCION '!#REF!</f>
        <v>#REF!</v>
      </c>
      <c r="E158" s="13">
        <f>'INSCRIPCION '!C159</f>
        <v>0</v>
      </c>
    </row>
    <row r="159" spans="1:5" ht="17.25" customHeight="1" x14ac:dyDescent="0.35">
      <c r="A159" s="84"/>
      <c r="B159" s="13">
        <f>'INSCRIPCION '!A160</f>
        <v>153</v>
      </c>
      <c r="C159" s="14">
        <f>'INSCRIPCION '!B160</f>
        <v>0</v>
      </c>
      <c r="D159" s="13" t="e">
        <f>'INSCRIPCION '!#REF!</f>
        <v>#REF!</v>
      </c>
      <c r="E159" s="13">
        <f>'INSCRIPCION '!C160</f>
        <v>0</v>
      </c>
    </row>
    <row r="160" spans="1:5" ht="17.25" customHeight="1" x14ac:dyDescent="0.35">
      <c r="A160" s="84"/>
      <c r="B160" s="13">
        <f>'INSCRIPCION '!A161</f>
        <v>154</v>
      </c>
      <c r="C160" s="14">
        <f>'INSCRIPCION '!B161</f>
        <v>0</v>
      </c>
      <c r="D160" s="13" t="e">
        <f>'INSCRIPCION '!#REF!</f>
        <v>#REF!</v>
      </c>
      <c r="E160" s="13">
        <f>'INSCRIPCION '!C161</f>
        <v>0</v>
      </c>
    </row>
    <row r="161" spans="1:5" ht="17.25" customHeight="1" x14ac:dyDescent="0.35">
      <c r="A161" s="84"/>
      <c r="B161" s="13">
        <f>'INSCRIPCION '!A162</f>
        <v>155</v>
      </c>
      <c r="C161" s="14">
        <f>'INSCRIPCION '!B162</f>
        <v>0</v>
      </c>
      <c r="D161" s="13" t="e">
        <f>'INSCRIPCION '!#REF!</f>
        <v>#REF!</v>
      </c>
      <c r="E161" s="13">
        <f>'INSCRIPCION '!C162</f>
        <v>0</v>
      </c>
    </row>
    <row r="162" spans="1:5" ht="17.25" customHeight="1" x14ac:dyDescent="0.35">
      <c r="A162" s="85"/>
      <c r="B162" s="13">
        <f>'INSCRIPCION '!A163</f>
        <v>156</v>
      </c>
      <c r="C162" s="14">
        <f>'INSCRIPCION '!B163</f>
        <v>0</v>
      </c>
      <c r="D162" s="13" t="e">
        <f>'INSCRIPCION '!#REF!</f>
        <v>#REF!</v>
      </c>
      <c r="E162" s="13">
        <f>'INSCRIPCION '!C163</f>
        <v>0</v>
      </c>
    </row>
    <row r="163" spans="1:5" ht="17.25" customHeight="1" x14ac:dyDescent="0.35">
      <c r="A163" s="83">
        <v>27</v>
      </c>
      <c r="B163" s="13">
        <f>'INSCRIPCION '!A164</f>
        <v>157</v>
      </c>
      <c r="C163" s="14">
        <f>'INSCRIPCION '!B164</f>
        <v>0</v>
      </c>
      <c r="D163" s="13" t="e">
        <f>'INSCRIPCION '!#REF!</f>
        <v>#REF!</v>
      </c>
      <c r="E163" s="13">
        <f>'INSCRIPCION '!C164</f>
        <v>0</v>
      </c>
    </row>
    <row r="164" spans="1:5" ht="17.25" customHeight="1" x14ac:dyDescent="0.35">
      <c r="A164" s="84"/>
      <c r="B164" s="13">
        <f>'INSCRIPCION '!A165</f>
        <v>158</v>
      </c>
      <c r="C164" s="14">
        <f>'INSCRIPCION '!B165</f>
        <v>0</v>
      </c>
      <c r="D164" s="13" t="e">
        <f>'INSCRIPCION '!#REF!</f>
        <v>#REF!</v>
      </c>
      <c r="E164" s="13">
        <f>'INSCRIPCION '!C165</f>
        <v>0</v>
      </c>
    </row>
    <row r="165" spans="1:5" ht="17.25" customHeight="1" x14ac:dyDescent="0.35">
      <c r="A165" s="84"/>
      <c r="B165" s="13">
        <f>'INSCRIPCION '!A166</f>
        <v>159</v>
      </c>
      <c r="C165" s="14">
        <f>'INSCRIPCION '!B166</f>
        <v>0</v>
      </c>
      <c r="D165" s="13" t="e">
        <f>'INSCRIPCION '!#REF!</f>
        <v>#REF!</v>
      </c>
      <c r="E165" s="13">
        <f>'INSCRIPCION '!C166</f>
        <v>0</v>
      </c>
    </row>
    <row r="166" spans="1:5" ht="17.25" customHeight="1" x14ac:dyDescent="0.35">
      <c r="A166" s="84"/>
      <c r="B166" s="13">
        <f>'INSCRIPCION '!A167</f>
        <v>160</v>
      </c>
      <c r="C166" s="14">
        <f>'INSCRIPCION '!B167</f>
        <v>0</v>
      </c>
      <c r="D166" s="13" t="e">
        <f>'INSCRIPCION '!#REF!</f>
        <v>#REF!</v>
      </c>
      <c r="E166" s="13">
        <f>'INSCRIPCION '!C167</f>
        <v>0</v>
      </c>
    </row>
    <row r="167" spans="1:5" ht="17.25" customHeight="1" x14ac:dyDescent="0.35">
      <c r="A167" s="84"/>
      <c r="B167" s="13">
        <f>'INSCRIPCION '!A168</f>
        <v>161</v>
      </c>
      <c r="C167" s="14">
        <f>'INSCRIPCION '!B168</f>
        <v>0</v>
      </c>
      <c r="D167" s="13" t="e">
        <f>'INSCRIPCION '!#REF!</f>
        <v>#REF!</v>
      </c>
      <c r="E167" s="13">
        <f>'INSCRIPCION '!C168</f>
        <v>0</v>
      </c>
    </row>
    <row r="168" spans="1:5" ht="17.25" customHeight="1" x14ac:dyDescent="0.35">
      <c r="A168" s="85"/>
      <c r="B168" s="13">
        <f>'INSCRIPCION '!A169</f>
        <v>162</v>
      </c>
      <c r="C168" s="14">
        <f>'INSCRIPCION '!B169</f>
        <v>0</v>
      </c>
      <c r="D168" s="13" t="e">
        <f>'INSCRIPCION '!#REF!</f>
        <v>#REF!</v>
      </c>
      <c r="E168" s="13">
        <f>'INSCRIPCION '!C169</f>
        <v>0</v>
      </c>
    </row>
    <row r="169" spans="1:5" ht="17.25" customHeight="1" x14ac:dyDescent="0.35">
      <c r="A169" s="83">
        <v>28</v>
      </c>
      <c r="B169" s="13">
        <f>'INSCRIPCION '!A170</f>
        <v>163</v>
      </c>
      <c r="C169" s="14">
        <f>'INSCRIPCION '!B170</f>
        <v>0</v>
      </c>
      <c r="D169" s="13" t="e">
        <f>'INSCRIPCION '!#REF!</f>
        <v>#REF!</v>
      </c>
      <c r="E169" s="13">
        <f>'INSCRIPCION '!C170</f>
        <v>0</v>
      </c>
    </row>
    <row r="170" spans="1:5" ht="17.25" customHeight="1" x14ac:dyDescent="0.35">
      <c r="A170" s="84"/>
      <c r="B170" s="13">
        <f>'INSCRIPCION '!A171</f>
        <v>164</v>
      </c>
      <c r="C170" s="14">
        <f>'INSCRIPCION '!B171</f>
        <v>0</v>
      </c>
      <c r="D170" s="13" t="e">
        <f>'INSCRIPCION '!#REF!</f>
        <v>#REF!</v>
      </c>
      <c r="E170" s="13">
        <f>'INSCRIPCION '!C171</f>
        <v>0</v>
      </c>
    </row>
    <row r="171" spans="1:5" ht="17.25" customHeight="1" x14ac:dyDescent="0.35">
      <c r="A171" s="84"/>
      <c r="B171" s="13">
        <f>'INSCRIPCION '!A172</f>
        <v>165</v>
      </c>
      <c r="C171" s="14">
        <f>'INSCRIPCION '!B172</f>
        <v>0</v>
      </c>
      <c r="D171" s="13" t="e">
        <f>'INSCRIPCION '!#REF!</f>
        <v>#REF!</v>
      </c>
      <c r="E171" s="13">
        <f>'INSCRIPCION '!C172</f>
        <v>0</v>
      </c>
    </row>
    <row r="172" spans="1:5" ht="17.25" customHeight="1" x14ac:dyDescent="0.35">
      <c r="A172" s="84"/>
      <c r="B172" s="13">
        <f>'INSCRIPCION '!A173</f>
        <v>166</v>
      </c>
      <c r="C172" s="14">
        <f>'INSCRIPCION '!B173</f>
        <v>0</v>
      </c>
      <c r="D172" s="13" t="e">
        <f>'INSCRIPCION '!#REF!</f>
        <v>#REF!</v>
      </c>
      <c r="E172" s="13">
        <f>'INSCRIPCION '!C173</f>
        <v>0</v>
      </c>
    </row>
    <row r="173" spans="1:5" ht="17.25" customHeight="1" x14ac:dyDescent="0.35">
      <c r="A173" s="84"/>
      <c r="B173" s="13">
        <f>'INSCRIPCION '!A174</f>
        <v>167</v>
      </c>
      <c r="C173" s="14">
        <f>'INSCRIPCION '!B174</f>
        <v>0</v>
      </c>
      <c r="D173" s="13" t="e">
        <f>'INSCRIPCION '!#REF!</f>
        <v>#REF!</v>
      </c>
      <c r="E173" s="13">
        <f>'INSCRIPCION '!C174</f>
        <v>0</v>
      </c>
    </row>
    <row r="174" spans="1:5" ht="17.25" customHeight="1" x14ac:dyDescent="0.35">
      <c r="A174" s="85"/>
      <c r="B174" s="13">
        <f>'INSCRIPCION '!A175</f>
        <v>168</v>
      </c>
      <c r="C174" s="14">
        <f>'INSCRIPCION '!B175</f>
        <v>0</v>
      </c>
      <c r="D174" s="13" t="e">
        <f>'INSCRIPCION '!#REF!</f>
        <v>#REF!</v>
      </c>
      <c r="E174" s="13">
        <f>'INSCRIPCION '!C175</f>
        <v>0</v>
      </c>
    </row>
    <row r="175" spans="1:5" ht="17.850000000000001" customHeight="1" x14ac:dyDescent="0.35">
      <c r="A175" s="83">
        <v>29</v>
      </c>
      <c r="B175" s="13">
        <f>'INSCRIPCION '!A176</f>
        <v>169</v>
      </c>
      <c r="C175" s="14">
        <f>'INSCRIPCION '!B176</f>
        <v>0</v>
      </c>
      <c r="D175" s="13" t="e">
        <f>'INSCRIPCION '!#REF!</f>
        <v>#REF!</v>
      </c>
      <c r="E175" s="13">
        <f>'INSCRIPCION '!C176</f>
        <v>0</v>
      </c>
    </row>
    <row r="176" spans="1:5" ht="17.850000000000001" customHeight="1" x14ac:dyDescent="0.35">
      <c r="A176" s="84"/>
      <c r="B176" s="13">
        <f>'INSCRIPCION '!A177</f>
        <v>170</v>
      </c>
      <c r="C176" s="14">
        <f>'INSCRIPCION '!B177</f>
        <v>0</v>
      </c>
      <c r="D176" s="13" t="e">
        <f>'INSCRIPCION '!#REF!</f>
        <v>#REF!</v>
      </c>
      <c r="E176" s="13">
        <f>'INSCRIPCION '!C177</f>
        <v>0</v>
      </c>
    </row>
    <row r="177" spans="1:5" ht="17.850000000000001" customHeight="1" x14ac:dyDescent="0.35">
      <c r="A177" s="84"/>
      <c r="B177" s="13">
        <f>'INSCRIPCION '!A178</f>
        <v>171</v>
      </c>
      <c r="C177" s="14">
        <f>'INSCRIPCION '!B178</f>
        <v>0</v>
      </c>
      <c r="D177" s="13" t="e">
        <f>'INSCRIPCION '!#REF!</f>
        <v>#REF!</v>
      </c>
      <c r="E177" s="13">
        <f>'INSCRIPCION '!C178</f>
        <v>0</v>
      </c>
    </row>
    <row r="178" spans="1:5" ht="17.850000000000001" customHeight="1" x14ac:dyDescent="0.35">
      <c r="A178" s="84"/>
      <c r="B178" s="13">
        <f>'INSCRIPCION '!A179</f>
        <v>172</v>
      </c>
      <c r="C178" s="14">
        <f>'INSCRIPCION '!B179</f>
        <v>0</v>
      </c>
      <c r="D178" s="13" t="e">
        <f>'INSCRIPCION '!#REF!</f>
        <v>#REF!</v>
      </c>
      <c r="E178" s="13">
        <f>'INSCRIPCION '!C179</f>
        <v>0</v>
      </c>
    </row>
    <row r="179" spans="1:5" ht="17.850000000000001" customHeight="1" x14ac:dyDescent="0.35">
      <c r="A179" s="84"/>
      <c r="B179" s="13">
        <f>'INSCRIPCION '!A180</f>
        <v>173</v>
      </c>
      <c r="C179" s="14">
        <f>'INSCRIPCION '!B180</f>
        <v>0</v>
      </c>
      <c r="D179" s="13" t="e">
        <f>'INSCRIPCION '!#REF!</f>
        <v>#REF!</v>
      </c>
      <c r="E179" s="13">
        <f>'INSCRIPCION '!C180</f>
        <v>0</v>
      </c>
    </row>
    <row r="180" spans="1:5" ht="17.850000000000001" customHeight="1" x14ac:dyDescent="0.35">
      <c r="A180" s="85"/>
      <c r="B180" s="13">
        <f>'INSCRIPCION '!A181</f>
        <v>174</v>
      </c>
      <c r="C180" s="14">
        <f>'INSCRIPCION '!B181</f>
        <v>0</v>
      </c>
      <c r="D180" s="13" t="e">
        <f>'INSCRIPCION '!#REF!</f>
        <v>#REF!</v>
      </c>
      <c r="E180" s="13">
        <f>'INSCRIPCION '!C181</f>
        <v>0</v>
      </c>
    </row>
    <row r="181" spans="1:5" ht="17.850000000000001" customHeight="1" x14ac:dyDescent="0.35">
      <c r="A181" s="83">
        <v>30</v>
      </c>
      <c r="B181" s="13">
        <f>'INSCRIPCION '!A182</f>
        <v>175</v>
      </c>
      <c r="C181" s="14">
        <f>'INSCRIPCION '!B182</f>
        <v>0</v>
      </c>
      <c r="D181" s="13" t="e">
        <f>'INSCRIPCION '!#REF!</f>
        <v>#REF!</v>
      </c>
      <c r="E181" s="13">
        <f>'INSCRIPCION '!C182</f>
        <v>0</v>
      </c>
    </row>
    <row r="182" spans="1:5" ht="17.850000000000001" customHeight="1" x14ac:dyDescent="0.35">
      <c r="A182" s="84"/>
      <c r="B182" s="13">
        <f>'INSCRIPCION '!A183</f>
        <v>176</v>
      </c>
      <c r="C182" s="14">
        <f>'INSCRIPCION '!B183</f>
        <v>0</v>
      </c>
      <c r="D182" s="13" t="e">
        <f>'INSCRIPCION '!#REF!</f>
        <v>#REF!</v>
      </c>
      <c r="E182" s="13">
        <f>'INSCRIPCION '!C183</f>
        <v>0</v>
      </c>
    </row>
    <row r="183" spans="1:5" ht="17.850000000000001" customHeight="1" x14ac:dyDescent="0.35">
      <c r="A183" s="84"/>
      <c r="B183" s="13">
        <f>'INSCRIPCION '!A184</f>
        <v>177</v>
      </c>
      <c r="C183" s="58">
        <f>'INSCRIPCION '!B184</f>
        <v>0</v>
      </c>
      <c r="D183" s="13" t="e">
        <f>'INSCRIPCION '!#REF!</f>
        <v>#REF!</v>
      </c>
      <c r="E183" s="13">
        <f>'INSCRIPCION '!C184</f>
        <v>0</v>
      </c>
    </row>
    <row r="184" spans="1:5" ht="17.850000000000001" customHeight="1" x14ac:dyDescent="0.35">
      <c r="A184" s="84"/>
      <c r="B184" s="13">
        <f>'INSCRIPCION '!A185</f>
        <v>178</v>
      </c>
      <c r="C184" s="58">
        <f>'INSCRIPCION '!B185</f>
        <v>0</v>
      </c>
      <c r="D184" s="13" t="e">
        <f>'INSCRIPCION '!#REF!</f>
        <v>#REF!</v>
      </c>
      <c r="E184" s="13">
        <f>'INSCRIPCION '!C185</f>
        <v>0</v>
      </c>
    </row>
    <row r="185" spans="1:5" ht="17.850000000000001" customHeight="1" x14ac:dyDescent="0.35">
      <c r="A185" s="84"/>
      <c r="B185" s="13">
        <f>'INSCRIPCION '!A186</f>
        <v>179</v>
      </c>
      <c r="C185" s="58">
        <f>'INSCRIPCION '!B186</f>
        <v>0</v>
      </c>
      <c r="D185" s="13" t="e">
        <f>'INSCRIPCION '!#REF!</f>
        <v>#REF!</v>
      </c>
      <c r="E185" s="13">
        <f>'INSCRIPCION '!C186</f>
        <v>0</v>
      </c>
    </row>
    <row r="186" spans="1:5" ht="17.850000000000001" customHeight="1" x14ac:dyDescent="0.35">
      <c r="A186" s="85"/>
      <c r="B186" s="13">
        <f>'INSCRIPCION '!A187</f>
        <v>180</v>
      </c>
      <c r="C186" s="58">
        <f>'INSCRIPCION '!B187</f>
        <v>0</v>
      </c>
      <c r="D186" s="13" t="e">
        <f>'INSCRIPCION '!#REF!</f>
        <v>#REF!</v>
      </c>
      <c r="E186" s="13">
        <f>'INSCRIPCION '!C187</f>
        <v>0</v>
      </c>
    </row>
    <row r="187" spans="1:5" ht="17.850000000000001" customHeight="1" x14ac:dyDescent="0.35">
      <c r="A187" s="83">
        <v>31</v>
      </c>
      <c r="B187" s="13">
        <v>181</v>
      </c>
      <c r="C187" s="58">
        <f>'INSCRIPCION '!B188</f>
        <v>0</v>
      </c>
      <c r="D187" s="13" t="e">
        <f>'INSCRIPCION '!#REF!</f>
        <v>#REF!</v>
      </c>
      <c r="E187" s="13">
        <f>'INSCRIPCION '!C188</f>
        <v>0</v>
      </c>
    </row>
    <row r="188" spans="1:5" ht="17.850000000000001" customHeight="1" x14ac:dyDescent="0.35">
      <c r="A188" s="84"/>
      <c r="B188" s="13">
        <v>182</v>
      </c>
      <c r="C188" s="58">
        <f>'INSCRIPCION '!B189</f>
        <v>0</v>
      </c>
      <c r="D188" s="13" t="e">
        <f>'INSCRIPCION '!#REF!</f>
        <v>#REF!</v>
      </c>
      <c r="E188" s="13">
        <f>'INSCRIPCION '!C189</f>
        <v>0</v>
      </c>
    </row>
    <row r="189" spans="1:5" ht="17.850000000000001" customHeight="1" x14ac:dyDescent="0.35">
      <c r="A189" s="84"/>
      <c r="B189" s="13">
        <v>183</v>
      </c>
      <c r="C189" s="58">
        <f>'INSCRIPCION '!B190</f>
        <v>0</v>
      </c>
      <c r="D189" s="13" t="e">
        <f>'INSCRIPCION '!#REF!</f>
        <v>#REF!</v>
      </c>
      <c r="E189" s="13">
        <f>'INSCRIPCION '!C190</f>
        <v>0</v>
      </c>
    </row>
    <row r="190" spans="1:5" ht="17.850000000000001" customHeight="1" x14ac:dyDescent="0.35">
      <c r="A190" s="84"/>
      <c r="B190" s="13">
        <v>184</v>
      </c>
      <c r="C190" s="58">
        <f>'INSCRIPCION '!B191</f>
        <v>0</v>
      </c>
      <c r="D190" s="13" t="e">
        <f>'INSCRIPCION '!#REF!</f>
        <v>#REF!</v>
      </c>
      <c r="E190" s="13">
        <f>'INSCRIPCION '!C191</f>
        <v>0</v>
      </c>
    </row>
    <row r="191" spans="1:5" ht="17.850000000000001" customHeight="1" x14ac:dyDescent="0.35">
      <c r="A191" s="84"/>
      <c r="B191" s="13">
        <v>185</v>
      </c>
      <c r="C191" s="58">
        <f>'INSCRIPCION '!B192</f>
        <v>0</v>
      </c>
      <c r="D191" s="13" t="e">
        <f>'INSCRIPCION '!#REF!</f>
        <v>#REF!</v>
      </c>
      <c r="E191" s="13">
        <f>'INSCRIPCION '!C192</f>
        <v>0</v>
      </c>
    </row>
    <row r="192" spans="1:5" ht="17.850000000000001" customHeight="1" x14ac:dyDescent="0.35">
      <c r="A192" s="85"/>
      <c r="B192" s="13">
        <v>186</v>
      </c>
      <c r="C192" s="58">
        <f>'INSCRIPCION '!B193</f>
        <v>0</v>
      </c>
      <c r="D192" s="13" t="e">
        <f>'INSCRIPCION '!#REF!</f>
        <v>#REF!</v>
      </c>
      <c r="E192" s="13">
        <f>'INSCRIPCION '!C193</f>
        <v>0</v>
      </c>
    </row>
    <row r="193" spans="1:5" ht="17.850000000000001" customHeight="1" x14ac:dyDescent="0.35">
      <c r="A193" s="83">
        <v>32</v>
      </c>
      <c r="B193" s="13">
        <v>187</v>
      </c>
      <c r="C193" s="58">
        <f>'INSCRIPCION '!B194</f>
        <v>0</v>
      </c>
      <c r="D193" s="13" t="e">
        <f>'INSCRIPCION '!#REF!</f>
        <v>#REF!</v>
      </c>
      <c r="E193" s="13">
        <f>'INSCRIPCION '!C194</f>
        <v>0</v>
      </c>
    </row>
    <row r="194" spans="1:5" ht="17.850000000000001" customHeight="1" x14ac:dyDescent="0.35">
      <c r="A194" s="84"/>
      <c r="B194" s="13">
        <v>188</v>
      </c>
      <c r="C194" s="58">
        <f>'INSCRIPCION '!B195</f>
        <v>0</v>
      </c>
      <c r="D194" s="13" t="e">
        <f>'INSCRIPCION '!#REF!</f>
        <v>#REF!</v>
      </c>
      <c r="E194" s="13">
        <f>'INSCRIPCION '!C195</f>
        <v>0</v>
      </c>
    </row>
    <row r="195" spans="1:5" ht="17.850000000000001" customHeight="1" x14ac:dyDescent="0.35">
      <c r="A195" s="84"/>
      <c r="B195" s="13">
        <v>189</v>
      </c>
      <c r="C195" s="58">
        <f>'INSCRIPCION '!B196</f>
        <v>0</v>
      </c>
      <c r="D195" s="13" t="e">
        <f>'INSCRIPCION '!#REF!</f>
        <v>#REF!</v>
      </c>
      <c r="E195" s="13">
        <f>'INSCRIPCION '!C196</f>
        <v>0</v>
      </c>
    </row>
    <row r="196" spans="1:5" ht="17.850000000000001" customHeight="1" x14ac:dyDescent="0.35">
      <c r="A196" s="84"/>
      <c r="B196" s="13">
        <v>190</v>
      </c>
      <c r="C196" s="58">
        <f>'INSCRIPCION '!B197</f>
        <v>0</v>
      </c>
      <c r="D196" s="13" t="e">
        <f>'INSCRIPCION '!#REF!</f>
        <v>#REF!</v>
      </c>
      <c r="E196" s="13">
        <f>'INSCRIPCION '!C197</f>
        <v>0</v>
      </c>
    </row>
    <row r="197" spans="1:5" ht="17.850000000000001" customHeight="1" x14ac:dyDescent="0.35">
      <c r="A197" s="84"/>
      <c r="B197" s="13">
        <v>191</v>
      </c>
      <c r="C197" s="58">
        <f>'INSCRIPCION '!B198</f>
        <v>0</v>
      </c>
      <c r="D197" s="13" t="e">
        <f>'INSCRIPCION '!#REF!</f>
        <v>#REF!</v>
      </c>
      <c r="E197" s="13">
        <f>'INSCRIPCION '!C198</f>
        <v>0</v>
      </c>
    </row>
    <row r="198" spans="1:5" ht="17.850000000000001" customHeight="1" x14ac:dyDescent="0.35">
      <c r="A198" s="85"/>
      <c r="B198" s="13">
        <v>192</v>
      </c>
      <c r="C198" s="58">
        <f>'INSCRIPCION '!B199</f>
        <v>0</v>
      </c>
      <c r="D198" s="13" t="e">
        <f>'INSCRIPCION '!#REF!</f>
        <v>#REF!</v>
      </c>
      <c r="E198" s="13">
        <f>'INSCRIPCION '!C199</f>
        <v>0</v>
      </c>
    </row>
    <row r="199" spans="1:5" ht="17.850000000000001" customHeight="1" x14ac:dyDescent="0.35">
      <c r="A199" s="83">
        <v>33</v>
      </c>
      <c r="B199" s="13">
        <v>193</v>
      </c>
      <c r="C199" s="58">
        <f>'INSCRIPCION '!B200</f>
        <v>0</v>
      </c>
      <c r="D199" s="13" t="e">
        <f>'INSCRIPCION '!#REF!</f>
        <v>#REF!</v>
      </c>
      <c r="E199" s="13">
        <f>'INSCRIPCION '!C200</f>
        <v>0</v>
      </c>
    </row>
    <row r="200" spans="1:5" ht="18" x14ac:dyDescent="0.35">
      <c r="A200" s="84"/>
      <c r="B200" s="13">
        <v>194</v>
      </c>
      <c r="C200" s="58">
        <f>'INSCRIPCION '!B201</f>
        <v>0</v>
      </c>
      <c r="D200" s="13" t="e">
        <f>'INSCRIPCION '!#REF!</f>
        <v>#REF!</v>
      </c>
      <c r="E200" s="13">
        <f>'INSCRIPCION '!C201</f>
        <v>0</v>
      </c>
    </row>
    <row r="201" spans="1:5" ht="18" x14ac:dyDescent="0.35">
      <c r="A201" s="84"/>
      <c r="B201" s="13">
        <v>195</v>
      </c>
      <c r="C201" s="58">
        <f>'INSCRIPCION '!B202</f>
        <v>0</v>
      </c>
      <c r="D201" s="13" t="e">
        <f>'INSCRIPCION '!#REF!</f>
        <v>#REF!</v>
      </c>
      <c r="E201" s="13">
        <f>'INSCRIPCION '!C202</f>
        <v>0</v>
      </c>
    </row>
    <row r="202" spans="1:5" ht="18" x14ac:dyDescent="0.35">
      <c r="A202" s="84"/>
      <c r="B202" s="13">
        <v>196</v>
      </c>
      <c r="C202" s="58">
        <f>'INSCRIPCION '!B203</f>
        <v>0</v>
      </c>
      <c r="D202" s="13" t="e">
        <f>'INSCRIPCION '!#REF!</f>
        <v>#REF!</v>
      </c>
      <c r="E202" s="13">
        <f>'INSCRIPCION '!C203</f>
        <v>0</v>
      </c>
    </row>
    <row r="203" spans="1:5" ht="18" x14ac:dyDescent="0.35">
      <c r="A203" s="84"/>
      <c r="B203" s="13">
        <v>197</v>
      </c>
      <c r="C203" s="58">
        <f>'INSCRIPCION '!B204</f>
        <v>0</v>
      </c>
      <c r="D203" s="13" t="e">
        <f>'INSCRIPCION '!#REF!</f>
        <v>#REF!</v>
      </c>
      <c r="E203" s="13">
        <f>'INSCRIPCION '!C204</f>
        <v>0</v>
      </c>
    </row>
    <row r="204" spans="1:5" ht="18" x14ac:dyDescent="0.35">
      <c r="A204" s="85"/>
      <c r="B204" s="13">
        <v>198</v>
      </c>
      <c r="C204" s="58">
        <f>'INSCRIPCION '!B205</f>
        <v>0</v>
      </c>
      <c r="D204" s="13" t="e">
        <f>'INSCRIPCION '!#REF!</f>
        <v>#REF!</v>
      </c>
      <c r="E204" s="13">
        <f>'INSCRIPCION '!C205</f>
        <v>0</v>
      </c>
    </row>
    <row r="205" spans="1:5" ht="18" x14ac:dyDescent="0.35">
      <c r="A205" s="83">
        <v>34</v>
      </c>
      <c r="B205" s="13">
        <v>199</v>
      </c>
      <c r="C205" s="58">
        <f>'INSCRIPCION '!B206</f>
        <v>0</v>
      </c>
      <c r="D205" s="13" t="e">
        <f>'INSCRIPCION '!#REF!</f>
        <v>#REF!</v>
      </c>
      <c r="E205" s="13">
        <f>'INSCRIPCION '!C206</f>
        <v>0</v>
      </c>
    </row>
    <row r="206" spans="1:5" ht="18" x14ac:dyDescent="0.35">
      <c r="A206" s="84"/>
      <c r="B206" s="13">
        <v>200</v>
      </c>
      <c r="C206" s="58">
        <f>'INSCRIPCION '!B207</f>
        <v>0</v>
      </c>
      <c r="D206" s="13" t="e">
        <f>'INSCRIPCION '!#REF!</f>
        <v>#REF!</v>
      </c>
      <c r="E206" s="13">
        <f>'INSCRIPCION '!C207</f>
        <v>0</v>
      </c>
    </row>
    <row r="207" spans="1:5" ht="18" x14ac:dyDescent="0.35">
      <c r="A207" s="84"/>
      <c r="B207" s="13">
        <v>201</v>
      </c>
      <c r="C207" s="58">
        <f>'INSCRIPCION '!B208</f>
        <v>0</v>
      </c>
      <c r="D207" s="13" t="e">
        <f>'INSCRIPCION '!#REF!</f>
        <v>#REF!</v>
      </c>
      <c r="E207" s="13">
        <f>'INSCRIPCION '!C208</f>
        <v>0</v>
      </c>
    </row>
    <row r="208" spans="1:5" ht="18" x14ac:dyDescent="0.35">
      <c r="A208" s="84"/>
      <c r="B208" s="13">
        <v>202</v>
      </c>
      <c r="C208" s="58">
        <f>'INSCRIPCION '!B209</f>
        <v>0</v>
      </c>
      <c r="D208" s="13" t="e">
        <f>'INSCRIPCION '!#REF!</f>
        <v>#REF!</v>
      </c>
      <c r="E208" s="13">
        <f>'INSCRIPCION '!C209</f>
        <v>0</v>
      </c>
    </row>
    <row r="209" spans="1:5" ht="18" x14ac:dyDescent="0.35">
      <c r="A209" s="84"/>
      <c r="B209" s="13">
        <v>203</v>
      </c>
      <c r="C209" s="58">
        <f>'INSCRIPCION '!B210</f>
        <v>0</v>
      </c>
      <c r="D209" s="13" t="e">
        <f>'INSCRIPCION '!#REF!</f>
        <v>#REF!</v>
      </c>
      <c r="E209" s="13">
        <f>'INSCRIPCION '!C210</f>
        <v>0</v>
      </c>
    </row>
    <row r="210" spans="1:5" ht="18" x14ac:dyDescent="0.35">
      <c r="A210" s="85"/>
      <c r="B210" s="13">
        <v>204</v>
      </c>
      <c r="C210" s="58">
        <f>'INSCRIPCION '!B211</f>
        <v>0</v>
      </c>
      <c r="D210" s="13" t="e">
        <f>'INSCRIPCION '!#REF!</f>
        <v>#REF!</v>
      </c>
      <c r="E210" s="13">
        <f>'INSCRIPCION '!C211</f>
        <v>0</v>
      </c>
    </row>
    <row r="247" ht="17.850000000000001" customHeight="1" x14ac:dyDescent="0.25"/>
    <row r="248" ht="17.850000000000001" customHeight="1" x14ac:dyDescent="0.25"/>
    <row r="249" ht="17.850000000000001" customHeight="1" x14ac:dyDescent="0.25"/>
    <row r="250" ht="17.850000000000001" customHeight="1" x14ac:dyDescent="0.25"/>
    <row r="251" ht="17.850000000000001" customHeight="1" x14ac:dyDescent="0.25"/>
    <row r="252" ht="17.850000000000001" customHeight="1" x14ac:dyDescent="0.25"/>
    <row r="253" ht="17.850000000000001" customHeight="1" x14ac:dyDescent="0.25"/>
    <row r="254" ht="17.850000000000001" customHeight="1" x14ac:dyDescent="0.25"/>
    <row r="255" ht="17.850000000000001" customHeight="1" x14ac:dyDescent="0.25"/>
    <row r="256" ht="17.850000000000001" customHeight="1" x14ac:dyDescent="0.25"/>
    <row r="257" ht="17.850000000000001" customHeight="1" x14ac:dyDescent="0.25"/>
    <row r="258" ht="17.850000000000001" customHeight="1" x14ac:dyDescent="0.25"/>
    <row r="259" ht="17.850000000000001" customHeight="1" x14ac:dyDescent="0.25"/>
    <row r="260" ht="17.850000000000001" customHeight="1" x14ac:dyDescent="0.25"/>
    <row r="261" ht="17.850000000000001" customHeight="1" x14ac:dyDescent="0.25"/>
    <row r="262" ht="17.850000000000001" customHeight="1" x14ac:dyDescent="0.25"/>
    <row r="263" ht="17.850000000000001" customHeight="1" x14ac:dyDescent="0.25"/>
    <row r="264" ht="17.850000000000001" customHeight="1" x14ac:dyDescent="0.25"/>
    <row r="265" ht="17.850000000000001" customHeight="1" x14ac:dyDescent="0.25"/>
    <row r="266" ht="17.850000000000001" customHeight="1" x14ac:dyDescent="0.25"/>
    <row r="267" ht="17.850000000000001" customHeight="1" x14ac:dyDescent="0.25"/>
    <row r="268" ht="17.850000000000001" customHeight="1" x14ac:dyDescent="0.25"/>
    <row r="269" ht="17.850000000000001" customHeight="1" x14ac:dyDescent="0.25"/>
    <row r="270" ht="17.850000000000001" customHeight="1" x14ac:dyDescent="0.25"/>
    <row r="271" ht="17.850000000000001" customHeight="1" x14ac:dyDescent="0.25"/>
    <row r="272" ht="17.850000000000001" customHeight="1" x14ac:dyDescent="0.25"/>
    <row r="273" ht="17.850000000000001" customHeight="1" x14ac:dyDescent="0.25"/>
    <row r="274" ht="17.850000000000001" customHeight="1" x14ac:dyDescent="0.25"/>
    <row r="275" ht="17.850000000000001" customHeight="1" x14ac:dyDescent="0.25"/>
    <row r="276" ht="17.850000000000001" customHeight="1" x14ac:dyDescent="0.25"/>
    <row r="277" ht="17.850000000000001" customHeight="1" x14ac:dyDescent="0.25"/>
    <row r="278" ht="17.850000000000001" customHeight="1" x14ac:dyDescent="0.25"/>
    <row r="279" ht="17.850000000000001" customHeight="1" x14ac:dyDescent="0.25"/>
    <row r="280" ht="17.850000000000001" customHeight="1" x14ac:dyDescent="0.25"/>
    <row r="281" ht="17.850000000000001" customHeight="1" x14ac:dyDescent="0.25"/>
    <row r="282" ht="17.850000000000001" customHeight="1" x14ac:dyDescent="0.25"/>
    <row r="283" ht="17.850000000000001" customHeight="1" x14ac:dyDescent="0.25"/>
    <row r="284" ht="17.850000000000001" customHeight="1" x14ac:dyDescent="0.25"/>
    <row r="285" ht="17.850000000000001" customHeight="1" x14ac:dyDescent="0.25"/>
    <row r="286" ht="17.850000000000001" customHeight="1" x14ac:dyDescent="0.25"/>
    <row r="287" ht="17.850000000000001" customHeight="1" x14ac:dyDescent="0.25"/>
    <row r="288" ht="17.850000000000001" customHeight="1" x14ac:dyDescent="0.25"/>
    <row r="289" ht="17.850000000000001" customHeight="1" x14ac:dyDescent="0.25"/>
    <row r="290" ht="17.850000000000001" customHeight="1" x14ac:dyDescent="0.25"/>
    <row r="291" ht="17.850000000000001" customHeight="1" x14ac:dyDescent="0.25"/>
    <row r="292" ht="17.850000000000001" customHeight="1" x14ac:dyDescent="0.25"/>
    <row r="293" ht="17.850000000000001" customHeight="1" x14ac:dyDescent="0.25"/>
  </sheetData>
  <dataConsolidate/>
  <mergeCells count="40">
    <mergeCell ref="A199:A204"/>
    <mergeCell ref="A205:A210"/>
    <mergeCell ref="A175:A180"/>
    <mergeCell ref="A181:A186"/>
    <mergeCell ref="A121:A126"/>
    <mergeCell ref="A127:A132"/>
    <mergeCell ref="A133:A138"/>
    <mergeCell ref="A187:A192"/>
    <mergeCell ref="A193:A198"/>
    <mergeCell ref="A163:A168"/>
    <mergeCell ref="A169:A174"/>
    <mergeCell ref="A157:A162"/>
    <mergeCell ref="A139:A144"/>
    <mergeCell ref="A145:A150"/>
    <mergeCell ref="A151:A156"/>
    <mergeCell ref="A91:A96"/>
    <mergeCell ref="A97:A102"/>
    <mergeCell ref="A103:A108"/>
    <mergeCell ref="A109:A114"/>
    <mergeCell ref="A115:A120"/>
    <mergeCell ref="A13:A18"/>
    <mergeCell ref="C5:C6"/>
    <mergeCell ref="A85:A90"/>
    <mergeCell ref="A19:A24"/>
    <mergeCell ref="A25:A30"/>
    <mergeCell ref="A31:A36"/>
    <mergeCell ref="A37:A42"/>
    <mergeCell ref="A43:A48"/>
    <mergeCell ref="A49:A54"/>
    <mergeCell ref="A55:A60"/>
    <mergeCell ref="A61:A66"/>
    <mergeCell ref="A67:A72"/>
    <mergeCell ref="A73:A78"/>
    <mergeCell ref="A79:A84"/>
    <mergeCell ref="D5:D6"/>
    <mergeCell ref="E5:E6"/>
    <mergeCell ref="A1:E1"/>
    <mergeCell ref="A7:A12"/>
    <mergeCell ref="A2:E2"/>
    <mergeCell ref="A3:E3"/>
  </mergeCells>
  <phoneticPr fontId="0" type="noConversion"/>
  <printOptions horizontalCentered="1"/>
  <pageMargins left="0.39370078740157483" right="0.39370078740157483" top="0.9" bottom="0.71875" header="0.51181102362204722" footer="0.51181102362204722"/>
  <pageSetup paperSize="9" scale="22" orientation="portrait" horizontalDpi="300" verticalDpi="300" r:id="rId1"/>
  <headerFooter alignWithMargins="0"/>
  <rowBreaks count="13" manualBreakCount="13">
    <brk id="30" max="16383" man="1"/>
    <brk id="54" max="16383" man="1"/>
    <brk id="78" max="16383" man="1"/>
    <brk id="102" max="16383" man="1"/>
    <brk id="126" max="16383" man="1"/>
    <brk id="150" max="16383" man="1"/>
    <brk id="174" max="16383" man="1"/>
    <brk id="198" max="16383" man="1"/>
    <brk id="222" max="16383" man="1"/>
    <brk id="246" max="16383" man="1"/>
    <brk id="270" max="16383" man="1"/>
    <brk id="294" max="16383" man="1"/>
    <brk id="31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50"/>
  </sheetPr>
  <dimension ref="A1:J211"/>
  <sheetViews>
    <sheetView showGridLines="0" zoomScale="115" zoomScaleNormal="115" workbookViewId="0">
      <selection activeCell="E8" sqref="E8:H211"/>
    </sheetView>
  </sheetViews>
  <sheetFormatPr baseColWidth="10" defaultColWidth="11.44140625" defaultRowHeight="13.2" x14ac:dyDescent="0.25"/>
  <cols>
    <col min="1" max="1" width="8.33203125" style="46" customWidth="1"/>
    <col min="2" max="2" width="53.33203125" customWidth="1"/>
    <col min="3" max="3" width="1" hidden="1" customWidth="1"/>
    <col min="4" max="4" width="17.5546875" style="53" customWidth="1"/>
    <col min="5" max="7" width="4.88671875" style="31" customWidth="1"/>
    <col min="8" max="8" width="4.88671875" style="40" customWidth="1"/>
    <col min="9" max="9" width="10.33203125" style="31" customWidth="1"/>
  </cols>
  <sheetData>
    <row r="1" spans="1:10" ht="21" x14ac:dyDescent="0.4">
      <c r="A1" s="77" t="str">
        <f>'INSCRIPCION '!A1:C1</f>
        <v>TIRADA</v>
      </c>
      <c r="B1" s="77"/>
      <c r="C1" s="77"/>
      <c r="D1" s="77"/>
      <c r="E1" s="77"/>
      <c r="F1" s="77"/>
      <c r="G1" s="77"/>
      <c r="H1" s="77"/>
      <c r="I1" s="77"/>
    </row>
    <row r="2" spans="1:10" ht="15.6" x14ac:dyDescent="0.3">
      <c r="A2" s="78" t="str">
        <f>'INSCRIPCION '!A2:C2</f>
        <v>CAMPO DE TIRO LA ISLA</v>
      </c>
      <c r="B2" s="78"/>
      <c r="C2" s="78"/>
      <c r="D2" s="78"/>
      <c r="E2" s="78"/>
      <c r="F2" s="78"/>
      <c r="G2" s="78"/>
      <c r="H2" s="78"/>
      <c r="I2" s="78"/>
    </row>
    <row r="3" spans="1:10" ht="18" customHeight="1" x14ac:dyDescent="0.25">
      <c r="A3" s="92" t="str">
        <f>'INSCRIPCION '!A3</f>
        <v>XXX PLATOS</v>
      </c>
      <c r="B3" s="92"/>
      <c r="C3" s="92"/>
      <c r="D3" s="92"/>
      <c r="E3" s="92"/>
      <c r="F3" s="92"/>
      <c r="G3" s="92"/>
      <c r="H3" s="92"/>
      <c r="I3" s="92"/>
    </row>
    <row r="4" spans="1:10" ht="24" customHeight="1" x14ac:dyDescent="0.3">
      <c r="A4" s="91" t="s">
        <v>23</v>
      </c>
      <c r="B4" s="91"/>
      <c r="C4" s="91"/>
      <c r="D4" s="91"/>
      <c r="E4" s="91"/>
      <c r="F4" s="91"/>
      <c r="G4" s="91"/>
      <c r="H4" s="91"/>
      <c r="I4" s="91"/>
    </row>
    <row r="5" spans="1:10" ht="16.5" customHeight="1" x14ac:dyDescent="0.25">
      <c r="A5" s="45"/>
      <c r="B5" s="2"/>
      <c r="C5" s="2"/>
    </row>
    <row r="6" spans="1:10" ht="17.25" customHeight="1" x14ac:dyDescent="0.25">
      <c r="A6" s="89" t="s">
        <v>0</v>
      </c>
      <c r="B6" s="89" t="s">
        <v>48</v>
      </c>
      <c r="C6" s="89"/>
      <c r="D6" s="89" t="s">
        <v>47</v>
      </c>
      <c r="E6" s="87" t="s">
        <v>3</v>
      </c>
      <c r="F6" s="88"/>
      <c r="G6" s="88"/>
      <c r="H6" s="88"/>
      <c r="I6" s="32" t="s">
        <v>1</v>
      </c>
    </row>
    <row r="7" spans="1:10" ht="17.25" customHeight="1" x14ac:dyDescent="0.25">
      <c r="A7" s="90"/>
      <c r="B7" s="90"/>
      <c r="C7" s="90"/>
      <c r="D7" s="90"/>
      <c r="E7" s="33">
        <v>1</v>
      </c>
      <c r="F7" s="34">
        <v>2</v>
      </c>
      <c r="G7" s="34">
        <v>3</v>
      </c>
      <c r="H7" s="33">
        <v>4</v>
      </c>
      <c r="I7" s="35" t="s">
        <v>2</v>
      </c>
      <c r="J7" s="53"/>
    </row>
    <row r="8" spans="1:10" ht="19.5" customHeight="1" x14ac:dyDescent="0.25">
      <c r="A8" s="3">
        <v>1</v>
      </c>
      <c r="B8" s="5">
        <f>ESCUADRAS!C7</f>
        <v>0</v>
      </c>
      <c r="C8" s="5" t="e">
        <f>ESCUADRAS!D7</f>
        <v>#REF!</v>
      </c>
      <c r="D8" s="3">
        <f>ESCUADRAS!E7</f>
        <v>0</v>
      </c>
      <c r="E8" s="34"/>
      <c r="F8" s="34"/>
      <c r="G8" s="34"/>
      <c r="H8" s="34"/>
      <c r="I8" s="34">
        <f t="shared" ref="I8:I71" si="0">SUM(E8:H8)</f>
        <v>0</v>
      </c>
      <c r="J8" s="60"/>
    </row>
    <row r="9" spans="1:10" ht="19.5" customHeight="1" x14ac:dyDescent="0.25">
      <c r="A9" s="3">
        <v>2</v>
      </c>
      <c r="B9" s="5">
        <f>ESCUADRAS!C8</f>
        <v>0</v>
      </c>
      <c r="C9" s="5" t="e">
        <f>ESCUADRAS!D8</f>
        <v>#REF!</v>
      </c>
      <c r="D9" s="3">
        <f>ESCUADRAS!E8</f>
        <v>0</v>
      </c>
      <c r="E9" s="34"/>
      <c r="F9" s="34"/>
      <c r="G9" s="34"/>
      <c r="H9" s="34"/>
      <c r="I9" s="34">
        <f t="shared" si="0"/>
        <v>0</v>
      </c>
      <c r="J9" s="60"/>
    </row>
    <row r="10" spans="1:10" ht="19.5" customHeight="1" x14ac:dyDescent="0.25">
      <c r="A10" s="3">
        <v>3</v>
      </c>
      <c r="B10" s="5">
        <f>ESCUADRAS!C9</f>
        <v>0</v>
      </c>
      <c r="C10" s="5" t="e">
        <f>ESCUADRAS!D9</f>
        <v>#REF!</v>
      </c>
      <c r="D10" s="3">
        <f>ESCUADRAS!E9</f>
        <v>0</v>
      </c>
      <c r="E10" s="34"/>
      <c r="F10" s="34"/>
      <c r="G10" s="34"/>
      <c r="H10" s="34"/>
      <c r="I10" s="34">
        <f t="shared" si="0"/>
        <v>0</v>
      </c>
      <c r="J10" s="60"/>
    </row>
    <row r="11" spans="1:10" ht="19.5" customHeight="1" x14ac:dyDescent="0.25">
      <c r="A11" s="3">
        <v>4</v>
      </c>
      <c r="B11" s="5">
        <f>ESCUADRAS!C10</f>
        <v>0</v>
      </c>
      <c r="C11" s="5" t="e">
        <f>ESCUADRAS!D10</f>
        <v>#REF!</v>
      </c>
      <c r="D11" s="3">
        <f>ESCUADRAS!E10</f>
        <v>0</v>
      </c>
      <c r="E11" s="34"/>
      <c r="F11" s="34"/>
      <c r="G11" s="34"/>
      <c r="H11" s="34"/>
      <c r="I11" s="34">
        <f t="shared" si="0"/>
        <v>0</v>
      </c>
      <c r="J11" s="60"/>
    </row>
    <row r="12" spans="1:10" ht="19.5" customHeight="1" x14ac:dyDescent="0.25">
      <c r="A12" s="3">
        <v>5</v>
      </c>
      <c r="B12" s="5">
        <f>ESCUADRAS!C11</f>
        <v>0</v>
      </c>
      <c r="C12" s="5" t="e">
        <f>ESCUADRAS!D11</f>
        <v>#REF!</v>
      </c>
      <c r="D12" s="3">
        <f>ESCUADRAS!E11</f>
        <v>0</v>
      </c>
      <c r="E12" s="34"/>
      <c r="F12" s="34"/>
      <c r="G12" s="34"/>
      <c r="H12" s="34"/>
      <c r="I12" s="34">
        <f t="shared" si="0"/>
        <v>0</v>
      </c>
      <c r="J12" s="60"/>
    </row>
    <row r="13" spans="1:10" ht="19.5" customHeight="1" x14ac:dyDescent="0.25">
      <c r="A13" s="3">
        <v>6</v>
      </c>
      <c r="B13" s="5">
        <f>ESCUADRAS!C12</f>
        <v>0</v>
      </c>
      <c r="C13" s="5" t="e">
        <f>ESCUADRAS!D12</f>
        <v>#REF!</v>
      </c>
      <c r="D13" s="3">
        <f>ESCUADRAS!E12</f>
        <v>0</v>
      </c>
      <c r="E13" s="34"/>
      <c r="F13" s="34"/>
      <c r="G13" s="34"/>
      <c r="H13" s="34"/>
      <c r="I13" s="34">
        <f t="shared" si="0"/>
        <v>0</v>
      </c>
      <c r="J13" s="60"/>
    </row>
    <row r="14" spans="1:10" ht="19.5" customHeight="1" x14ac:dyDescent="0.25">
      <c r="A14" s="3">
        <v>7</v>
      </c>
      <c r="B14" s="5">
        <f>ESCUADRAS!C13</f>
        <v>0</v>
      </c>
      <c r="C14" s="5" t="e">
        <f>ESCUADRAS!D13</f>
        <v>#REF!</v>
      </c>
      <c r="D14" s="3">
        <f>ESCUADRAS!E13</f>
        <v>0</v>
      </c>
      <c r="E14" s="34"/>
      <c r="F14" s="34"/>
      <c r="G14" s="34"/>
      <c r="H14" s="34"/>
      <c r="I14" s="34">
        <f t="shared" si="0"/>
        <v>0</v>
      </c>
      <c r="J14" s="60"/>
    </row>
    <row r="15" spans="1:10" ht="19.5" customHeight="1" x14ac:dyDescent="0.25">
      <c r="A15" s="3">
        <v>8</v>
      </c>
      <c r="B15" s="5">
        <f>ESCUADRAS!C14</f>
        <v>0</v>
      </c>
      <c r="C15" s="5" t="e">
        <f>ESCUADRAS!D14</f>
        <v>#REF!</v>
      </c>
      <c r="D15" s="3">
        <f>ESCUADRAS!E14</f>
        <v>0</v>
      </c>
      <c r="E15" s="34"/>
      <c r="F15" s="34"/>
      <c r="G15" s="34"/>
      <c r="H15" s="34"/>
      <c r="I15" s="34">
        <f t="shared" si="0"/>
        <v>0</v>
      </c>
      <c r="J15" s="60"/>
    </row>
    <row r="16" spans="1:10" ht="19.5" customHeight="1" x14ac:dyDescent="0.25">
      <c r="A16" s="3">
        <v>9</v>
      </c>
      <c r="B16" s="5">
        <f>ESCUADRAS!C15</f>
        <v>0</v>
      </c>
      <c r="C16" s="5" t="e">
        <f>ESCUADRAS!D15</f>
        <v>#REF!</v>
      </c>
      <c r="D16" s="3">
        <f>ESCUADRAS!E15</f>
        <v>0</v>
      </c>
      <c r="E16" s="34"/>
      <c r="F16" s="34"/>
      <c r="G16" s="34"/>
      <c r="H16" s="34"/>
      <c r="I16" s="34">
        <f t="shared" si="0"/>
        <v>0</v>
      </c>
      <c r="J16" s="60"/>
    </row>
    <row r="17" spans="1:10" ht="19.5" customHeight="1" x14ac:dyDescent="0.25">
      <c r="A17" s="3">
        <v>10</v>
      </c>
      <c r="B17" s="5">
        <f>ESCUADRAS!C16</f>
        <v>0</v>
      </c>
      <c r="C17" s="5" t="e">
        <f>ESCUADRAS!D16</f>
        <v>#REF!</v>
      </c>
      <c r="D17" s="3">
        <f>ESCUADRAS!E16</f>
        <v>0</v>
      </c>
      <c r="E17" s="34"/>
      <c r="F17" s="34"/>
      <c r="G17" s="34"/>
      <c r="H17" s="34"/>
      <c r="I17" s="34">
        <f t="shared" si="0"/>
        <v>0</v>
      </c>
      <c r="J17" s="60"/>
    </row>
    <row r="18" spans="1:10" ht="19.5" customHeight="1" x14ac:dyDescent="0.25">
      <c r="A18" s="3">
        <v>11</v>
      </c>
      <c r="B18" s="5">
        <f>ESCUADRAS!C17</f>
        <v>0</v>
      </c>
      <c r="C18" s="5" t="e">
        <f>ESCUADRAS!D17</f>
        <v>#REF!</v>
      </c>
      <c r="D18" s="3">
        <f>ESCUADRAS!E17</f>
        <v>0</v>
      </c>
      <c r="E18" s="34"/>
      <c r="F18" s="34"/>
      <c r="G18" s="34"/>
      <c r="H18" s="34"/>
      <c r="I18" s="34">
        <f t="shared" si="0"/>
        <v>0</v>
      </c>
      <c r="J18" s="60"/>
    </row>
    <row r="19" spans="1:10" ht="19.5" customHeight="1" x14ac:dyDescent="0.25">
      <c r="A19" s="3">
        <v>12</v>
      </c>
      <c r="B19" s="5">
        <f>ESCUADRAS!C18</f>
        <v>0</v>
      </c>
      <c r="C19" s="5" t="e">
        <f>ESCUADRAS!D18</f>
        <v>#REF!</v>
      </c>
      <c r="D19" s="3">
        <f>ESCUADRAS!E18</f>
        <v>0</v>
      </c>
      <c r="E19" s="34"/>
      <c r="F19" s="34"/>
      <c r="G19" s="34"/>
      <c r="H19" s="34"/>
      <c r="I19" s="34">
        <f t="shared" si="0"/>
        <v>0</v>
      </c>
      <c r="J19" s="60"/>
    </row>
    <row r="20" spans="1:10" ht="19.5" customHeight="1" x14ac:dyDescent="0.25">
      <c r="A20" s="3">
        <v>13</v>
      </c>
      <c r="B20" s="5">
        <f>ESCUADRAS!C19</f>
        <v>0</v>
      </c>
      <c r="C20" s="5" t="e">
        <f>ESCUADRAS!D19</f>
        <v>#REF!</v>
      </c>
      <c r="D20" s="3">
        <f>ESCUADRAS!E19</f>
        <v>0</v>
      </c>
      <c r="E20" s="34"/>
      <c r="F20" s="34"/>
      <c r="G20" s="34"/>
      <c r="H20" s="34"/>
      <c r="I20" s="34">
        <f t="shared" si="0"/>
        <v>0</v>
      </c>
    </row>
    <row r="21" spans="1:10" ht="19.5" customHeight="1" x14ac:dyDescent="0.25">
      <c r="A21" s="3">
        <v>14</v>
      </c>
      <c r="B21" s="5">
        <f>ESCUADRAS!C20</f>
        <v>0</v>
      </c>
      <c r="C21" s="5" t="e">
        <f>ESCUADRAS!D20</f>
        <v>#REF!</v>
      </c>
      <c r="D21" s="3">
        <f>ESCUADRAS!E20</f>
        <v>0</v>
      </c>
      <c r="E21" s="34"/>
      <c r="F21" s="34"/>
      <c r="G21" s="34"/>
      <c r="H21" s="34"/>
      <c r="I21" s="34">
        <f t="shared" si="0"/>
        <v>0</v>
      </c>
    </row>
    <row r="22" spans="1:10" ht="19.5" customHeight="1" x14ac:dyDescent="0.25">
      <c r="A22" s="3">
        <v>15</v>
      </c>
      <c r="B22" s="5">
        <f>ESCUADRAS!C21</f>
        <v>0</v>
      </c>
      <c r="C22" s="5" t="e">
        <f>ESCUADRAS!D21</f>
        <v>#REF!</v>
      </c>
      <c r="D22" s="3">
        <f>ESCUADRAS!E21</f>
        <v>0</v>
      </c>
      <c r="E22" s="34"/>
      <c r="F22" s="34"/>
      <c r="G22" s="34"/>
      <c r="H22" s="34"/>
      <c r="I22" s="34">
        <f t="shared" si="0"/>
        <v>0</v>
      </c>
    </row>
    <row r="23" spans="1:10" ht="19.5" customHeight="1" x14ac:dyDescent="0.25">
      <c r="A23" s="3">
        <v>16</v>
      </c>
      <c r="B23" s="5">
        <f>ESCUADRAS!C22</f>
        <v>0</v>
      </c>
      <c r="C23" s="5" t="e">
        <f>ESCUADRAS!D22</f>
        <v>#REF!</v>
      </c>
      <c r="D23" s="3">
        <f>ESCUADRAS!E22</f>
        <v>0</v>
      </c>
      <c r="E23" s="34"/>
      <c r="F23" s="34"/>
      <c r="G23" s="34"/>
      <c r="H23" s="34"/>
      <c r="I23" s="34">
        <f t="shared" si="0"/>
        <v>0</v>
      </c>
    </row>
    <row r="24" spans="1:10" ht="19.5" customHeight="1" x14ac:dyDescent="0.25">
      <c r="A24" s="3">
        <v>17</v>
      </c>
      <c r="B24" s="5">
        <f>ESCUADRAS!C23</f>
        <v>0</v>
      </c>
      <c r="C24" s="5" t="e">
        <f>ESCUADRAS!D23</f>
        <v>#REF!</v>
      </c>
      <c r="D24" s="3">
        <f>ESCUADRAS!E23</f>
        <v>0</v>
      </c>
      <c r="E24" s="34"/>
      <c r="F24" s="34"/>
      <c r="G24" s="34"/>
      <c r="H24" s="34"/>
      <c r="I24" s="34">
        <f t="shared" si="0"/>
        <v>0</v>
      </c>
    </row>
    <row r="25" spans="1:10" ht="19.5" customHeight="1" x14ac:dyDescent="0.25">
      <c r="A25" s="3">
        <v>18</v>
      </c>
      <c r="B25" s="5">
        <f>ESCUADRAS!C24</f>
        <v>0</v>
      </c>
      <c r="C25" s="5" t="e">
        <f>ESCUADRAS!D24</f>
        <v>#REF!</v>
      </c>
      <c r="D25" s="3">
        <f>ESCUADRAS!E24</f>
        <v>0</v>
      </c>
      <c r="E25" s="34"/>
      <c r="F25" s="34"/>
      <c r="G25" s="34"/>
      <c r="H25" s="34"/>
      <c r="I25" s="34">
        <f t="shared" si="0"/>
        <v>0</v>
      </c>
    </row>
    <row r="26" spans="1:10" ht="19.5" customHeight="1" x14ac:dyDescent="0.25">
      <c r="A26" s="3">
        <v>19</v>
      </c>
      <c r="B26" s="5">
        <f>ESCUADRAS!C25</f>
        <v>0</v>
      </c>
      <c r="C26" s="5" t="e">
        <f>ESCUADRAS!D25</f>
        <v>#REF!</v>
      </c>
      <c r="D26" s="3">
        <f>ESCUADRAS!E25</f>
        <v>0</v>
      </c>
      <c r="E26" s="34"/>
      <c r="F26" s="34"/>
      <c r="G26" s="34"/>
      <c r="H26" s="34"/>
      <c r="I26" s="34">
        <f t="shared" si="0"/>
        <v>0</v>
      </c>
    </row>
    <row r="27" spans="1:10" ht="19.5" customHeight="1" x14ac:dyDescent="0.25">
      <c r="A27" s="3">
        <v>20</v>
      </c>
      <c r="B27" s="5">
        <f>ESCUADRAS!C26</f>
        <v>0</v>
      </c>
      <c r="C27" s="5" t="e">
        <f>ESCUADRAS!D26</f>
        <v>#REF!</v>
      </c>
      <c r="D27" s="3">
        <f>ESCUADRAS!E26</f>
        <v>0</v>
      </c>
      <c r="E27" s="34"/>
      <c r="F27" s="34"/>
      <c r="G27" s="34"/>
      <c r="H27" s="34"/>
      <c r="I27" s="34">
        <f t="shared" si="0"/>
        <v>0</v>
      </c>
    </row>
    <row r="28" spans="1:10" ht="19.5" customHeight="1" x14ac:dyDescent="0.25">
      <c r="A28" s="3">
        <v>21</v>
      </c>
      <c r="B28" s="5">
        <f>ESCUADRAS!C27</f>
        <v>0</v>
      </c>
      <c r="C28" s="5" t="e">
        <f>ESCUADRAS!D27</f>
        <v>#REF!</v>
      </c>
      <c r="D28" s="3">
        <f>ESCUADRAS!E27</f>
        <v>0</v>
      </c>
      <c r="E28" s="34"/>
      <c r="F28" s="34"/>
      <c r="G28" s="34"/>
      <c r="H28" s="34"/>
      <c r="I28" s="34">
        <f t="shared" si="0"/>
        <v>0</v>
      </c>
    </row>
    <row r="29" spans="1:10" ht="19.5" customHeight="1" x14ac:dyDescent="0.25">
      <c r="A29" s="3">
        <v>22</v>
      </c>
      <c r="B29" s="5">
        <f>ESCUADRAS!C28</f>
        <v>0</v>
      </c>
      <c r="C29" s="5" t="e">
        <f>ESCUADRAS!D28</f>
        <v>#REF!</v>
      </c>
      <c r="D29" s="3">
        <f>ESCUADRAS!E28</f>
        <v>0</v>
      </c>
      <c r="E29" s="34"/>
      <c r="F29" s="34"/>
      <c r="G29" s="34"/>
      <c r="H29" s="34"/>
      <c r="I29" s="34">
        <f t="shared" si="0"/>
        <v>0</v>
      </c>
    </row>
    <row r="30" spans="1:10" ht="19.5" customHeight="1" x14ac:dyDescent="0.25">
      <c r="A30" s="3">
        <v>23</v>
      </c>
      <c r="B30" s="5">
        <f>ESCUADRAS!C29</f>
        <v>0</v>
      </c>
      <c r="C30" s="5" t="e">
        <f>ESCUADRAS!D29</f>
        <v>#REF!</v>
      </c>
      <c r="D30" s="3">
        <f>ESCUADRAS!E29</f>
        <v>0</v>
      </c>
      <c r="E30" s="34"/>
      <c r="F30" s="34"/>
      <c r="G30" s="34"/>
      <c r="H30" s="34"/>
      <c r="I30" s="34">
        <f t="shared" si="0"/>
        <v>0</v>
      </c>
    </row>
    <row r="31" spans="1:10" ht="19.5" customHeight="1" x14ac:dyDescent="0.25">
      <c r="A31" s="3">
        <v>24</v>
      </c>
      <c r="B31" s="5">
        <f>ESCUADRAS!C30</f>
        <v>0</v>
      </c>
      <c r="C31" s="5" t="e">
        <f>ESCUADRAS!D30</f>
        <v>#REF!</v>
      </c>
      <c r="D31" s="3">
        <f>ESCUADRAS!E30</f>
        <v>0</v>
      </c>
      <c r="E31" s="34"/>
      <c r="F31" s="34"/>
      <c r="G31" s="34"/>
      <c r="H31" s="34"/>
      <c r="I31" s="34">
        <f t="shared" si="0"/>
        <v>0</v>
      </c>
    </row>
    <row r="32" spans="1:10" ht="19.5" customHeight="1" x14ac:dyDescent="0.25">
      <c r="A32" s="3">
        <v>25</v>
      </c>
      <c r="B32" s="5">
        <f>ESCUADRAS!C31</f>
        <v>0</v>
      </c>
      <c r="C32" s="5" t="e">
        <f>ESCUADRAS!D31</f>
        <v>#REF!</v>
      </c>
      <c r="D32" s="3">
        <f>ESCUADRAS!E31</f>
        <v>0</v>
      </c>
      <c r="E32" s="34"/>
      <c r="F32" s="34"/>
      <c r="G32" s="34"/>
      <c r="H32" s="34"/>
      <c r="I32" s="34">
        <f t="shared" si="0"/>
        <v>0</v>
      </c>
    </row>
    <row r="33" spans="1:9" ht="19.5" customHeight="1" x14ac:dyDescent="0.25">
      <c r="A33" s="3">
        <v>26</v>
      </c>
      <c r="B33" s="5">
        <f>ESCUADRAS!C32</f>
        <v>0</v>
      </c>
      <c r="C33" s="5" t="e">
        <f>ESCUADRAS!D32</f>
        <v>#REF!</v>
      </c>
      <c r="D33" s="3">
        <f>ESCUADRAS!E32</f>
        <v>0</v>
      </c>
      <c r="E33" s="34"/>
      <c r="F33" s="34"/>
      <c r="G33" s="34"/>
      <c r="H33" s="34"/>
      <c r="I33" s="34">
        <f t="shared" si="0"/>
        <v>0</v>
      </c>
    </row>
    <row r="34" spans="1:9" ht="19.5" customHeight="1" x14ac:dyDescent="0.25">
      <c r="A34" s="3">
        <v>27</v>
      </c>
      <c r="B34" s="5">
        <f>ESCUADRAS!C33</f>
        <v>0</v>
      </c>
      <c r="C34" s="5" t="e">
        <f>ESCUADRAS!D33</f>
        <v>#REF!</v>
      </c>
      <c r="D34" s="3">
        <f>ESCUADRAS!E33</f>
        <v>0</v>
      </c>
      <c r="E34" s="34"/>
      <c r="F34" s="34"/>
      <c r="G34" s="34"/>
      <c r="H34" s="34"/>
      <c r="I34" s="34">
        <f t="shared" si="0"/>
        <v>0</v>
      </c>
    </row>
    <row r="35" spans="1:9" ht="19.5" customHeight="1" x14ac:dyDescent="0.25">
      <c r="A35" s="3">
        <v>28</v>
      </c>
      <c r="B35" s="5">
        <f>ESCUADRAS!C34</f>
        <v>0</v>
      </c>
      <c r="C35" s="5" t="e">
        <f>ESCUADRAS!D34</f>
        <v>#REF!</v>
      </c>
      <c r="D35" s="3">
        <f>ESCUADRAS!E34</f>
        <v>0</v>
      </c>
      <c r="E35" s="34"/>
      <c r="F35" s="34"/>
      <c r="G35" s="34"/>
      <c r="H35" s="34"/>
      <c r="I35" s="34">
        <f t="shared" si="0"/>
        <v>0</v>
      </c>
    </row>
    <row r="36" spans="1:9" ht="19.5" customHeight="1" x14ac:dyDescent="0.25">
      <c r="A36" s="3">
        <v>29</v>
      </c>
      <c r="B36" s="5">
        <f>ESCUADRAS!C35</f>
        <v>0</v>
      </c>
      <c r="C36" s="5" t="e">
        <f>ESCUADRAS!D35</f>
        <v>#REF!</v>
      </c>
      <c r="D36" s="3">
        <f>ESCUADRAS!E35</f>
        <v>0</v>
      </c>
      <c r="E36" s="34"/>
      <c r="F36" s="34"/>
      <c r="G36" s="34"/>
      <c r="H36" s="34"/>
      <c r="I36" s="34">
        <f t="shared" si="0"/>
        <v>0</v>
      </c>
    </row>
    <row r="37" spans="1:9" ht="19.5" customHeight="1" x14ac:dyDescent="0.25">
      <c r="A37" s="3">
        <v>30</v>
      </c>
      <c r="B37" s="5">
        <f>ESCUADRAS!C36</f>
        <v>0</v>
      </c>
      <c r="C37" s="5" t="e">
        <f>ESCUADRAS!D36</f>
        <v>#REF!</v>
      </c>
      <c r="D37" s="3">
        <f>ESCUADRAS!E36</f>
        <v>0</v>
      </c>
      <c r="E37" s="34"/>
      <c r="F37" s="34"/>
      <c r="G37" s="34"/>
      <c r="H37" s="34"/>
      <c r="I37" s="34">
        <f t="shared" si="0"/>
        <v>0</v>
      </c>
    </row>
    <row r="38" spans="1:9" ht="19.5" customHeight="1" x14ac:dyDescent="0.25">
      <c r="A38" s="3">
        <v>31</v>
      </c>
      <c r="B38" s="5">
        <f>ESCUADRAS!C37</f>
        <v>0</v>
      </c>
      <c r="C38" s="5" t="e">
        <f>ESCUADRAS!D37</f>
        <v>#REF!</v>
      </c>
      <c r="D38" s="3">
        <f>ESCUADRAS!E37</f>
        <v>0</v>
      </c>
      <c r="E38" s="34"/>
      <c r="F38" s="34"/>
      <c r="G38" s="34"/>
      <c r="H38" s="34"/>
      <c r="I38" s="34">
        <f t="shared" si="0"/>
        <v>0</v>
      </c>
    </row>
    <row r="39" spans="1:9" ht="19.5" customHeight="1" x14ac:dyDescent="0.25">
      <c r="A39" s="3">
        <v>32</v>
      </c>
      <c r="B39" s="5">
        <f>ESCUADRAS!C38</f>
        <v>0</v>
      </c>
      <c r="C39" s="5" t="e">
        <f>ESCUADRAS!D38</f>
        <v>#REF!</v>
      </c>
      <c r="D39" s="3">
        <f>ESCUADRAS!E38</f>
        <v>0</v>
      </c>
      <c r="E39" s="34"/>
      <c r="F39" s="34"/>
      <c r="G39" s="34"/>
      <c r="H39" s="34"/>
      <c r="I39" s="34">
        <f t="shared" si="0"/>
        <v>0</v>
      </c>
    </row>
    <row r="40" spans="1:9" ht="19.5" customHeight="1" x14ac:dyDescent="0.25">
      <c r="A40" s="3">
        <v>33</v>
      </c>
      <c r="B40" s="5">
        <f>ESCUADRAS!C39</f>
        <v>0</v>
      </c>
      <c r="C40" s="5" t="e">
        <f>ESCUADRAS!D39</f>
        <v>#REF!</v>
      </c>
      <c r="D40" s="3">
        <f>ESCUADRAS!E39</f>
        <v>0</v>
      </c>
      <c r="E40" s="34"/>
      <c r="F40" s="34"/>
      <c r="G40" s="34"/>
      <c r="H40" s="34"/>
      <c r="I40" s="34">
        <f t="shared" si="0"/>
        <v>0</v>
      </c>
    </row>
    <row r="41" spans="1:9" ht="19.5" customHeight="1" x14ac:dyDescent="0.25">
      <c r="A41" s="3">
        <v>34</v>
      </c>
      <c r="B41" s="5">
        <f>ESCUADRAS!C40</f>
        <v>0</v>
      </c>
      <c r="C41" s="5" t="e">
        <f>ESCUADRAS!D40</f>
        <v>#REF!</v>
      </c>
      <c r="D41" s="3">
        <f>ESCUADRAS!E40</f>
        <v>0</v>
      </c>
      <c r="E41" s="34"/>
      <c r="F41" s="34"/>
      <c r="G41" s="34"/>
      <c r="H41" s="34"/>
      <c r="I41" s="34">
        <f t="shared" si="0"/>
        <v>0</v>
      </c>
    </row>
    <row r="42" spans="1:9" ht="19.5" customHeight="1" x14ac:dyDescent="0.25">
      <c r="A42" s="3">
        <v>35</v>
      </c>
      <c r="B42" s="5">
        <f>ESCUADRAS!C41</f>
        <v>0</v>
      </c>
      <c r="C42" s="5" t="e">
        <f>ESCUADRAS!D41</f>
        <v>#REF!</v>
      </c>
      <c r="D42" s="3">
        <f>ESCUADRAS!E41</f>
        <v>0</v>
      </c>
      <c r="E42" s="34"/>
      <c r="F42" s="34"/>
      <c r="G42" s="34"/>
      <c r="H42" s="34"/>
      <c r="I42" s="34">
        <f t="shared" si="0"/>
        <v>0</v>
      </c>
    </row>
    <row r="43" spans="1:9" ht="19.5" customHeight="1" x14ac:dyDescent="0.25">
      <c r="A43" s="3">
        <v>36</v>
      </c>
      <c r="B43" s="5">
        <f>ESCUADRAS!C42</f>
        <v>0</v>
      </c>
      <c r="C43" s="5" t="e">
        <f>ESCUADRAS!D42</f>
        <v>#REF!</v>
      </c>
      <c r="D43" s="3">
        <f>ESCUADRAS!E42</f>
        <v>0</v>
      </c>
      <c r="E43" s="34"/>
      <c r="F43" s="34"/>
      <c r="G43" s="34"/>
      <c r="H43" s="34"/>
      <c r="I43" s="34">
        <f t="shared" si="0"/>
        <v>0</v>
      </c>
    </row>
    <row r="44" spans="1:9" ht="19.5" customHeight="1" x14ac:dyDescent="0.25">
      <c r="A44" s="3">
        <v>37</v>
      </c>
      <c r="B44" s="5">
        <f>ESCUADRAS!C43</f>
        <v>0</v>
      </c>
      <c r="C44" s="5" t="e">
        <f>ESCUADRAS!D43</f>
        <v>#REF!</v>
      </c>
      <c r="D44" s="3">
        <f>ESCUADRAS!E43</f>
        <v>0</v>
      </c>
      <c r="E44" s="34"/>
      <c r="F44" s="34"/>
      <c r="G44" s="34"/>
      <c r="H44" s="34"/>
      <c r="I44" s="34">
        <f t="shared" si="0"/>
        <v>0</v>
      </c>
    </row>
    <row r="45" spans="1:9" ht="19.5" customHeight="1" x14ac:dyDescent="0.25">
      <c r="A45" s="3">
        <v>38</v>
      </c>
      <c r="B45" s="5">
        <f>ESCUADRAS!C44</f>
        <v>0</v>
      </c>
      <c r="C45" s="5" t="e">
        <f>ESCUADRAS!D44</f>
        <v>#REF!</v>
      </c>
      <c r="D45" s="3">
        <f>ESCUADRAS!E44</f>
        <v>0</v>
      </c>
      <c r="E45" s="34"/>
      <c r="F45" s="34"/>
      <c r="G45" s="34"/>
      <c r="H45" s="34"/>
      <c r="I45" s="34">
        <f t="shared" si="0"/>
        <v>0</v>
      </c>
    </row>
    <row r="46" spans="1:9" ht="19.5" customHeight="1" x14ac:dyDescent="0.25">
      <c r="A46" s="3">
        <v>39</v>
      </c>
      <c r="B46" s="5">
        <f>ESCUADRAS!C45</f>
        <v>0</v>
      </c>
      <c r="C46" s="5" t="e">
        <f>ESCUADRAS!D45</f>
        <v>#REF!</v>
      </c>
      <c r="D46" s="3">
        <f>ESCUADRAS!E45</f>
        <v>0</v>
      </c>
      <c r="E46" s="34"/>
      <c r="F46" s="34"/>
      <c r="G46" s="34"/>
      <c r="H46" s="34"/>
      <c r="I46" s="34">
        <f t="shared" si="0"/>
        <v>0</v>
      </c>
    </row>
    <row r="47" spans="1:9" ht="19.5" customHeight="1" x14ac:dyDescent="0.25">
      <c r="A47" s="3">
        <v>40</v>
      </c>
      <c r="B47" s="5">
        <f>ESCUADRAS!C46</f>
        <v>0</v>
      </c>
      <c r="C47" s="5" t="e">
        <f>ESCUADRAS!D46</f>
        <v>#REF!</v>
      </c>
      <c r="D47" s="3">
        <f>ESCUADRAS!E46</f>
        <v>0</v>
      </c>
      <c r="E47" s="34"/>
      <c r="F47" s="34"/>
      <c r="G47" s="34"/>
      <c r="H47" s="34"/>
      <c r="I47" s="34">
        <f t="shared" si="0"/>
        <v>0</v>
      </c>
    </row>
    <row r="48" spans="1:9" ht="19.5" customHeight="1" x14ac:dyDescent="0.25">
      <c r="A48" s="3">
        <v>41</v>
      </c>
      <c r="B48" s="5">
        <f>ESCUADRAS!C47</f>
        <v>0</v>
      </c>
      <c r="C48" s="5" t="e">
        <f>ESCUADRAS!D47</f>
        <v>#REF!</v>
      </c>
      <c r="D48" s="3">
        <f>ESCUADRAS!E47</f>
        <v>0</v>
      </c>
      <c r="E48" s="34"/>
      <c r="F48" s="34"/>
      <c r="G48" s="34"/>
      <c r="H48" s="34"/>
      <c r="I48" s="34">
        <f t="shared" si="0"/>
        <v>0</v>
      </c>
    </row>
    <row r="49" spans="1:10" ht="19.5" customHeight="1" x14ac:dyDescent="0.25">
      <c r="A49" s="3">
        <v>42</v>
      </c>
      <c r="B49" s="5">
        <f>ESCUADRAS!C48</f>
        <v>0</v>
      </c>
      <c r="C49" s="5" t="e">
        <f>ESCUADRAS!D48</f>
        <v>#REF!</v>
      </c>
      <c r="D49" s="3">
        <f>ESCUADRAS!E48</f>
        <v>0</v>
      </c>
      <c r="E49" s="34"/>
      <c r="F49" s="34"/>
      <c r="G49" s="34"/>
      <c r="H49" s="34"/>
      <c r="I49" s="34">
        <f t="shared" si="0"/>
        <v>0</v>
      </c>
    </row>
    <row r="50" spans="1:10" ht="19.5" customHeight="1" x14ac:dyDescent="0.25">
      <c r="A50" s="3">
        <v>43</v>
      </c>
      <c r="B50" s="5">
        <f>ESCUADRAS!C49</f>
        <v>0</v>
      </c>
      <c r="C50" s="5" t="e">
        <f>ESCUADRAS!D49</f>
        <v>#REF!</v>
      </c>
      <c r="D50" s="3">
        <f>ESCUADRAS!E49</f>
        <v>0</v>
      </c>
      <c r="E50" s="34"/>
      <c r="F50" s="34"/>
      <c r="G50" s="34"/>
      <c r="H50" s="34"/>
      <c r="I50" s="34">
        <f t="shared" si="0"/>
        <v>0</v>
      </c>
    </row>
    <row r="51" spans="1:10" ht="19.5" customHeight="1" x14ac:dyDescent="0.25">
      <c r="A51" s="3">
        <v>44</v>
      </c>
      <c r="B51" s="5">
        <f>ESCUADRAS!C50</f>
        <v>0</v>
      </c>
      <c r="C51" s="5" t="e">
        <f>ESCUADRAS!D50</f>
        <v>#REF!</v>
      </c>
      <c r="D51" s="3">
        <f>ESCUADRAS!E50</f>
        <v>0</v>
      </c>
      <c r="E51" s="34"/>
      <c r="F51" s="34"/>
      <c r="G51" s="34"/>
      <c r="H51" s="34"/>
      <c r="I51" s="34">
        <f t="shared" si="0"/>
        <v>0</v>
      </c>
    </row>
    <row r="52" spans="1:10" ht="19.5" customHeight="1" x14ac:dyDescent="0.25">
      <c r="A52" s="3">
        <v>45</v>
      </c>
      <c r="B52" s="5">
        <f>ESCUADRAS!C51</f>
        <v>0</v>
      </c>
      <c r="C52" s="5" t="e">
        <f>ESCUADRAS!D51</f>
        <v>#REF!</v>
      </c>
      <c r="D52" s="3">
        <f>ESCUADRAS!E51</f>
        <v>0</v>
      </c>
      <c r="E52" s="34"/>
      <c r="F52" s="34"/>
      <c r="G52" s="34"/>
      <c r="H52" s="34"/>
      <c r="I52" s="34">
        <f t="shared" si="0"/>
        <v>0</v>
      </c>
    </row>
    <row r="53" spans="1:10" ht="19.5" customHeight="1" x14ac:dyDescent="0.25">
      <c r="A53" s="3">
        <v>46</v>
      </c>
      <c r="B53" s="5">
        <f>ESCUADRAS!C52</f>
        <v>0</v>
      </c>
      <c r="C53" s="5" t="e">
        <f>ESCUADRAS!D52</f>
        <v>#REF!</v>
      </c>
      <c r="D53" s="3">
        <f>ESCUADRAS!E52</f>
        <v>0</v>
      </c>
      <c r="E53" s="34"/>
      <c r="F53" s="34"/>
      <c r="G53" s="34"/>
      <c r="H53" s="34"/>
      <c r="I53" s="34">
        <f t="shared" si="0"/>
        <v>0</v>
      </c>
    </row>
    <row r="54" spans="1:10" ht="19.5" customHeight="1" x14ac:dyDescent="0.25">
      <c r="A54" s="3">
        <v>47</v>
      </c>
      <c r="B54" s="5">
        <f>ESCUADRAS!C53</f>
        <v>0</v>
      </c>
      <c r="C54" s="5" t="e">
        <f>ESCUADRAS!D53</f>
        <v>#REF!</v>
      </c>
      <c r="D54" s="3">
        <f>ESCUADRAS!E53</f>
        <v>0</v>
      </c>
      <c r="E54" s="34"/>
      <c r="F54" s="34"/>
      <c r="G54" s="34"/>
      <c r="H54" s="34"/>
      <c r="I54" s="34">
        <f t="shared" si="0"/>
        <v>0</v>
      </c>
    </row>
    <row r="55" spans="1:10" ht="19.5" customHeight="1" x14ac:dyDescent="0.25">
      <c r="A55" s="3">
        <v>48</v>
      </c>
      <c r="B55" s="5">
        <f>ESCUADRAS!C54</f>
        <v>0</v>
      </c>
      <c r="C55" s="5" t="e">
        <f>ESCUADRAS!D54</f>
        <v>#REF!</v>
      </c>
      <c r="D55" s="3">
        <f>ESCUADRAS!E54</f>
        <v>0</v>
      </c>
      <c r="E55" s="34"/>
      <c r="F55" s="34"/>
      <c r="G55" s="34"/>
      <c r="H55" s="34"/>
      <c r="I55" s="34">
        <f t="shared" si="0"/>
        <v>0</v>
      </c>
    </row>
    <row r="56" spans="1:10" ht="19.5" customHeight="1" x14ac:dyDescent="0.25">
      <c r="A56" s="3">
        <v>49</v>
      </c>
      <c r="B56" s="5">
        <f>ESCUADRAS!C55</f>
        <v>0</v>
      </c>
      <c r="C56" s="5" t="e">
        <f>ESCUADRAS!D55</f>
        <v>#REF!</v>
      </c>
      <c r="D56" s="3">
        <f>ESCUADRAS!E55</f>
        <v>0</v>
      </c>
      <c r="E56" s="34"/>
      <c r="F56" s="34"/>
      <c r="G56" s="34"/>
      <c r="H56" s="34"/>
      <c r="I56" s="34">
        <f t="shared" si="0"/>
        <v>0</v>
      </c>
    </row>
    <row r="57" spans="1:10" ht="19.5" customHeight="1" x14ac:dyDescent="0.25">
      <c r="A57" s="3">
        <v>50</v>
      </c>
      <c r="B57" s="5">
        <f>ESCUADRAS!C56</f>
        <v>0</v>
      </c>
      <c r="C57" s="5" t="e">
        <f>ESCUADRAS!D56</f>
        <v>#REF!</v>
      </c>
      <c r="D57" s="3">
        <f>ESCUADRAS!E56</f>
        <v>0</v>
      </c>
      <c r="E57" s="34"/>
      <c r="F57" s="34"/>
      <c r="G57" s="34"/>
      <c r="H57" s="34"/>
      <c r="I57" s="34">
        <f t="shared" si="0"/>
        <v>0</v>
      </c>
      <c r="J57" s="66"/>
    </row>
    <row r="58" spans="1:10" ht="19.5" customHeight="1" x14ac:dyDescent="0.25">
      <c r="A58" s="3">
        <v>51</v>
      </c>
      <c r="B58" s="5">
        <f>ESCUADRAS!C57</f>
        <v>0</v>
      </c>
      <c r="C58" s="5" t="e">
        <f>ESCUADRAS!D57</f>
        <v>#REF!</v>
      </c>
      <c r="D58" s="3">
        <f>ESCUADRAS!E57</f>
        <v>0</v>
      </c>
      <c r="E58" s="34"/>
      <c r="F58" s="34"/>
      <c r="G58" s="34"/>
      <c r="H58" s="34"/>
      <c r="I58" s="34">
        <f t="shared" si="0"/>
        <v>0</v>
      </c>
    </row>
    <row r="59" spans="1:10" ht="19.5" customHeight="1" x14ac:dyDescent="0.25">
      <c r="A59" s="3">
        <v>52</v>
      </c>
      <c r="B59" s="5">
        <f>ESCUADRAS!C58</f>
        <v>0</v>
      </c>
      <c r="C59" s="5" t="e">
        <f>ESCUADRAS!D58</f>
        <v>#REF!</v>
      </c>
      <c r="D59" s="3">
        <f>ESCUADRAS!E58</f>
        <v>0</v>
      </c>
      <c r="E59" s="34"/>
      <c r="F59" s="34"/>
      <c r="G59" s="34"/>
      <c r="H59" s="34"/>
      <c r="I59" s="34">
        <f t="shared" si="0"/>
        <v>0</v>
      </c>
    </row>
    <row r="60" spans="1:10" ht="19.5" customHeight="1" x14ac:dyDescent="0.25">
      <c r="A60" s="3">
        <v>53</v>
      </c>
      <c r="B60" s="5">
        <f>ESCUADRAS!C59</f>
        <v>0</v>
      </c>
      <c r="C60" s="5" t="e">
        <f>ESCUADRAS!D59</f>
        <v>#REF!</v>
      </c>
      <c r="D60" s="3">
        <f>ESCUADRAS!E59</f>
        <v>0</v>
      </c>
      <c r="E60" s="34"/>
      <c r="F60" s="34"/>
      <c r="G60" s="34"/>
      <c r="H60" s="34"/>
      <c r="I60" s="34">
        <f t="shared" si="0"/>
        <v>0</v>
      </c>
    </row>
    <row r="61" spans="1:10" ht="19.5" customHeight="1" x14ac:dyDescent="0.25">
      <c r="A61" s="3">
        <v>54</v>
      </c>
      <c r="B61" s="5">
        <f>ESCUADRAS!C60</f>
        <v>0</v>
      </c>
      <c r="C61" s="5" t="e">
        <f>ESCUADRAS!D60</f>
        <v>#REF!</v>
      </c>
      <c r="D61" s="3">
        <f>ESCUADRAS!E60</f>
        <v>0</v>
      </c>
      <c r="E61" s="34"/>
      <c r="F61" s="34"/>
      <c r="G61" s="34"/>
      <c r="H61" s="34"/>
      <c r="I61" s="34">
        <f t="shared" si="0"/>
        <v>0</v>
      </c>
    </row>
    <row r="62" spans="1:10" ht="19.5" customHeight="1" x14ac:dyDescent="0.25">
      <c r="A62" s="3">
        <v>55</v>
      </c>
      <c r="B62" s="5">
        <f>ESCUADRAS!C61</f>
        <v>0</v>
      </c>
      <c r="C62" s="5" t="e">
        <f>ESCUADRAS!D61</f>
        <v>#REF!</v>
      </c>
      <c r="D62" s="3">
        <f>ESCUADRAS!E61</f>
        <v>0</v>
      </c>
      <c r="E62" s="34"/>
      <c r="F62" s="34"/>
      <c r="G62" s="34"/>
      <c r="H62" s="34"/>
      <c r="I62" s="34">
        <f t="shared" si="0"/>
        <v>0</v>
      </c>
    </row>
    <row r="63" spans="1:10" ht="19.5" customHeight="1" x14ac:dyDescent="0.25">
      <c r="A63" s="3">
        <v>56</v>
      </c>
      <c r="B63" s="5">
        <f>ESCUADRAS!C62</f>
        <v>0</v>
      </c>
      <c r="C63" s="5" t="e">
        <f>ESCUADRAS!D62</f>
        <v>#REF!</v>
      </c>
      <c r="D63" s="3">
        <f>ESCUADRAS!E62</f>
        <v>0</v>
      </c>
      <c r="E63" s="34"/>
      <c r="F63" s="34"/>
      <c r="G63" s="34"/>
      <c r="H63" s="34"/>
      <c r="I63" s="34">
        <f t="shared" si="0"/>
        <v>0</v>
      </c>
    </row>
    <row r="64" spans="1:10" ht="19.5" customHeight="1" x14ac:dyDescent="0.25">
      <c r="A64" s="3">
        <v>57</v>
      </c>
      <c r="B64" s="5">
        <f>ESCUADRAS!C63</f>
        <v>0</v>
      </c>
      <c r="C64" s="5" t="e">
        <f>ESCUADRAS!D63</f>
        <v>#REF!</v>
      </c>
      <c r="D64" s="3">
        <f>ESCUADRAS!E63</f>
        <v>0</v>
      </c>
      <c r="E64" s="34"/>
      <c r="F64" s="34"/>
      <c r="G64" s="34"/>
      <c r="H64" s="34"/>
      <c r="I64" s="34">
        <f t="shared" si="0"/>
        <v>0</v>
      </c>
    </row>
    <row r="65" spans="1:9" ht="19.5" customHeight="1" x14ac:dyDescent="0.25">
      <c r="A65" s="3">
        <v>58</v>
      </c>
      <c r="B65" s="5">
        <f>ESCUADRAS!C64</f>
        <v>0</v>
      </c>
      <c r="C65" s="5" t="e">
        <f>ESCUADRAS!D64</f>
        <v>#REF!</v>
      </c>
      <c r="D65" s="3">
        <f>ESCUADRAS!E64</f>
        <v>0</v>
      </c>
      <c r="E65" s="34"/>
      <c r="F65" s="34"/>
      <c r="G65" s="34"/>
      <c r="H65" s="34"/>
      <c r="I65" s="34">
        <f t="shared" si="0"/>
        <v>0</v>
      </c>
    </row>
    <row r="66" spans="1:9" ht="19.5" customHeight="1" x14ac:dyDescent="0.25">
      <c r="A66" s="3">
        <v>59</v>
      </c>
      <c r="B66" s="5">
        <f>ESCUADRAS!C65</f>
        <v>0</v>
      </c>
      <c r="C66" s="5" t="e">
        <f>ESCUADRAS!D65</f>
        <v>#REF!</v>
      </c>
      <c r="D66" s="3">
        <f>ESCUADRAS!E65</f>
        <v>0</v>
      </c>
      <c r="E66" s="34"/>
      <c r="F66" s="34"/>
      <c r="G66" s="34"/>
      <c r="H66" s="34"/>
      <c r="I66" s="34">
        <f t="shared" si="0"/>
        <v>0</v>
      </c>
    </row>
    <row r="67" spans="1:9" ht="19.5" customHeight="1" x14ac:dyDescent="0.25">
      <c r="A67" s="3">
        <v>60</v>
      </c>
      <c r="B67" s="5">
        <f>ESCUADRAS!C66</f>
        <v>0</v>
      </c>
      <c r="C67" s="5" t="e">
        <f>ESCUADRAS!D66</f>
        <v>#REF!</v>
      </c>
      <c r="D67" s="3">
        <f>ESCUADRAS!E66</f>
        <v>0</v>
      </c>
      <c r="E67" s="34"/>
      <c r="F67" s="34"/>
      <c r="G67" s="34"/>
      <c r="H67" s="34"/>
      <c r="I67" s="34">
        <f t="shared" si="0"/>
        <v>0</v>
      </c>
    </row>
    <row r="68" spans="1:9" ht="19.5" customHeight="1" x14ac:dyDescent="0.25">
      <c r="A68" s="3">
        <v>61</v>
      </c>
      <c r="B68" s="5">
        <f>ESCUADRAS!C67</f>
        <v>0</v>
      </c>
      <c r="C68" s="5" t="e">
        <f>ESCUADRAS!D67</f>
        <v>#REF!</v>
      </c>
      <c r="D68" s="3">
        <f>ESCUADRAS!E67</f>
        <v>0</v>
      </c>
      <c r="E68" s="34"/>
      <c r="F68" s="34"/>
      <c r="G68" s="34"/>
      <c r="H68" s="34"/>
      <c r="I68" s="34">
        <f t="shared" si="0"/>
        <v>0</v>
      </c>
    </row>
    <row r="69" spans="1:9" ht="19.5" customHeight="1" x14ac:dyDescent="0.25">
      <c r="A69" s="3">
        <v>62</v>
      </c>
      <c r="B69" s="5">
        <f>ESCUADRAS!C68</f>
        <v>0</v>
      </c>
      <c r="C69" s="5" t="e">
        <f>ESCUADRAS!D68</f>
        <v>#REF!</v>
      </c>
      <c r="D69" s="3">
        <f>ESCUADRAS!E68</f>
        <v>0</v>
      </c>
      <c r="E69" s="34"/>
      <c r="F69" s="34"/>
      <c r="G69" s="34"/>
      <c r="H69" s="34"/>
      <c r="I69" s="34">
        <f t="shared" si="0"/>
        <v>0</v>
      </c>
    </row>
    <row r="70" spans="1:9" ht="19.5" customHeight="1" x14ac:dyDescent="0.25">
      <c r="A70" s="3">
        <v>63</v>
      </c>
      <c r="B70" s="5">
        <f>ESCUADRAS!C69</f>
        <v>0</v>
      </c>
      <c r="C70" s="5" t="e">
        <f>ESCUADRAS!D69</f>
        <v>#REF!</v>
      </c>
      <c r="D70" s="3">
        <f>ESCUADRAS!E69</f>
        <v>0</v>
      </c>
      <c r="E70" s="34"/>
      <c r="F70" s="34"/>
      <c r="G70" s="34"/>
      <c r="H70" s="34"/>
      <c r="I70" s="34">
        <f t="shared" si="0"/>
        <v>0</v>
      </c>
    </row>
    <row r="71" spans="1:9" ht="19.5" customHeight="1" x14ac:dyDescent="0.25">
      <c r="A71" s="3">
        <v>64</v>
      </c>
      <c r="B71" s="5">
        <f>ESCUADRAS!C70</f>
        <v>0</v>
      </c>
      <c r="C71" s="5" t="e">
        <f>ESCUADRAS!D70</f>
        <v>#REF!</v>
      </c>
      <c r="D71" s="3">
        <f>ESCUADRAS!E70</f>
        <v>0</v>
      </c>
      <c r="E71" s="34"/>
      <c r="F71" s="34"/>
      <c r="G71" s="34"/>
      <c r="H71" s="34"/>
      <c r="I71" s="34">
        <f t="shared" si="0"/>
        <v>0</v>
      </c>
    </row>
    <row r="72" spans="1:9" ht="19.5" customHeight="1" x14ac:dyDescent="0.25">
      <c r="A72" s="3">
        <v>65</v>
      </c>
      <c r="B72" s="5">
        <f>ESCUADRAS!C71</f>
        <v>0</v>
      </c>
      <c r="C72" s="5" t="e">
        <f>ESCUADRAS!D71</f>
        <v>#REF!</v>
      </c>
      <c r="D72" s="3">
        <f>ESCUADRAS!E71</f>
        <v>0</v>
      </c>
      <c r="E72" s="34"/>
      <c r="F72" s="34"/>
      <c r="G72" s="34"/>
      <c r="H72" s="34"/>
      <c r="I72" s="34">
        <f t="shared" ref="I72:I135" si="1">SUM(E72:H72)</f>
        <v>0</v>
      </c>
    </row>
    <row r="73" spans="1:9" ht="19.5" customHeight="1" x14ac:dyDescent="0.25">
      <c r="A73" s="3">
        <v>66</v>
      </c>
      <c r="B73" s="5">
        <f>ESCUADRAS!C72</f>
        <v>0</v>
      </c>
      <c r="C73" s="5" t="e">
        <f>ESCUADRAS!D72</f>
        <v>#REF!</v>
      </c>
      <c r="D73" s="3">
        <f>ESCUADRAS!E72</f>
        <v>0</v>
      </c>
      <c r="E73" s="34"/>
      <c r="F73" s="34"/>
      <c r="G73" s="34"/>
      <c r="H73" s="34"/>
      <c r="I73" s="34">
        <f t="shared" si="1"/>
        <v>0</v>
      </c>
    </row>
    <row r="74" spans="1:9" ht="19.5" customHeight="1" x14ac:dyDescent="0.25">
      <c r="A74" s="3">
        <v>67</v>
      </c>
      <c r="B74" s="5">
        <f>ESCUADRAS!C73</f>
        <v>0</v>
      </c>
      <c r="C74" s="5" t="e">
        <f>ESCUADRAS!D73</f>
        <v>#REF!</v>
      </c>
      <c r="D74" s="3">
        <f>ESCUADRAS!E73</f>
        <v>0</v>
      </c>
      <c r="E74" s="34"/>
      <c r="F74" s="34"/>
      <c r="G74" s="34"/>
      <c r="H74" s="34"/>
      <c r="I74" s="34">
        <f t="shared" si="1"/>
        <v>0</v>
      </c>
    </row>
    <row r="75" spans="1:9" ht="19.5" customHeight="1" x14ac:dyDescent="0.25">
      <c r="A75" s="3">
        <v>68</v>
      </c>
      <c r="B75" s="5">
        <f>ESCUADRAS!C74</f>
        <v>0</v>
      </c>
      <c r="C75" s="5" t="e">
        <f>ESCUADRAS!D74</f>
        <v>#REF!</v>
      </c>
      <c r="D75" s="3">
        <f>ESCUADRAS!E74</f>
        <v>0</v>
      </c>
      <c r="E75" s="34"/>
      <c r="F75" s="34"/>
      <c r="G75" s="34"/>
      <c r="H75" s="34"/>
      <c r="I75" s="34">
        <f t="shared" si="1"/>
        <v>0</v>
      </c>
    </row>
    <row r="76" spans="1:9" ht="19.5" customHeight="1" x14ac:dyDescent="0.25">
      <c r="A76" s="3">
        <v>69</v>
      </c>
      <c r="B76" s="5">
        <f>ESCUADRAS!C75</f>
        <v>0</v>
      </c>
      <c r="C76" s="5" t="e">
        <f>ESCUADRAS!D75</f>
        <v>#REF!</v>
      </c>
      <c r="D76" s="3">
        <f>ESCUADRAS!E75</f>
        <v>0</v>
      </c>
      <c r="E76" s="34"/>
      <c r="F76" s="34"/>
      <c r="G76" s="34"/>
      <c r="H76" s="34"/>
      <c r="I76" s="34">
        <f t="shared" si="1"/>
        <v>0</v>
      </c>
    </row>
    <row r="77" spans="1:9" ht="19.5" customHeight="1" x14ac:dyDescent="0.25">
      <c r="A77" s="3">
        <v>70</v>
      </c>
      <c r="B77" s="5">
        <f>ESCUADRAS!C76</f>
        <v>0</v>
      </c>
      <c r="C77" s="5" t="e">
        <f>ESCUADRAS!D76</f>
        <v>#REF!</v>
      </c>
      <c r="D77" s="3">
        <f>ESCUADRAS!E76</f>
        <v>0</v>
      </c>
      <c r="E77" s="34"/>
      <c r="F77" s="34"/>
      <c r="G77" s="34"/>
      <c r="H77" s="34"/>
      <c r="I77" s="34">
        <f t="shared" si="1"/>
        <v>0</v>
      </c>
    </row>
    <row r="78" spans="1:9" ht="19.5" customHeight="1" x14ac:dyDescent="0.25">
      <c r="A78" s="3">
        <v>71</v>
      </c>
      <c r="B78" s="5">
        <f>ESCUADRAS!C77</f>
        <v>0</v>
      </c>
      <c r="C78" s="5" t="e">
        <f>ESCUADRAS!D77</f>
        <v>#REF!</v>
      </c>
      <c r="D78" s="3">
        <f>ESCUADRAS!E77</f>
        <v>0</v>
      </c>
      <c r="E78" s="34"/>
      <c r="F78" s="34"/>
      <c r="G78" s="34"/>
      <c r="H78" s="34"/>
      <c r="I78" s="34">
        <f t="shared" si="1"/>
        <v>0</v>
      </c>
    </row>
    <row r="79" spans="1:9" ht="19.5" customHeight="1" x14ac:dyDescent="0.25">
      <c r="A79" s="3">
        <v>72</v>
      </c>
      <c r="B79" s="5">
        <f>ESCUADRAS!C78</f>
        <v>0</v>
      </c>
      <c r="C79" s="5" t="e">
        <f>ESCUADRAS!D78</f>
        <v>#REF!</v>
      </c>
      <c r="D79" s="3">
        <f>ESCUADRAS!E78</f>
        <v>0</v>
      </c>
      <c r="E79" s="34"/>
      <c r="F79" s="34"/>
      <c r="G79" s="34"/>
      <c r="H79" s="34"/>
      <c r="I79" s="34">
        <f t="shared" si="1"/>
        <v>0</v>
      </c>
    </row>
    <row r="80" spans="1:9" ht="19.5" customHeight="1" x14ac:dyDescent="0.25">
      <c r="A80" s="3">
        <v>73</v>
      </c>
      <c r="B80" s="5">
        <f>ESCUADRAS!C79</f>
        <v>0</v>
      </c>
      <c r="C80" s="5" t="e">
        <f>ESCUADRAS!D79</f>
        <v>#REF!</v>
      </c>
      <c r="D80" s="3">
        <f>ESCUADRAS!E79</f>
        <v>0</v>
      </c>
      <c r="E80" s="34"/>
      <c r="F80" s="34"/>
      <c r="G80" s="34"/>
      <c r="H80" s="34"/>
      <c r="I80" s="34">
        <f t="shared" si="1"/>
        <v>0</v>
      </c>
    </row>
    <row r="81" spans="1:9" ht="19.5" customHeight="1" x14ac:dyDescent="0.25">
      <c r="A81" s="3">
        <v>74</v>
      </c>
      <c r="B81" s="5">
        <f>ESCUADRAS!C80</f>
        <v>0</v>
      </c>
      <c r="C81" s="5" t="e">
        <f>ESCUADRAS!D80</f>
        <v>#REF!</v>
      </c>
      <c r="D81" s="3">
        <f>ESCUADRAS!E80</f>
        <v>0</v>
      </c>
      <c r="E81" s="34"/>
      <c r="F81" s="34"/>
      <c r="G81" s="34"/>
      <c r="H81" s="34"/>
      <c r="I81" s="34">
        <f t="shared" si="1"/>
        <v>0</v>
      </c>
    </row>
    <row r="82" spans="1:9" ht="19.5" customHeight="1" x14ac:dyDescent="0.25">
      <c r="A82" s="3">
        <v>75</v>
      </c>
      <c r="B82" s="5">
        <f>ESCUADRAS!C81</f>
        <v>0</v>
      </c>
      <c r="C82" s="5" t="e">
        <f>ESCUADRAS!D81</f>
        <v>#REF!</v>
      </c>
      <c r="D82" s="3">
        <f>ESCUADRAS!E81</f>
        <v>0</v>
      </c>
      <c r="E82" s="34"/>
      <c r="F82" s="34"/>
      <c r="G82" s="34"/>
      <c r="H82" s="34"/>
      <c r="I82" s="34">
        <f t="shared" si="1"/>
        <v>0</v>
      </c>
    </row>
    <row r="83" spans="1:9" ht="19.5" customHeight="1" x14ac:dyDescent="0.25">
      <c r="A83" s="3">
        <v>76</v>
      </c>
      <c r="B83" s="5">
        <f>ESCUADRAS!C82</f>
        <v>0</v>
      </c>
      <c r="C83" s="5" t="e">
        <f>ESCUADRAS!D82</f>
        <v>#REF!</v>
      </c>
      <c r="D83" s="3">
        <f>ESCUADRAS!E82</f>
        <v>0</v>
      </c>
      <c r="E83" s="34"/>
      <c r="F83" s="34"/>
      <c r="G83" s="34"/>
      <c r="H83" s="34"/>
      <c r="I83" s="34">
        <f t="shared" si="1"/>
        <v>0</v>
      </c>
    </row>
    <row r="84" spans="1:9" ht="19.5" customHeight="1" x14ac:dyDescent="0.25">
      <c r="A84" s="3">
        <v>77</v>
      </c>
      <c r="B84" s="5">
        <f>ESCUADRAS!C83</f>
        <v>0</v>
      </c>
      <c r="C84" s="5" t="e">
        <f>ESCUADRAS!D83</f>
        <v>#REF!</v>
      </c>
      <c r="D84" s="3">
        <f>ESCUADRAS!E83</f>
        <v>0</v>
      </c>
      <c r="E84" s="34"/>
      <c r="F84" s="34"/>
      <c r="G84" s="34"/>
      <c r="H84" s="34"/>
      <c r="I84" s="34">
        <f t="shared" si="1"/>
        <v>0</v>
      </c>
    </row>
    <row r="85" spans="1:9" ht="19.5" customHeight="1" x14ac:dyDescent="0.25">
      <c r="A85" s="3">
        <v>78</v>
      </c>
      <c r="B85" s="5">
        <f>ESCUADRAS!C84</f>
        <v>0</v>
      </c>
      <c r="C85" s="5" t="e">
        <f>ESCUADRAS!D84</f>
        <v>#REF!</v>
      </c>
      <c r="D85" s="3">
        <f>ESCUADRAS!E84</f>
        <v>0</v>
      </c>
      <c r="E85" s="34"/>
      <c r="F85" s="34"/>
      <c r="G85" s="34"/>
      <c r="H85" s="34"/>
      <c r="I85" s="34">
        <f t="shared" si="1"/>
        <v>0</v>
      </c>
    </row>
    <row r="86" spans="1:9" ht="19.5" customHeight="1" x14ac:dyDescent="0.25">
      <c r="A86" s="3">
        <v>79</v>
      </c>
      <c r="B86" s="5">
        <f>ESCUADRAS!C85</f>
        <v>0</v>
      </c>
      <c r="C86" s="5" t="e">
        <f>ESCUADRAS!D85</f>
        <v>#REF!</v>
      </c>
      <c r="D86" s="3">
        <f>ESCUADRAS!E85</f>
        <v>0</v>
      </c>
      <c r="E86" s="34"/>
      <c r="F86" s="34"/>
      <c r="G86" s="34"/>
      <c r="H86" s="34"/>
      <c r="I86" s="34">
        <f t="shared" si="1"/>
        <v>0</v>
      </c>
    </row>
    <row r="87" spans="1:9" ht="19.5" customHeight="1" x14ac:dyDescent="0.25">
      <c r="A87" s="3">
        <v>80</v>
      </c>
      <c r="B87" s="5">
        <f>ESCUADRAS!C86</f>
        <v>0</v>
      </c>
      <c r="C87" s="5" t="e">
        <f>ESCUADRAS!D86</f>
        <v>#REF!</v>
      </c>
      <c r="D87" s="3">
        <f>ESCUADRAS!E86</f>
        <v>0</v>
      </c>
      <c r="E87" s="34"/>
      <c r="F87" s="34"/>
      <c r="G87" s="34"/>
      <c r="H87" s="34"/>
      <c r="I87" s="34">
        <f t="shared" si="1"/>
        <v>0</v>
      </c>
    </row>
    <row r="88" spans="1:9" ht="19.5" customHeight="1" x14ac:dyDescent="0.25">
      <c r="A88" s="3">
        <v>81</v>
      </c>
      <c r="B88" s="5">
        <f>ESCUADRAS!C87</f>
        <v>0</v>
      </c>
      <c r="C88" s="5" t="e">
        <f>ESCUADRAS!D87</f>
        <v>#REF!</v>
      </c>
      <c r="D88" s="3">
        <f>ESCUADRAS!E87</f>
        <v>0</v>
      </c>
      <c r="E88" s="34"/>
      <c r="F88" s="34"/>
      <c r="G88" s="34"/>
      <c r="H88" s="34"/>
      <c r="I88" s="34">
        <f t="shared" si="1"/>
        <v>0</v>
      </c>
    </row>
    <row r="89" spans="1:9" ht="19.5" customHeight="1" x14ac:dyDescent="0.25">
      <c r="A89" s="3">
        <v>82</v>
      </c>
      <c r="B89" s="5">
        <f>ESCUADRAS!C88</f>
        <v>0</v>
      </c>
      <c r="C89" s="5" t="e">
        <f>ESCUADRAS!D88</f>
        <v>#REF!</v>
      </c>
      <c r="D89" s="3">
        <f>ESCUADRAS!E88</f>
        <v>0</v>
      </c>
      <c r="E89" s="34"/>
      <c r="F89" s="34"/>
      <c r="G89" s="34"/>
      <c r="H89" s="34"/>
      <c r="I89" s="34">
        <f t="shared" si="1"/>
        <v>0</v>
      </c>
    </row>
    <row r="90" spans="1:9" ht="19.5" customHeight="1" x14ac:dyDescent="0.25">
      <c r="A90" s="3">
        <v>83</v>
      </c>
      <c r="B90" s="5">
        <f>ESCUADRAS!C89</f>
        <v>0</v>
      </c>
      <c r="C90" s="5" t="e">
        <f>ESCUADRAS!D89</f>
        <v>#REF!</v>
      </c>
      <c r="D90" s="3">
        <f>ESCUADRAS!E89</f>
        <v>0</v>
      </c>
      <c r="E90" s="34"/>
      <c r="F90" s="34"/>
      <c r="G90" s="34"/>
      <c r="H90" s="34"/>
      <c r="I90" s="34">
        <f t="shared" si="1"/>
        <v>0</v>
      </c>
    </row>
    <row r="91" spans="1:9" ht="19.5" customHeight="1" x14ac:dyDescent="0.25">
      <c r="A91" s="3">
        <v>84</v>
      </c>
      <c r="B91" s="5">
        <f>ESCUADRAS!C90</f>
        <v>0</v>
      </c>
      <c r="C91" s="5" t="e">
        <f>ESCUADRAS!D90</f>
        <v>#REF!</v>
      </c>
      <c r="D91" s="3">
        <f>ESCUADRAS!E90</f>
        <v>0</v>
      </c>
      <c r="E91" s="34"/>
      <c r="F91" s="34"/>
      <c r="G91" s="34"/>
      <c r="H91" s="34"/>
      <c r="I91" s="34">
        <f t="shared" si="1"/>
        <v>0</v>
      </c>
    </row>
    <row r="92" spans="1:9" ht="19.5" customHeight="1" x14ac:dyDescent="0.25">
      <c r="A92" s="3">
        <v>85</v>
      </c>
      <c r="B92" s="5">
        <f>ESCUADRAS!C91</f>
        <v>0</v>
      </c>
      <c r="C92" s="5" t="e">
        <f>ESCUADRAS!D91</f>
        <v>#REF!</v>
      </c>
      <c r="D92" s="3">
        <f>ESCUADRAS!E91</f>
        <v>0</v>
      </c>
      <c r="E92" s="34"/>
      <c r="F92" s="34"/>
      <c r="G92" s="34"/>
      <c r="H92" s="34"/>
      <c r="I92" s="34">
        <f t="shared" si="1"/>
        <v>0</v>
      </c>
    </row>
    <row r="93" spans="1:9" ht="19.5" customHeight="1" x14ac:dyDescent="0.25">
      <c r="A93" s="3">
        <v>86</v>
      </c>
      <c r="B93" s="5">
        <f>ESCUADRAS!C92</f>
        <v>0</v>
      </c>
      <c r="C93" s="5" t="e">
        <f>ESCUADRAS!D92</f>
        <v>#REF!</v>
      </c>
      <c r="D93" s="3">
        <f>ESCUADRAS!E92</f>
        <v>0</v>
      </c>
      <c r="E93" s="34"/>
      <c r="F93" s="34"/>
      <c r="G93" s="34"/>
      <c r="H93" s="34"/>
      <c r="I93" s="34">
        <f t="shared" si="1"/>
        <v>0</v>
      </c>
    </row>
    <row r="94" spans="1:9" ht="19.5" customHeight="1" x14ac:dyDescent="0.25">
      <c r="A94" s="3">
        <v>87</v>
      </c>
      <c r="B94" s="5">
        <f>ESCUADRAS!C93</f>
        <v>0</v>
      </c>
      <c r="C94" s="5" t="e">
        <f>ESCUADRAS!D93</f>
        <v>#REF!</v>
      </c>
      <c r="D94" s="3">
        <f>ESCUADRAS!E93</f>
        <v>0</v>
      </c>
      <c r="E94" s="34"/>
      <c r="F94" s="34"/>
      <c r="G94" s="34"/>
      <c r="H94" s="34"/>
      <c r="I94" s="34">
        <f t="shared" si="1"/>
        <v>0</v>
      </c>
    </row>
    <row r="95" spans="1:9" ht="19.5" customHeight="1" x14ac:dyDescent="0.25">
      <c r="A95" s="3">
        <v>88</v>
      </c>
      <c r="B95" s="5">
        <f>ESCUADRAS!C94</f>
        <v>0</v>
      </c>
      <c r="C95" s="5" t="e">
        <f>ESCUADRAS!D94</f>
        <v>#REF!</v>
      </c>
      <c r="D95" s="3">
        <f>ESCUADRAS!E94</f>
        <v>0</v>
      </c>
      <c r="E95" s="34"/>
      <c r="F95" s="34"/>
      <c r="G95" s="34"/>
      <c r="H95" s="34"/>
      <c r="I95" s="34">
        <f t="shared" si="1"/>
        <v>0</v>
      </c>
    </row>
    <row r="96" spans="1:9" ht="19.5" customHeight="1" x14ac:dyDescent="0.25">
      <c r="A96" s="3">
        <v>89</v>
      </c>
      <c r="B96" s="5">
        <f>ESCUADRAS!C95</f>
        <v>0</v>
      </c>
      <c r="C96" s="5" t="e">
        <f>ESCUADRAS!D95</f>
        <v>#REF!</v>
      </c>
      <c r="D96" s="3">
        <f>ESCUADRAS!E95</f>
        <v>0</v>
      </c>
      <c r="E96" s="34"/>
      <c r="F96" s="34"/>
      <c r="G96" s="34"/>
      <c r="H96" s="34"/>
      <c r="I96" s="34">
        <f t="shared" si="1"/>
        <v>0</v>
      </c>
    </row>
    <row r="97" spans="1:9" ht="19.5" customHeight="1" x14ac:dyDescent="0.25">
      <c r="A97" s="3">
        <v>90</v>
      </c>
      <c r="B97" s="5">
        <f>ESCUADRAS!C96</f>
        <v>0</v>
      </c>
      <c r="C97" s="5" t="e">
        <f>ESCUADRAS!D96</f>
        <v>#REF!</v>
      </c>
      <c r="D97" s="3">
        <f>ESCUADRAS!E96</f>
        <v>0</v>
      </c>
      <c r="E97" s="34"/>
      <c r="F97" s="34"/>
      <c r="G97" s="34"/>
      <c r="H97" s="34"/>
      <c r="I97" s="34">
        <f t="shared" si="1"/>
        <v>0</v>
      </c>
    </row>
    <row r="98" spans="1:9" ht="19.5" customHeight="1" x14ac:dyDescent="0.25">
      <c r="A98" s="3">
        <v>91</v>
      </c>
      <c r="B98" s="5">
        <f>ESCUADRAS!C97</f>
        <v>0</v>
      </c>
      <c r="C98" s="5" t="e">
        <f>ESCUADRAS!D97</f>
        <v>#REF!</v>
      </c>
      <c r="D98" s="3">
        <f>ESCUADRAS!E97</f>
        <v>0</v>
      </c>
      <c r="E98" s="34"/>
      <c r="F98" s="34"/>
      <c r="G98" s="34"/>
      <c r="H98" s="34"/>
      <c r="I98" s="34">
        <f t="shared" si="1"/>
        <v>0</v>
      </c>
    </row>
    <row r="99" spans="1:9" ht="19.5" customHeight="1" x14ac:dyDescent="0.25">
      <c r="A99" s="3">
        <v>92</v>
      </c>
      <c r="B99" s="5">
        <f>ESCUADRAS!C98</f>
        <v>0</v>
      </c>
      <c r="C99" s="5" t="e">
        <f>ESCUADRAS!D98</f>
        <v>#REF!</v>
      </c>
      <c r="D99" s="3">
        <f>ESCUADRAS!E98</f>
        <v>0</v>
      </c>
      <c r="E99" s="34"/>
      <c r="F99" s="34"/>
      <c r="G99" s="34"/>
      <c r="H99" s="34"/>
      <c r="I99" s="34">
        <f t="shared" si="1"/>
        <v>0</v>
      </c>
    </row>
    <row r="100" spans="1:9" ht="19.5" customHeight="1" x14ac:dyDescent="0.25">
      <c r="A100" s="3">
        <v>93</v>
      </c>
      <c r="B100" s="5">
        <f>ESCUADRAS!C99</f>
        <v>0</v>
      </c>
      <c r="C100" s="5" t="e">
        <f>ESCUADRAS!D99</f>
        <v>#REF!</v>
      </c>
      <c r="D100" s="3">
        <f>ESCUADRAS!E99</f>
        <v>0</v>
      </c>
      <c r="E100" s="34"/>
      <c r="F100" s="34"/>
      <c r="G100" s="34"/>
      <c r="H100" s="34"/>
      <c r="I100" s="34">
        <f t="shared" si="1"/>
        <v>0</v>
      </c>
    </row>
    <row r="101" spans="1:9" ht="19.5" customHeight="1" x14ac:dyDescent="0.25">
      <c r="A101" s="3">
        <v>94</v>
      </c>
      <c r="B101" s="5">
        <f>ESCUADRAS!C100</f>
        <v>0</v>
      </c>
      <c r="C101" s="5" t="e">
        <f>ESCUADRAS!D100</f>
        <v>#REF!</v>
      </c>
      <c r="D101" s="3">
        <f>ESCUADRAS!E100</f>
        <v>0</v>
      </c>
      <c r="E101" s="34"/>
      <c r="F101" s="34"/>
      <c r="G101" s="34"/>
      <c r="H101" s="34"/>
      <c r="I101" s="34">
        <f t="shared" si="1"/>
        <v>0</v>
      </c>
    </row>
    <row r="102" spans="1:9" ht="19.5" customHeight="1" x14ac:dyDescent="0.25">
      <c r="A102" s="3">
        <v>95</v>
      </c>
      <c r="B102" s="5">
        <f>ESCUADRAS!C101</f>
        <v>0</v>
      </c>
      <c r="C102" s="5" t="e">
        <f>ESCUADRAS!D101</f>
        <v>#REF!</v>
      </c>
      <c r="D102" s="3">
        <f>ESCUADRAS!E101</f>
        <v>0</v>
      </c>
      <c r="E102" s="34"/>
      <c r="F102" s="34"/>
      <c r="G102" s="34"/>
      <c r="H102" s="34"/>
      <c r="I102" s="34">
        <f t="shared" si="1"/>
        <v>0</v>
      </c>
    </row>
    <row r="103" spans="1:9" ht="19.5" customHeight="1" x14ac:dyDescent="0.25">
      <c r="A103" s="3">
        <v>96</v>
      </c>
      <c r="B103" s="5">
        <f>ESCUADRAS!C102</f>
        <v>0</v>
      </c>
      <c r="C103" s="5" t="e">
        <f>ESCUADRAS!D102</f>
        <v>#REF!</v>
      </c>
      <c r="D103" s="3">
        <f>ESCUADRAS!E102</f>
        <v>0</v>
      </c>
      <c r="E103" s="34"/>
      <c r="F103" s="34"/>
      <c r="G103" s="34"/>
      <c r="H103" s="34"/>
      <c r="I103" s="34">
        <f t="shared" si="1"/>
        <v>0</v>
      </c>
    </row>
    <row r="104" spans="1:9" ht="19.5" customHeight="1" x14ac:dyDescent="0.25">
      <c r="A104" s="3">
        <v>97</v>
      </c>
      <c r="B104" s="5">
        <f>ESCUADRAS!C103</f>
        <v>0</v>
      </c>
      <c r="C104" s="5" t="e">
        <f>ESCUADRAS!D103</f>
        <v>#REF!</v>
      </c>
      <c r="D104" s="3">
        <f>ESCUADRAS!E103</f>
        <v>0</v>
      </c>
      <c r="E104" s="34"/>
      <c r="F104" s="34"/>
      <c r="G104" s="34"/>
      <c r="H104" s="34"/>
      <c r="I104" s="34">
        <f t="shared" si="1"/>
        <v>0</v>
      </c>
    </row>
    <row r="105" spans="1:9" ht="19.5" customHeight="1" x14ac:dyDescent="0.25">
      <c r="A105" s="3">
        <v>98</v>
      </c>
      <c r="B105" s="5">
        <f>ESCUADRAS!C104</f>
        <v>0</v>
      </c>
      <c r="C105" s="5" t="e">
        <f>ESCUADRAS!D104</f>
        <v>#REF!</v>
      </c>
      <c r="D105" s="3">
        <f>ESCUADRAS!E104</f>
        <v>0</v>
      </c>
      <c r="E105" s="34"/>
      <c r="F105" s="34"/>
      <c r="G105" s="34"/>
      <c r="H105" s="34"/>
      <c r="I105" s="34">
        <f t="shared" si="1"/>
        <v>0</v>
      </c>
    </row>
    <row r="106" spans="1:9" ht="19.5" customHeight="1" x14ac:dyDescent="0.25">
      <c r="A106" s="3">
        <v>99</v>
      </c>
      <c r="B106" s="5">
        <f>ESCUADRAS!C105</f>
        <v>0</v>
      </c>
      <c r="C106" s="5" t="e">
        <f>ESCUADRAS!D105</f>
        <v>#REF!</v>
      </c>
      <c r="D106" s="3">
        <f>ESCUADRAS!E105</f>
        <v>0</v>
      </c>
      <c r="E106" s="34"/>
      <c r="F106" s="34"/>
      <c r="G106" s="34"/>
      <c r="H106" s="34"/>
      <c r="I106" s="34">
        <f t="shared" si="1"/>
        <v>0</v>
      </c>
    </row>
    <row r="107" spans="1:9" ht="19.5" customHeight="1" x14ac:dyDescent="0.25">
      <c r="A107" s="3">
        <v>100</v>
      </c>
      <c r="B107" s="5">
        <f>ESCUADRAS!C106</f>
        <v>0</v>
      </c>
      <c r="C107" s="5" t="e">
        <f>ESCUADRAS!D106</f>
        <v>#REF!</v>
      </c>
      <c r="D107" s="3">
        <f>ESCUADRAS!E106</f>
        <v>0</v>
      </c>
      <c r="E107" s="34"/>
      <c r="F107" s="34"/>
      <c r="G107" s="34"/>
      <c r="H107" s="34"/>
      <c r="I107" s="34">
        <f t="shared" si="1"/>
        <v>0</v>
      </c>
    </row>
    <row r="108" spans="1:9" ht="19.5" customHeight="1" x14ac:dyDescent="0.25">
      <c r="A108" s="3">
        <v>101</v>
      </c>
      <c r="B108" s="5">
        <f>ESCUADRAS!C107</f>
        <v>0</v>
      </c>
      <c r="C108" s="5" t="e">
        <f>ESCUADRAS!D107</f>
        <v>#REF!</v>
      </c>
      <c r="D108" s="3">
        <f>ESCUADRAS!E107</f>
        <v>0</v>
      </c>
      <c r="E108" s="34"/>
      <c r="F108" s="34"/>
      <c r="G108" s="34"/>
      <c r="H108" s="34"/>
      <c r="I108" s="34">
        <f t="shared" si="1"/>
        <v>0</v>
      </c>
    </row>
    <row r="109" spans="1:9" ht="19.5" customHeight="1" x14ac:dyDescent="0.25">
      <c r="A109" s="3">
        <v>102</v>
      </c>
      <c r="B109" s="5">
        <f>ESCUADRAS!C108</f>
        <v>0</v>
      </c>
      <c r="C109" s="5" t="e">
        <f>ESCUADRAS!D108</f>
        <v>#REF!</v>
      </c>
      <c r="D109" s="3">
        <f>ESCUADRAS!E108</f>
        <v>0</v>
      </c>
      <c r="E109" s="34"/>
      <c r="F109" s="34"/>
      <c r="G109" s="34"/>
      <c r="H109" s="34"/>
      <c r="I109" s="34">
        <f t="shared" si="1"/>
        <v>0</v>
      </c>
    </row>
    <row r="110" spans="1:9" ht="19.5" customHeight="1" x14ac:dyDescent="0.25">
      <c r="A110" s="3">
        <v>103</v>
      </c>
      <c r="B110" s="5">
        <f>ESCUADRAS!C109</f>
        <v>0</v>
      </c>
      <c r="C110" s="5" t="e">
        <f>ESCUADRAS!D109</f>
        <v>#REF!</v>
      </c>
      <c r="D110" s="3">
        <f>ESCUADRAS!E109</f>
        <v>0</v>
      </c>
      <c r="E110" s="34"/>
      <c r="F110" s="34"/>
      <c r="G110" s="34"/>
      <c r="H110" s="34"/>
      <c r="I110" s="34">
        <f t="shared" si="1"/>
        <v>0</v>
      </c>
    </row>
    <row r="111" spans="1:9" ht="19.5" customHeight="1" x14ac:dyDescent="0.25">
      <c r="A111" s="3">
        <v>104</v>
      </c>
      <c r="B111" s="5">
        <f>ESCUADRAS!C110</f>
        <v>0</v>
      </c>
      <c r="C111" s="5" t="e">
        <f>ESCUADRAS!D110</f>
        <v>#REF!</v>
      </c>
      <c r="D111" s="3">
        <f>ESCUADRAS!E110</f>
        <v>0</v>
      </c>
      <c r="E111" s="34"/>
      <c r="F111" s="34"/>
      <c r="G111" s="34"/>
      <c r="H111" s="34"/>
      <c r="I111" s="34">
        <f t="shared" si="1"/>
        <v>0</v>
      </c>
    </row>
    <row r="112" spans="1:9" ht="19.5" customHeight="1" x14ac:dyDescent="0.25">
      <c r="A112" s="3">
        <v>105</v>
      </c>
      <c r="B112" s="5">
        <f>ESCUADRAS!C111</f>
        <v>0</v>
      </c>
      <c r="C112" s="5" t="e">
        <f>ESCUADRAS!D111</f>
        <v>#REF!</v>
      </c>
      <c r="D112" s="3">
        <f>ESCUADRAS!E111</f>
        <v>0</v>
      </c>
      <c r="E112" s="34"/>
      <c r="F112" s="34"/>
      <c r="G112" s="34"/>
      <c r="H112" s="34"/>
      <c r="I112" s="34">
        <f t="shared" si="1"/>
        <v>0</v>
      </c>
    </row>
    <row r="113" spans="1:9" ht="19.5" customHeight="1" x14ac:dyDescent="0.25">
      <c r="A113" s="3">
        <v>106</v>
      </c>
      <c r="B113" s="5">
        <f>ESCUADRAS!C112</f>
        <v>0</v>
      </c>
      <c r="C113" s="5" t="e">
        <f>ESCUADRAS!D112</f>
        <v>#REF!</v>
      </c>
      <c r="D113" s="3">
        <f>ESCUADRAS!E112</f>
        <v>0</v>
      </c>
      <c r="E113" s="34"/>
      <c r="F113" s="34"/>
      <c r="G113" s="34"/>
      <c r="H113" s="34"/>
      <c r="I113" s="34">
        <f t="shared" si="1"/>
        <v>0</v>
      </c>
    </row>
    <row r="114" spans="1:9" ht="19.5" customHeight="1" x14ac:dyDescent="0.25">
      <c r="A114" s="3">
        <v>107</v>
      </c>
      <c r="B114" s="5">
        <f>ESCUADRAS!C113</f>
        <v>0</v>
      </c>
      <c r="C114" s="5" t="e">
        <f>ESCUADRAS!D113</f>
        <v>#REF!</v>
      </c>
      <c r="D114" s="3">
        <f>ESCUADRAS!E113</f>
        <v>0</v>
      </c>
      <c r="E114" s="34"/>
      <c r="F114" s="34"/>
      <c r="G114" s="34"/>
      <c r="H114" s="34"/>
      <c r="I114" s="34">
        <f t="shared" si="1"/>
        <v>0</v>
      </c>
    </row>
    <row r="115" spans="1:9" ht="19.5" customHeight="1" x14ac:dyDescent="0.25">
      <c r="A115" s="3">
        <v>108</v>
      </c>
      <c r="B115" s="5">
        <f>ESCUADRAS!C114</f>
        <v>0</v>
      </c>
      <c r="C115" s="5" t="e">
        <f>ESCUADRAS!D114</f>
        <v>#REF!</v>
      </c>
      <c r="D115" s="3">
        <f>ESCUADRAS!E114</f>
        <v>0</v>
      </c>
      <c r="E115" s="34"/>
      <c r="F115" s="34"/>
      <c r="G115" s="34"/>
      <c r="H115" s="34"/>
      <c r="I115" s="34">
        <f t="shared" si="1"/>
        <v>0</v>
      </c>
    </row>
    <row r="116" spans="1:9" ht="19.5" customHeight="1" x14ac:dyDescent="0.25">
      <c r="A116" s="3">
        <v>109</v>
      </c>
      <c r="B116" s="5">
        <f>ESCUADRAS!C115</f>
        <v>0</v>
      </c>
      <c r="C116" s="5" t="e">
        <f>ESCUADRAS!D115</f>
        <v>#REF!</v>
      </c>
      <c r="D116" s="3">
        <f>ESCUADRAS!E115</f>
        <v>0</v>
      </c>
      <c r="E116" s="34"/>
      <c r="F116" s="34"/>
      <c r="G116" s="34"/>
      <c r="H116" s="34"/>
      <c r="I116" s="34">
        <f t="shared" si="1"/>
        <v>0</v>
      </c>
    </row>
    <row r="117" spans="1:9" ht="19.5" customHeight="1" x14ac:dyDescent="0.25">
      <c r="A117" s="3">
        <v>110</v>
      </c>
      <c r="B117" s="5">
        <f>ESCUADRAS!C116</f>
        <v>0</v>
      </c>
      <c r="C117" s="5" t="e">
        <f>ESCUADRAS!D116</f>
        <v>#REF!</v>
      </c>
      <c r="D117" s="3">
        <f>ESCUADRAS!E116</f>
        <v>0</v>
      </c>
      <c r="E117" s="34"/>
      <c r="F117" s="34"/>
      <c r="G117" s="34"/>
      <c r="H117" s="34"/>
      <c r="I117" s="34">
        <f t="shared" si="1"/>
        <v>0</v>
      </c>
    </row>
    <row r="118" spans="1:9" ht="19.5" customHeight="1" x14ac:dyDescent="0.25">
      <c r="A118" s="3">
        <v>111</v>
      </c>
      <c r="B118" s="5">
        <f>ESCUADRAS!C117</f>
        <v>0</v>
      </c>
      <c r="C118" s="5" t="e">
        <f>ESCUADRAS!D117</f>
        <v>#REF!</v>
      </c>
      <c r="D118" s="3">
        <f>ESCUADRAS!E117</f>
        <v>0</v>
      </c>
      <c r="E118" s="34"/>
      <c r="F118" s="34"/>
      <c r="G118" s="34"/>
      <c r="H118" s="34"/>
      <c r="I118" s="34">
        <f t="shared" si="1"/>
        <v>0</v>
      </c>
    </row>
    <row r="119" spans="1:9" ht="19.5" customHeight="1" x14ac:dyDescent="0.25">
      <c r="A119" s="3">
        <v>112</v>
      </c>
      <c r="B119" s="5">
        <f>ESCUADRAS!C118</f>
        <v>0</v>
      </c>
      <c r="C119" s="5" t="e">
        <f>ESCUADRAS!D118</f>
        <v>#REF!</v>
      </c>
      <c r="D119" s="3">
        <f>ESCUADRAS!E118</f>
        <v>0</v>
      </c>
      <c r="E119" s="34"/>
      <c r="F119" s="34"/>
      <c r="G119" s="34"/>
      <c r="H119" s="34"/>
      <c r="I119" s="34">
        <f t="shared" si="1"/>
        <v>0</v>
      </c>
    </row>
    <row r="120" spans="1:9" ht="19.5" customHeight="1" x14ac:dyDescent="0.25">
      <c r="A120" s="3">
        <v>113</v>
      </c>
      <c r="B120" s="5">
        <f>ESCUADRAS!C119</f>
        <v>0</v>
      </c>
      <c r="C120" s="5" t="e">
        <f>ESCUADRAS!D119</f>
        <v>#REF!</v>
      </c>
      <c r="D120" s="3">
        <f>ESCUADRAS!E119</f>
        <v>0</v>
      </c>
      <c r="E120" s="34"/>
      <c r="F120" s="34"/>
      <c r="G120" s="34"/>
      <c r="H120" s="34"/>
      <c r="I120" s="34">
        <f t="shared" si="1"/>
        <v>0</v>
      </c>
    </row>
    <row r="121" spans="1:9" ht="19.5" customHeight="1" x14ac:dyDescent="0.25">
      <c r="A121" s="3">
        <v>114</v>
      </c>
      <c r="B121" s="5">
        <f>ESCUADRAS!C120</f>
        <v>0</v>
      </c>
      <c r="C121" s="5" t="e">
        <f>ESCUADRAS!D120</f>
        <v>#REF!</v>
      </c>
      <c r="D121" s="3">
        <f>ESCUADRAS!E120</f>
        <v>0</v>
      </c>
      <c r="E121" s="34"/>
      <c r="F121" s="34"/>
      <c r="G121" s="34"/>
      <c r="H121" s="34"/>
      <c r="I121" s="34">
        <f t="shared" si="1"/>
        <v>0</v>
      </c>
    </row>
    <row r="122" spans="1:9" ht="19.5" customHeight="1" x14ac:dyDescent="0.25">
      <c r="A122" s="3">
        <v>115</v>
      </c>
      <c r="B122" s="5">
        <f>ESCUADRAS!C121</f>
        <v>0</v>
      </c>
      <c r="C122" s="5" t="e">
        <f>ESCUADRAS!D121</f>
        <v>#REF!</v>
      </c>
      <c r="D122" s="3">
        <f>ESCUADRAS!E121</f>
        <v>0</v>
      </c>
      <c r="E122" s="34"/>
      <c r="F122" s="34"/>
      <c r="G122" s="34"/>
      <c r="H122" s="34"/>
      <c r="I122" s="34">
        <f t="shared" si="1"/>
        <v>0</v>
      </c>
    </row>
    <row r="123" spans="1:9" ht="19.5" customHeight="1" x14ac:dyDescent="0.25">
      <c r="A123" s="3">
        <v>116</v>
      </c>
      <c r="B123" s="5">
        <f>ESCUADRAS!C122</f>
        <v>0</v>
      </c>
      <c r="C123" s="5" t="e">
        <f>ESCUADRAS!D122</f>
        <v>#REF!</v>
      </c>
      <c r="D123" s="3">
        <f>ESCUADRAS!E122</f>
        <v>0</v>
      </c>
      <c r="E123" s="34"/>
      <c r="F123" s="34"/>
      <c r="G123" s="34"/>
      <c r="H123" s="34"/>
      <c r="I123" s="34">
        <f t="shared" si="1"/>
        <v>0</v>
      </c>
    </row>
    <row r="124" spans="1:9" ht="19.5" customHeight="1" x14ac:dyDescent="0.25">
      <c r="A124" s="3">
        <v>117</v>
      </c>
      <c r="B124" s="5">
        <f>ESCUADRAS!C123</f>
        <v>0</v>
      </c>
      <c r="C124" s="5" t="e">
        <f>ESCUADRAS!D123</f>
        <v>#REF!</v>
      </c>
      <c r="D124" s="3">
        <f>ESCUADRAS!E123</f>
        <v>0</v>
      </c>
      <c r="E124" s="34"/>
      <c r="F124" s="34"/>
      <c r="G124" s="34"/>
      <c r="H124" s="34"/>
      <c r="I124" s="34">
        <f t="shared" si="1"/>
        <v>0</v>
      </c>
    </row>
    <row r="125" spans="1:9" ht="19.5" customHeight="1" x14ac:dyDescent="0.25">
      <c r="A125" s="3">
        <v>118</v>
      </c>
      <c r="B125" s="5">
        <f>ESCUADRAS!C124</f>
        <v>0</v>
      </c>
      <c r="C125" s="5" t="e">
        <f>ESCUADRAS!D124</f>
        <v>#REF!</v>
      </c>
      <c r="D125" s="3">
        <f>ESCUADRAS!E124</f>
        <v>0</v>
      </c>
      <c r="E125" s="34"/>
      <c r="F125" s="34"/>
      <c r="G125" s="34"/>
      <c r="H125" s="34"/>
      <c r="I125" s="34">
        <f t="shared" si="1"/>
        <v>0</v>
      </c>
    </row>
    <row r="126" spans="1:9" ht="19.5" customHeight="1" x14ac:dyDescent="0.25">
      <c r="A126" s="3">
        <v>119</v>
      </c>
      <c r="B126" s="5">
        <f>ESCUADRAS!C125</f>
        <v>0</v>
      </c>
      <c r="C126" s="5" t="e">
        <f>ESCUADRAS!D125</f>
        <v>#REF!</v>
      </c>
      <c r="D126" s="3">
        <f>ESCUADRAS!E125</f>
        <v>0</v>
      </c>
      <c r="E126" s="34"/>
      <c r="F126" s="34"/>
      <c r="G126" s="34"/>
      <c r="H126" s="34"/>
      <c r="I126" s="34">
        <f t="shared" si="1"/>
        <v>0</v>
      </c>
    </row>
    <row r="127" spans="1:9" ht="19.5" customHeight="1" x14ac:dyDescent="0.25">
      <c r="A127" s="3">
        <v>120</v>
      </c>
      <c r="B127" s="5">
        <f>ESCUADRAS!C126</f>
        <v>0</v>
      </c>
      <c r="C127" s="5" t="e">
        <f>ESCUADRAS!D126</f>
        <v>#REF!</v>
      </c>
      <c r="D127" s="3">
        <f>ESCUADRAS!E126</f>
        <v>0</v>
      </c>
      <c r="E127" s="34"/>
      <c r="F127" s="34"/>
      <c r="G127" s="34"/>
      <c r="H127" s="34"/>
      <c r="I127" s="34">
        <f t="shared" si="1"/>
        <v>0</v>
      </c>
    </row>
    <row r="128" spans="1:9" ht="19.5" customHeight="1" x14ac:dyDescent="0.25">
      <c r="A128" s="3">
        <v>121</v>
      </c>
      <c r="B128" s="5">
        <f>ESCUADRAS!C127</f>
        <v>0</v>
      </c>
      <c r="C128" s="5" t="e">
        <f>ESCUADRAS!D127</f>
        <v>#REF!</v>
      </c>
      <c r="D128" s="3">
        <f>ESCUADRAS!E127</f>
        <v>0</v>
      </c>
      <c r="E128" s="34"/>
      <c r="F128" s="34"/>
      <c r="G128" s="34"/>
      <c r="H128" s="34"/>
      <c r="I128" s="34">
        <f t="shared" si="1"/>
        <v>0</v>
      </c>
    </row>
    <row r="129" spans="1:9" ht="19.5" customHeight="1" x14ac:dyDescent="0.25">
      <c r="A129" s="3">
        <v>122</v>
      </c>
      <c r="B129" s="5">
        <f>ESCUADRAS!C128</f>
        <v>0</v>
      </c>
      <c r="C129" s="5" t="e">
        <f>ESCUADRAS!D128</f>
        <v>#REF!</v>
      </c>
      <c r="D129" s="3">
        <f>ESCUADRAS!E128</f>
        <v>0</v>
      </c>
      <c r="E129" s="34"/>
      <c r="F129" s="34"/>
      <c r="G129" s="34"/>
      <c r="H129" s="34"/>
      <c r="I129" s="34">
        <f t="shared" si="1"/>
        <v>0</v>
      </c>
    </row>
    <row r="130" spans="1:9" ht="19.5" customHeight="1" x14ac:dyDescent="0.25">
      <c r="A130" s="3">
        <v>123</v>
      </c>
      <c r="B130" s="5">
        <f>ESCUADRAS!C129</f>
        <v>0</v>
      </c>
      <c r="C130" s="5" t="e">
        <f>ESCUADRAS!D129</f>
        <v>#REF!</v>
      </c>
      <c r="D130" s="3">
        <f>ESCUADRAS!E129</f>
        <v>0</v>
      </c>
      <c r="E130" s="34"/>
      <c r="F130" s="34"/>
      <c r="G130" s="34"/>
      <c r="H130" s="34"/>
      <c r="I130" s="34">
        <f t="shared" si="1"/>
        <v>0</v>
      </c>
    </row>
    <row r="131" spans="1:9" ht="19.5" customHeight="1" x14ac:dyDescent="0.25">
      <c r="A131" s="3">
        <v>124</v>
      </c>
      <c r="B131" s="5">
        <f>ESCUADRAS!C130</f>
        <v>0</v>
      </c>
      <c r="C131" s="5" t="e">
        <f>ESCUADRAS!D130</f>
        <v>#REF!</v>
      </c>
      <c r="D131" s="3">
        <f>ESCUADRAS!E130</f>
        <v>0</v>
      </c>
      <c r="E131" s="34"/>
      <c r="F131" s="34"/>
      <c r="G131" s="34"/>
      <c r="H131" s="34"/>
      <c r="I131" s="34">
        <f t="shared" si="1"/>
        <v>0</v>
      </c>
    </row>
    <row r="132" spans="1:9" ht="19.5" customHeight="1" x14ac:dyDescent="0.25">
      <c r="A132" s="3">
        <v>125</v>
      </c>
      <c r="B132" s="5">
        <f>ESCUADRAS!C131</f>
        <v>0</v>
      </c>
      <c r="C132" s="5" t="e">
        <f>ESCUADRAS!D131</f>
        <v>#REF!</v>
      </c>
      <c r="D132" s="3">
        <f>ESCUADRAS!E131</f>
        <v>0</v>
      </c>
      <c r="E132" s="34"/>
      <c r="F132" s="34"/>
      <c r="G132" s="34"/>
      <c r="H132" s="34"/>
      <c r="I132" s="34">
        <f t="shared" si="1"/>
        <v>0</v>
      </c>
    </row>
    <row r="133" spans="1:9" ht="19.5" customHeight="1" x14ac:dyDescent="0.25">
      <c r="A133" s="3">
        <v>126</v>
      </c>
      <c r="B133" s="5">
        <f>ESCUADRAS!C132</f>
        <v>0</v>
      </c>
      <c r="C133" s="5" t="e">
        <f>ESCUADRAS!D132</f>
        <v>#REF!</v>
      </c>
      <c r="D133" s="3">
        <f>ESCUADRAS!E132</f>
        <v>0</v>
      </c>
      <c r="E133" s="34"/>
      <c r="F133" s="34"/>
      <c r="G133" s="34"/>
      <c r="H133" s="34"/>
      <c r="I133" s="34">
        <f t="shared" si="1"/>
        <v>0</v>
      </c>
    </row>
    <row r="134" spans="1:9" ht="19.5" customHeight="1" x14ac:dyDescent="0.25">
      <c r="A134" s="3">
        <v>127</v>
      </c>
      <c r="B134" s="5">
        <f>ESCUADRAS!C133</f>
        <v>0</v>
      </c>
      <c r="C134" s="5" t="e">
        <f>ESCUADRAS!D133</f>
        <v>#REF!</v>
      </c>
      <c r="D134" s="3">
        <f>ESCUADRAS!E133</f>
        <v>0</v>
      </c>
      <c r="E134" s="34"/>
      <c r="F134" s="34"/>
      <c r="G134" s="34"/>
      <c r="H134" s="34"/>
      <c r="I134" s="34">
        <f t="shared" si="1"/>
        <v>0</v>
      </c>
    </row>
    <row r="135" spans="1:9" ht="19.5" customHeight="1" x14ac:dyDescent="0.25">
      <c r="A135" s="3">
        <v>128</v>
      </c>
      <c r="B135" s="5">
        <f>ESCUADRAS!C134</f>
        <v>0</v>
      </c>
      <c r="C135" s="5" t="e">
        <f>ESCUADRAS!D134</f>
        <v>#REF!</v>
      </c>
      <c r="D135" s="3">
        <f>ESCUADRAS!E134</f>
        <v>0</v>
      </c>
      <c r="E135" s="34"/>
      <c r="F135" s="34"/>
      <c r="G135" s="34"/>
      <c r="H135" s="34"/>
      <c r="I135" s="34">
        <f t="shared" si="1"/>
        <v>0</v>
      </c>
    </row>
    <row r="136" spans="1:9" ht="19.5" customHeight="1" x14ac:dyDescent="0.25">
      <c r="A136" s="3">
        <v>129</v>
      </c>
      <c r="B136" s="5">
        <f>ESCUADRAS!C135</f>
        <v>0</v>
      </c>
      <c r="C136" s="5" t="e">
        <f>ESCUADRAS!D135</f>
        <v>#REF!</v>
      </c>
      <c r="D136" s="3">
        <f>ESCUADRAS!E135</f>
        <v>0</v>
      </c>
      <c r="E136" s="34"/>
      <c r="F136" s="34"/>
      <c r="G136" s="34"/>
      <c r="H136" s="34"/>
      <c r="I136" s="34">
        <f t="shared" ref="I136:I199" si="2">SUM(E136:H136)</f>
        <v>0</v>
      </c>
    </row>
    <row r="137" spans="1:9" ht="19.5" customHeight="1" x14ac:dyDescent="0.25">
      <c r="A137" s="3">
        <v>130</v>
      </c>
      <c r="B137" s="5">
        <f>ESCUADRAS!C136</f>
        <v>0</v>
      </c>
      <c r="C137" s="5" t="e">
        <f>ESCUADRAS!D136</f>
        <v>#REF!</v>
      </c>
      <c r="D137" s="3">
        <f>ESCUADRAS!E136</f>
        <v>0</v>
      </c>
      <c r="E137" s="34"/>
      <c r="F137" s="34"/>
      <c r="G137" s="34"/>
      <c r="H137" s="34"/>
      <c r="I137" s="34">
        <f t="shared" si="2"/>
        <v>0</v>
      </c>
    </row>
    <row r="138" spans="1:9" ht="19.5" customHeight="1" x14ac:dyDescent="0.25">
      <c r="A138" s="3">
        <v>131</v>
      </c>
      <c r="B138" s="5">
        <f>ESCUADRAS!C137</f>
        <v>0</v>
      </c>
      <c r="C138" s="5" t="e">
        <f>ESCUADRAS!D137</f>
        <v>#REF!</v>
      </c>
      <c r="D138" s="3">
        <f>ESCUADRAS!E137</f>
        <v>0</v>
      </c>
      <c r="E138" s="34"/>
      <c r="F138" s="34"/>
      <c r="G138" s="34"/>
      <c r="H138" s="34"/>
      <c r="I138" s="34">
        <f t="shared" si="2"/>
        <v>0</v>
      </c>
    </row>
    <row r="139" spans="1:9" ht="19.5" customHeight="1" x14ac:dyDescent="0.25">
      <c r="A139" s="3">
        <v>132</v>
      </c>
      <c r="B139" s="5">
        <f>ESCUADRAS!C138</f>
        <v>0</v>
      </c>
      <c r="C139" s="5" t="e">
        <f>ESCUADRAS!D138</f>
        <v>#REF!</v>
      </c>
      <c r="D139" s="3">
        <f>ESCUADRAS!E138</f>
        <v>0</v>
      </c>
      <c r="E139" s="34"/>
      <c r="F139" s="34"/>
      <c r="G139" s="34"/>
      <c r="H139" s="34"/>
      <c r="I139" s="34">
        <f t="shared" si="2"/>
        <v>0</v>
      </c>
    </row>
    <row r="140" spans="1:9" ht="19.5" customHeight="1" x14ac:dyDescent="0.25">
      <c r="A140" s="3">
        <v>133</v>
      </c>
      <c r="B140" s="5">
        <f>ESCUADRAS!C139</f>
        <v>0</v>
      </c>
      <c r="C140" s="5" t="e">
        <f>ESCUADRAS!D139</f>
        <v>#REF!</v>
      </c>
      <c r="D140" s="3">
        <f>ESCUADRAS!E139</f>
        <v>0</v>
      </c>
      <c r="E140" s="34"/>
      <c r="F140" s="34"/>
      <c r="G140" s="34"/>
      <c r="H140" s="34"/>
      <c r="I140" s="34">
        <f t="shared" si="2"/>
        <v>0</v>
      </c>
    </row>
    <row r="141" spans="1:9" ht="19.5" customHeight="1" x14ac:dyDescent="0.25">
      <c r="A141" s="3">
        <v>134</v>
      </c>
      <c r="B141" s="5">
        <f>ESCUADRAS!C140</f>
        <v>0</v>
      </c>
      <c r="C141" s="5" t="e">
        <f>ESCUADRAS!D140</f>
        <v>#REF!</v>
      </c>
      <c r="D141" s="3">
        <f>ESCUADRAS!E140</f>
        <v>0</v>
      </c>
      <c r="E141" s="34"/>
      <c r="F141" s="34"/>
      <c r="G141" s="34"/>
      <c r="H141" s="34"/>
      <c r="I141" s="34">
        <f t="shared" si="2"/>
        <v>0</v>
      </c>
    </row>
    <row r="142" spans="1:9" ht="19.5" customHeight="1" x14ac:dyDescent="0.25">
      <c r="A142" s="3">
        <v>135</v>
      </c>
      <c r="B142" s="5">
        <f>ESCUADRAS!C141</f>
        <v>0</v>
      </c>
      <c r="C142" s="5" t="e">
        <f>ESCUADRAS!D141</f>
        <v>#REF!</v>
      </c>
      <c r="D142" s="3">
        <f>ESCUADRAS!E141</f>
        <v>0</v>
      </c>
      <c r="E142" s="34"/>
      <c r="F142" s="34"/>
      <c r="G142" s="34"/>
      <c r="H142" s="34"/>
      <c r="I142" s="34">
        <f t="shared" si="2"/>
        <v>0</v>
      </c>
    </row>
    <row r="143" spans="1:9" ht="19.5" customHeight="1" x14ac:dyDescent="0.25">
      <c r="A143" s="3">
        <v>136</v>
      </c>
      <c r="B143" s="5">
        <f>ESCUADRAS!C142</f>
        <v>0</v>
      </c>
      <c r="C143" s="5" t="e">
        <f>ESCUADRAS!D142</f>
        <v>#REF!</v>
      </c>
      <c r="D143" s="3">
        <f>ESCUADRAS!E142</f>
        <v>0</v>
      </c>
      <c r="E143" s="34"/>
      <c r="F143" s="34"/>
      <c r="G143" s="34"/>
      <c r="H143" s="34"/>
      <c r="I143" s="34">
        <f t="shared" si="2"/>
        <v>0</v>
      </c>
    </row>
    <row r="144" spans="1:9" ht="19.5" customHeight="1" x14ac:dyDescent="0.25">
      <c r="A144" s="3">
        <v>137</v>
      </c>
      <c r="B144" s="5">
        <f>ESCUADRAS!C143</f>
        <v>0</v>
      </c>
      <c r="C144" s="5" t="e">
        <f>ESCUADRAS!D143</f>
        <v>#REF!</v>
      </c>
      <c r="D144" s="3">
        <f>ESCUADRAS!E143</f>
        <v>0</v>
      </c>
      <c r="E144" s="34"/>
      <c r="F144" s="34"/>
      <c r="G144" s="34"/>
      <c r="H144" s="34"/>
      <c r="I144" s="34">
        <f t="shared" si="2"/>
        <v>0</v>
      </c>
    </row>
    <row r="145" spans="1:9" ht="19.5" customHeight="1" x14ac:dyDescent="0.25">
      <c r="A145" s="3">
        <v>138</v>
      </c>
      <c r="B145" s="5">
        <f>ESCUADRAS!C144</f>
        <v>0</v>
      </c>
      <c r="C145" s="5" t="e">
        <f>ESCUADRAS!D144</f>
        <v>#REF!</v>
      </c>
      <c r="D145" s="3">
        <f>ESCUADRAS!E144</f>
        <v>0</v>
      </c>
      <c r="E145" s="34"/>
      <c r="F145" s="34"/>
      <c r="G145" s="34"/>
      <c r="H145" s="34"/>
      <c r="I145" s="34">
        <f t="shared" si="2"/>
        <v>0</v>
      </c>
    </row>
    <row r="146" spans="1:9" ht="19.5" customHeight="1" x14ac:dyDescent="0.25">
      <c r="A146" s="3">
        <v>139</v>
      </c>
      <c r="B146" s="5">
        <f>ESCUADRAS!C145</f>
        <v>0</v>
      </c>
      <c r="C146" s="5" t="e">
        <f>ESCUADRAS!D145</f>
        <v>#REF!</v>
      </c>
      <c r="D146" s="3">
        <f>ESCUADRAS!E145</f>
        <v>0</v>
      </c>
      <c r="E146" s="34"/>
      <c r="F146" s="34"/>
      <c r="G146" s="34"/>
      <c r="H146" s="34"/>
      <c r="I146" s="34">
        <f t="shared" si="2"/>
        <v>0</v>
      </c>
    </row>
    <row r="147" spans="1:9" ht="19.5" customHeight="1" x14ac:dyDescent="0.25">
      <c r="A147" s="3">
        <v>140</v>
      </c>
      <c r="B147" s="5">
        <f>ESCUADRAS!C146</f>
        <v>0</v>
      </c>
      <c r="C147" s="5" t="e">
        <f>ESCUADRAS!D146</f>
        <v>#REF!</v>
      </c>
      <c r="D147" s="3">
        <f>ESCUADRAS!E146</f>
        <v>0</v>
      </c>
      <c r="E147" s="34"/>
      <c r="F147" s="34"/>
      <c r="G147" s="34"/>
      <c r="H147" s="34"/>
      <c r="I147" s="34">
        <f t="shared" si="2"/>
        <v>0</v>
      </c>
    </row>
    <row r="148" spans="1:9" ht="19.5" customHeight="1" x14ac:dyDescent="0.25">
      <c r="A148" s="3">
        <v>141</v>
      </c>
      <c r="B148" s="5">
        <f>ESCUADRAS!C147</f>
        <v>0</v>
      </c>
      <c r="C148" s="5" t="e">
        <f>ESCUADRAS!D147</f>
        <v>#REF!</v>
      </c>
      <c r="D148" s="3">
        <f>ESCUADRAS!E147</f>
        <v>0</v>
      </c>
      <c r="E148" s="34"/>
      <c r="F148" s="34"/>
      <c r="G148" s="34"/>
      <c r="H148" s="34"/>
      <c r="I148" s="34">
        <f t="shared" si="2"/>
        <v>0</v>
      </c>
    </row>
    <row r="149" spans="1:9" ht="19.5" customHeight="1" x14ac:dyDescent="0.25">
      <c r="A149" s="3">
        <v>142</v>
      </c>
      <c r="B149" s="5">
        <f>ESCUADRAS!C148</f>
        <v>0</v>
      </c>
      <c r="C149" s="5" t="e">
        <f>ESCUADRAS!D148</f>
        <v>#REF!</v>
      </c>
      <c r="D149" s="3">
        <f>ESCUADRAS!E148</f>
        <v>0</v>
      </c>
      <c r="E149" s="34"/>
      <c r="F149" s="34"/>
      <c r="G149" s="34"/>
      <c r="H149" s="34"/>
      <c r="I149" s="34">
        <f t="shared" si="2"/>
        <v>0</v>
      </c>
    </row>
    <row r="150" spans="1:9" ht="19.5" customHeight="1" x14ac:dyDescent="0.25">
      <c r="A150" s="3">
        <v>143</v>
      </c>
      <c r="B150" s="5">
        <f>ESCUADRAS!C149</f>
        <v>0</v>
      </c>
      <c r="C150" s="5" t="e">
        <f>ESCUADRAS!D149</f>
        <v>#REF!</v>
      </c>
      <c r="D150" s="3">
        <f>ESCUADRAS!E149</f>
        <v>0</v>
      </c>
      <c r="E150" s="34"/>
      <c r="F150" s="34"/>
      <c r="G150" s="34"/>
      <c r="H150" s="34"/>
      <c r="I150" s="34">
        <f t="shared" si="2"/>
        <v>0</v>
      </c>
    </row>
    <row r="151" spans="1:9" ht="19.5" customHeight="1" x14ac:dyDescent="0.25">
      <c r="A151" s="3">
        <v>144</v>
      </c>
      <c r="B151" s="5">
        <f>ESCUADRAS!C150</f>
        <v>0</v>
      </c>
      <c r="C151" s="5" t="e">
        <f>ESCUADRAS!D150</f>
        <v>#REF!</v>
      </c>
      <c r="D151" s="3">
        <f>ESCUADRAS!E150</f>
        <v>0</v>
      </c>
      <c r="E151" s="34"/>
      <c r="F151" s="34"/>
      <c r="G151" s="34"/>
      <c r="H151" s="34"/>
      <c r="I151" s="34">
        <f t="shared" si="2"/>
        <v>0</v>
      </c>
    </row>
    <row r="152" spans="1:9" ht="19.5" customHeight="1" x14ac:dyDescent="0.25">
      <c r="A152" s="3">
        <v>145</v>
      </c>
      <c r="B152" s="5">
        <f>ESCUADRAS!C151</f>
        <v>0</v>
      </c>
      <c r="C152" s="5" t="e">
        <f>ESCUADRAS!D151</f>
        <v>#REF!</v>
      </c>
      <c r="D152" s="3">
        <f>ESCUADRAS!E151</f>
        <v>0</v>
      </c>
      <c r="E152" s="34"/>
      <c r="F152" s="34"/>
      <c r="G152" s="34"/>
      <c r="H152" s="34"/>
      <c r="I152" s="34">
        <f t="shared" si="2"/>
        <v>0</v>
      </c>
    </row>
    <row r="153" spans="1:9" ht="19.5" customHeight="1" x14ac:dyDescent="0.25">
      <c r="A153" s="3">
        <v>146</v>
      </c>
      <c r="B153" s="5">
        <f>ESCUADRAS!C152</f>
        <v>0</v>
      </c>
      <c r="C153" s="5" t="e">
        <f>ESCUADRAS!D152</f>
        <v>#REF!</v>
      </c>
      <c r="D153" s="3">
        <f>ESCUADRAS!E152</f>
        <v>0</v>
      </c>
      <c r="E153" s="34"/>
      <c r="F153" s="34"/>
      <c r="G153" s="34"/>
      <c r="H153" s="34"/>
      <c r="I153" s="34">
        <f t="shared" si="2"/>
        <v>0</v>
      </c>
    </row>
    <row r="154" spans="1:9" ht="19.5" customHeight="1" x14ac:dyDescent="0.25">
      <c r="A154" s="3">
        <v>147</v>
      </c>
      <c r="B154" s="5">
        <f>ESCUADRAS!C153</f>
        <v>0</v>
      </c>
      <c r="C154" s="5" t="e">
        <f>ESCUADRAS!D153</f>
        <v>#REF!</v>
      </c>
      <c r="D154" s="3">
        <f>ESCUADRAS!E153</f>
        <v>0</v>
      </c>
      <c r="E154" s="34"/>
      <c r="F154" s="34"/>
      <c r="G154" s="34"/>
      <c r="H154" s="34"/>
      <c r="I154" s="34">
        <f t="shared" si="2"/>
        <v>0</v>
      </c>
    </row>
    <row r="155" spans="1:9" ht="19.5" customHeight="1" x14ac:dyDescent="0.25">
      <c r="A155" s="3">
        <v>148</v>
      </c>
      <c r="B155" s="5">
        <f>ESCUADRAS!C154</f>
        <v>0</v>
      </c>
      <c r="C155" s="5" t="e">
        <f>ESCUADRAS!D154</f>
        <v>#REF!</v>
      </c>
      <c r="D155" s="3">
        <f>ESCUADRAS!E154</f>
        <v>0</v>
      </c>
      <c r="E155" s="34"/>
      <c r="F155" s="34"/>
      <c r="G155" s="34"/>
      <c r="H155" s="34"/>
      <c r="I155" s="34">
        <f t="shared" si="2"/>
        <v>0</v>
      </c>
    </row>
    <row r="156" spans="1:9" ht="19.5" customHeight="1" x14ac:dyDescent="0.25">
      <c r="A156" s="3">
        <v>149</v>
      </c>
      <c r="B156" s="5">
        <f>ESCUADRAS!C155</f>
        <v>0</v>
      </c>
      <c r="C156" s="5" t="e">
        <f>ESCUADRAS!D155</f>
        <v>#REF!</v>
      </c>
      <c r="D156" s="3">
        <f>ESCUADRAS!E155</f>
        <v>0</v>
      </c>
      <c r="E156" s="34"/>
      <c r="F156" s="34"/>
      <c r="G156" s="34"/>
      <c r="H156" s="34"/>
      <c r="I156" s="34">
        <f t="shared" si="2"/>
        <v>0</v>
      </c>
    </row>
    <row r="157" spans="1:9" ht="19.5" customHeight="1" x14ac:dyDescent="0.25">
      <c r="A157" s="3">
        <v>150</v>
      </c>
      <c r="B157" s="5">
        <f>ESCUADRAS!C156</f>
        <v>0</v>
      </c>
      <c r="C157" s="5" t="e">
        <f>ESCUADRAS!D156</f>
        <v>#REF!</v>
      </c>
      <c r="D157" s="3">
        <f>ESCUADRAS!E156</f>
        <v>0</v>
      </c>
      <c r="E157" s="34"/>
      <c r="F157" s="34"/>
      <c r="G157" s="34"/>
      <c r="H157" s="34"/>
      <c r="I157" s="34">
        <f t="shared" si="2"/>
        <v>0</v>
      </c>
    </row>
    <row r="158" spans="1:9" ht="19.5" customHeight="1" x14ac:dyDescent="0.25">
      <c r="A158" s="3">
        <v>151</v>
      </c>
      <c r="B158" s="5">
        <f>ESCUADRAS!C157</f>
        <v>0</v>
      </c>
      <c r="C158" s="5" t="e">
        <f>ESCUADRAS!D157</f>
        <v>#REF!</v>
      </c>
      <c r="D158" s="3">
        <f>ESCUADRAS!E157</f>
        <v>0</v>
      </c>
      <c r="E158" s="34"/>
      <c r="F158" s="34"/>
      <c r="G158" s="34"/>
      <c r="H158" s="34"/>
      <c r="I158" s="34">
        <f t="shared" si="2"/>
        <v>0</v>
      </c>
    </row>
    <row r="159" spans="1:9" ht="19.5" customHeight="1" x14ac:dyDescent="0.25">
      <c r="A159" s="3">
        <v>152</v>
      </c>
      <c r="B159" s="5">
        <f>ESCUADRAS!C158</f>
        <v>0</v>
      </c>
      <c r="C159" s="5" t="e">
        <f>ESCUADRAS!D158</f>
        <v>#REF!</v>
      </c>
      <c r="D159" s="3">
        <f>ESCUADRAS!E158</f>
        <v>0</v>
      </c>
      <c r="E159" s="34"/>
      <c r="F159" s="34"/>
      <c r="G159" s="34"/>
      <c r="H159" s="34"/>
      <c r="I159" s="34">
        <f t="shared" si="2"/>
        <v>0</v>
      </c>
    </row>
    <row r="160" spans="1:9" ht="19.5" customHeight="1" x14ac:dyDescent="0.25">
      <c r="A160" s="3">
        <v>153</v>
      </c>
      <c r="B160" s="5">
        <f>ESCUADRAS!C159</f>
        <v>0</v>
      </c>
      <c r="C160" s="5" t="e">
        <f>ESCUADRAS!D159</f>
        <v>#REF!</v>
      </c>
      <c r="D160" s="3">
        <f>ESCUADRAS!E159</f>
        <v>0</v>
      </c>
      <c r="E160" s="34"/>
      <c r="F160" s="34"/>
      <c r="G160" s="34"/>
      <c r="H160" s="34"/>
      <c r="I160" s="34">
        <f t="shared" si="2"/>
        <v>0</v>
      </c>
    </row>
    <row r="161" spans="1:9" ht="19.5" customHeight="1" x14ac:dyDescent="0.25">
      <c r="A161" s="3">
        <v>154</v>
      </c>
      <c r="B161" s="5">
        <f>ESCUADRAS!C160</f>
        <v>0</v>
      </c>
      <c r="C161" s="5" t="e">
        <f>ESCUADRAS!D160</f>
        <v>#REF!</v>
      </c>
      <c r="D161" s="3">
        <f>ESCUADRAS!E160</f>
        <v>0</v>
      </c>
      <c r="E161" s="34"/>
      <c r="F161" s="34"/>
      <c r="G161" s="34"/>
      <c r="H161" s="34"/>
      <c r="I161" s="34">
        <f t="shared" si="2"/>
        <v>0</v>
      </c>
    </row>
    <row r="162" spans="1:9" ht="19.5" customHeight="1" x14ac:dyDescent="0.25">
      <c r="A162" s="3">
        <v>155</v>
      </c>
      <c r="B162" s="5">
        <f>ESCUADRAS!C161</f>
        <v>0</v>
      </c>
      <c r="C162" s="5" t="e">
        <f>ESCUADRAS!D161</f>
        <v>#REF!</v>
      </c>
      <c r="D162" s="3">
        <f>ESCUADRAS!E161</f>
        <v>0</v>
      </c>
      <c r="E162" s="34"/>
      <c r="F162" s="34"/>
      <c r="G162" s="34"/>
      <c r="H162" s="34"/>
      <c r="I162" s="34">
        <f t="shared" si="2"/>
        <v>0</v>
      </c>
    </row>
    <row r="163" spans="1:9" ht="19.5" customHeight="1" x14ac:dyDescent="0.25">
      <c r="A163" s="3">
        <v>156</v>
      </c>
      <c r="B163" s="5">
        <f>ESCUADRAS!C162</f>
        <v>0</v>
      </c>
      <c r="C163" s="5" t="e">
        <f>ESCUADRAS!D162</f>
        <v>#REF!</v>
      </c>
      <c r="D163" s="3">
        <f>ESCUADRAS!E162</f>
        <v>0</v>
      </c>
      <c r="E163" s="34"/>
      <c r="F163" s="34"/>
      <c r="G163" s="34"/>
      <c r="H163" s="34"/>
      <c r="I163" s="34">
        <f t="shared" si="2"/>
        <v>0</v>
      </c>
    </row>
    <row r="164" spans="1:9" ht="19.5" customHeight="1" x14ac:dyDescent="0.25">
      <c r="A164" s="3">
        <v>157</v>
      </c>
      <c r="B164" s="5">
        <f>ESCUADRAS!C163</f>
        <v>0</v>
      </c>
      <c r="C164" s="5" t="e">
        <f>ESCUADRAS!D163</f>
        <v>#REF!</v>
      </c>
      <c r="D164" s="3">
        <f>ESCUADRAS!E163</f>
        <v>0</v>
      </c>
      <c r="E164" s="34"/>
      <c r="F164" s="34"/>
      <c r="G164" s="34"/>
      <c r="H164" s="34"/>
      <c r="I164" s="34">
        <f t="shared" si="2"/>
        <v>0</v>
      </c>
    </row>
    <row r="165" spans="1:9" ht="19.5" customHeight="1" x14ac:dyDescent="0.25">
      <c r="A165" s="3">
        <v>158</v>
      </c>
      <c r="B165" s="5">
        <f>ESCUADRAS!C164</f>
        <v>0</v>
      </c>
      <c r="C165" s="5" t="e">
        <f>ESCUADRAS!D164</f>
        <v>#REF!</v>
      </c>
      <c r="D165" s="3">
        <f>ESCUADRAS!E164</f>
        <v>0</v>
      </c>
      <c r="E165" s="34"/>
      <c r="F165" s="34"/>
      <c r="G165" s="34"/>
      <c r="H165" s="34"/>
      <c r="I165" s="34">
        <f t="shared" si="2"/>
        <v>0</v>
      </c>
    </row>
    <row r="166" spans="1:9" ht="19.5" customHeight="1" x14ac:dyDescent="0.25">
      <c r="A166" s="3">
        <v>159</v>
      </c>
      <c r="B166" s="5">
        <f>ESCUADRAS!C165</f>
        <v>0</v>
      </c>
      <c r="C166" s="5" t="e">
        <f>ESCUADRAS!D165</f>
        <v>#REF!</v>
      </c>
      <c r="D166" s="3">
        <f>ESCUADRAS!E165</f>
        <v>0</v>
      </c>
      <c r="E166" s="34"/>
      <c r="F166" s="34"/>
      <c r="G166" s="34"/>
      <c r="H166" s="34"/>
      <c r="I166" s="34">
        <f t="shared" si="2"/>
        <v>0</v>
      </c>
    </row>
    <row r="167" spans="1:9" ht="19.5" customHeight="1" x14ac:dyDescent="0.25">
      <c r="A167" s="3">
        <v>160</v>
      </c>
      <c r="B167" s="5">
        <f>ESCUADRAS!C166</f>
        <v>0</v>
      </c>
      <c r="C167" s="5" t="e">
        <f>ESCUADRAS!D166</f>
        <v>#REF!</v>
      </c>
      <c r="D167" s="3">
        <f>ESCUADRAS!E166</f>
        <v>0</v>
      </c>
      <c r="E167" s="34"/>
      <c r="F167" s="34"/>
      <c r="G167" s="34"/>
      <c r="H167" s="34"/>
      <c r="I167" s="34">
        <f t="shared" si="2"/>
        <v>0</v>
      </c>
    </row>
    <row r="168" spans="1:9" ht="19.5" customHeight="1" x14ac:dyDescent="0.25">
      <c r="A168" s="3">
        <v>161</v>
      </c>
      <c r="B168" s="5">
        <f>ESCUADRAS!C167</f>
        <v>0</v>
      </c>
      <c r="C168" s="5" t="e">
        <f>ESCUADRAS!D167</f>
        <v>#REF!</v>
      </c>
      <c r="D168" s="3">
        <f>ESCUADRAS!E167</f>
        <v>0</v>
      </c>
      <c r="E168" s="34"/>
      <c r="F168" s="34"/>
      <c r="G168" s="34"/>
      <c r="H168" s="34"/>
      <c r="I168" s="34">
        <f t="shared" si="2"/>
        <v>0</v>
      </c>
    </row>
    <row r="169" spans="1:9" ht="19.5" customHeight="1" x14ac:dyDescent="0.25">
      <c r="A169" s="3">
        <v>162</v>
      </c>
      <c r="B169" s="5">
        <f>ESCUADRAS!C168</f>
        <v>0</v>
      </c>
      <c r="C169" s="5" t="e">
        <f>ESCUADRAS!D168</f>
        <v>#REF!</v>
      </c>
      <c r="D169" s="3">
        <f>ESCUADRAS!E168</f>
        <v>0</v>
      </c>
      <c r="E169" s="34"/>
      <c r="F169" s="34"/>
      <c r="G169" s="34"/>
      <c r="H169" s="34"/>
      <c r="I169" s="34">
        <f t="shared" si="2"/>
        <v>0</v>
      </c>
    </row>
    <row r="170" spans="1:9" ht="19.5" customHeight="1" x14ac:dyDescent="0.25">
      <c r="A170" s="3">
        <v>163</v>
      </c>
      <c r="B170" s="5">
        <f>ESCUADRAS!C169</f>
        <v>0</v>
      </c>
      <c r="C170" s="5" t="e">
        <f>ESCUADRAS!D169</f>
        <v>#REF!</v>
      </c>
      <c r="D170" s="3">
        <f>ESCUADRAS!E169</f>
        <v>0</v>
      </c>
      <c r="E170" s="34"/>
      <c r="F170" s="34"/>
      <c r="G170" s="34"/>
      <c r="H170" s="34"/>
      <c r="I170" s="34">
        <f t="shared" si="2"/>
        <v>0</v>
      </c>
    </row>
    <row r="171" spans="1:9" ht="19.5" customHeight="1" x14ac:dyDescent="0.25">
      <c r="A171" s="3">
        <v>164</v>
      </c>
      <c r="B171" s="5">
        <f>ESCUADRAS!C170</f>
        <v>0</v>
      </c>
      <c r="C171" s="5" t="e">
        <f>ESCUADRAS!D170</f>
        <v>#REF!</v>
      </c>
      <c r="D171" s="3">
        <f>ESCUADRAS!E170</f>
        <v>0</v>
      </c>
      <c r="E171" s="34"/>
      <c r="F171" s="34"/>
      <c r="G171" s="34"/>
      <c r="H171" s="34"/>
      <c r="I171" s="34">
        <f t="shared" si="2"/>
        <v>0</v>
      </c>
    </row>
    <row r="172" spans="1:9" ht="19.5" customHeight="1" x14ac:dyDescent="0.25">
      <c r="A172" s="3">
        <v>165</v>
      </c>
      <c r="B172" s="5">
        <f>ESCUADRAS!C171</f>
        <v>0</v>
      </c>
      <c r="C172" s="5" t="e">
        <f>ESCUADRAS!D171</f>
        <v>#REF!</v>
      </c>
      <c r="D172" s="3">
        <f>ESCUADRAS!E171</f>
        <v>0</v>
      </c>
      <c r="E172" s="34"/>
      <c r="F172" s="34"/>
      <c r="G172" s="34"/>
      <c r="H172" s="34"/>
      <c r="I172" s="34">
        <f t="shared" si="2"/>
        <v>0</v>
      </c>
    </row>
    <row r="173" spans="1:9" ht="19.5" customHeight="1" x14ac:dyDescent="0.25">
      <c r="A173" s="3">
        <v>166</v>
      </c>
      <c r="B173" s="5">
        <f>ESCUADRAS!C172</f>
        <v>0</v>
      </c>
      <c r="C173" s="5" t="e">
        <f>ESCUADRAS!D172</f>
        <v>#REF!</v>
      </c>
      <c r="D173" s="3">
        <f>ESCUADRAS!E172</f>
        <v>0</v>
      </c>
      <c r="E173" s="34"/>
      <c r="F173" s="34"/>
      <c r="G173" s="34"/>
      <c r="H173" s="34"/>
      <c r="I173" s="34">
        <f t="shared" si="2"/>
        <v>0</v>
      </c>
    </row>
    <row r="174" spans="1:9" ht="19.5" customHeight="1" x14ac:dyDescent="0.25">
      <c r="A174" s="3">
        <v>167</v>
      </c>
      <c r="B174" s="5">
        <f>ESCUADRAS!C173</f>
        <v>0</v>
      </c>
      <c r="C174" s="5" t="e">
        <f>ESCUADRAS!D173</f>
        <v>#REF!</v>
      </c>
      <c r="D174" s="3">
        <f>ESCUADRAS!E173</f>
        <v>0</v>
      </c>
      <c r="E174" s="34"/>
      <c r="F174" s="34"/>
      <c r="G174" s="34"/>
      <c r="H174" s="34"/>
      <c r="I174" s="34">
        <f t="shared" si="2"/>
        <v>0</v>
      </c>
    </row>
    <row r="175" spans="1:9" ht="19.5" customHeight="1" x14ac:dyDescent="0.25">
      <c r="A175" s="3">
        <v>168</v>
      </c>
      <c r="B175" s="5">
        <f>ESCUADRAS!C174</f>
        <v>0</v>
      </c>
      <c r="C175" s="5" t="e">
        <f>ESCUADRAS!D174</f>
        <v>#REF!</v>
      </c>
      <c r="D175" s="3">
        <f>ESCUADRAS!E174</f>
        <v>0</v>
      </c>
      <c r="E175" s="34"/>
      <c r="F175" s="34"/>
      <c r="G175" s="34"/>
      <c r="H175" s="34"/>
      <c r="I175" s="34">
        <f t="shared" si="2"/>
        <v>0</v>
      </c>
    </row>
    <row r="176" spans="1:9" ht="19.5" customHeight="1" x14ac:dyDescent="0.25">
      <c r="A176" s="3">
        <v>169</v>
      </c>
      <c r="B176" s="5">
        <f>ESCUADRAS!C175</f>
        <v>0</v>
      </c>
      <c r="C176" s="5" t="e">
        <f>ESCUADRAS!D175</f>
        <v>#REF!</v>
      </c>
      <c r="D176" s="3">
        <f>ESCUADRAS!E175</f>
        <v>0</v>
      </c>
      <c r="E176" s="34"/>
      <c r="F176" s="34"/>
      <c r="G176" s="34"/>
      <c r="H176" s="34"/>
      <c r="I176" s="34">
        <f t="shared" si="2"/>
        <v>0</v>
      </c>
    </row>
    <row r="177" spans="1:9" ht="19.5" customHeight="1" x14ac:dyDescent="0.25">
      <c r="A177" s="3">
        <v>170</v>
      </c>
      <c r="B177" s="5">
        <f>ESCUADRAS!C176</f>
        <v>0</v>
      </c>
      <c r="C177" s="5" t="e">
        <f>ESCUADRAS!D176</f>
        <v>#REF!</v>
      </c>
      <c r="D177" s="3">
        <f>ESCUADRAS!E176</f>
        <v>0</v>
      </c>
      <c r="E177" s="34"/>
      <c r="F177" s="34"/>
      <c r="G177" s="34"/>
      <c r="H177" s="34"/>
      <c r="I177" s="34">
        <f t="shared" si="2"/>
        <v>0</v>
      </c>
    </row>
    <row r="178" spans="1:9" ht="19.5" customHeight="1" x14ac:dyDescent="0.25">
      <c r="A178" s="3">
        <v>171</v>
      </c>
      <c r="B178" s="5">
        <f>ESCUADRAS!C177</f>
        <v>0</v>
      </c>
      <c r="C178" s="5" t="e">
        <f>ESCUADRAS!D177</f>
        <v>#REF!</v>
      </c>
      <c r="D178" s="3">
        <f>ESCUADRAS!E177</f>
        <v>0</v>
      </c>
      <c r="E178" s="34"/>
      <c r="F178" s="34"/>
      <c r="G178" s="34"/>
      <c r="H178" s="34"/>
      <c r="I178" s="34">
        <f t="shared" si="2"/>
        <v>0</v>
      </c>
    </row>
    <row r="179" spans="1:9" ht="19.5" customHeight="1" x14ac:dyDescent="0.25">
      <c r="A179" s="3">
        <v>172</v>
      </c>
      <c r="B179" s="5">
        <f>ESCUADRAS!C178</f>
        <v>0</v>
      </c>
      <c r="C179" s="5" t="e">
        <f>ESCUADRAS!D178</f>
        <v>#REF!</v>
      </c>
      <c r="D179" s="3">
        <f>ESCUADRAS!E178</f>
        <v>0</v>
      </c>
      <c r="E179" s="34"/>
      <c r="F179" s="34"/>
      <c r="G179" s="34"/>
      <c r="H179" s="34"/>
      <c r="I179" s="34">
        <f t="shared" si="2"/>
        <v>0</v>
      </c>
    </row>
    <row r="180" spans="1:9" ht="19.5" customHeight="1" x14ac:dyDescent="0.25">
      <c r="A180" s="3">
        <v>173</v>
      </c>
      <c r="B180" s="5">
        <f>ESCUADRAS!C179</f>
        <v>0</v>
      </c>
      <c r="C180" s="5" t="e">
        <f>ESCUADRAS!D179</f>
        <v>#REF!</v>
      </c>
      <c r="D180" s="3">
        <f>ESCUADRAS!E179</f>
        <v>0</v>
      </c>
      <c r="E180" s="34"/>
      <c r="F180" s="34"/>
      <c r="G180" s="34"/>
      <c r="H180" s="34"/>
      <c r="I180" s="34">
        <f t="shared" si="2"/>
        <v>0</v>
      </c>
    </row>
    <row r="181" spans="1:9" ht="19.5" customHeight="1" x14ac:dyDescent="0.25">
      <c r="A181" s="3">
        <v>174</v>
      </c>
      <c r="B181" s="5">
        <f>ESCUADRAS!C180</f>
        <v>0</v>
      </c>
      <c r="C181" s="5" t="e">
        <f>ESCUADRAS!D180</f>
        <v>#REF!</v>
      </c>
      <c r="D181" s="3">
        <f>ESCUADRAS!E180</f>
        <v>0</v>
      </c>
      <c r="E181" s="34"/>
      <c r="F181" s="34"/>
      <c r="G181" s="34"/>
      <c r="H181" s="34"/>
      <c r="I181" s="34">
        <f t="shared" si="2"/>
        <v>0</v>
      </c>
    </row>
    <row r="182" spans="1:9" ht="19.5" customHeight="1" x14ac:dyDescent="0.25">
      <c r="A182" s="3">
        <v>175</v>
      </c>
      <c r="B182" s="5">
        <f>ESCUADRAS!C181</f>
        <v>0</v>
      </c>
      <c r="C182" s="5" t="e">
        <f>ESCUADRAS!D181</f>
        <v>#REF!</v>
      </c>
      <c r="D182" s="3">
        <f>ESCUADRAS!E181</f>
        <v>0</v>
      </c>
      <c r="E182" s="34"/>
      <c r="F182" s="34"/>
      <c r="G182" s="34"/>
      <c r="H182" s="34"/>
      <c r="I182" s="34">
        <f t="shared" si="2"/>
        <v>0</v>
      </c>
    </row>
    <row r="183" spans="1:9" ht="19.5" customHeight="1" x14ac:dyDescent="0.25">
      <c r="A183" s="3">
        <v>176</v>
      </c>
      <c r="B183" s="5">
        <f>ESCUADRAS!C182</f>
        <v>0</v>
      </c>
      <c r="C183" s="5" t="e">
        <f>ESCUADRAS!D182</f>
        <v>#REF!</v>
      </c>
      <c r="D183" s="3">
        <f>ESCUADRAS!E182</f>
        <v>0</v>
      </c>
      <c r="E183" s="34"/>
      <c r="F183" s="34"/>
      <c r="G183" s="34"/>
      <c r="H183" s="34"/>
      <c r="I183" s="34">
        <f t="shared" si="2"/>
        <v>0</v>
      </c>
    </row>
    <row r="184" spans="1:9" ht="19.5" customHeight="1" x14ac:dyDescent="0.25">
      <c r="A184" s="3">
        <v>177</v>
      </c>
      <c r="B184" s="5">
        <f>ESCUADRAS!C183</f>
        <v>0</v>
      </c>
      <c r="C184" s="5" t="e">
        <f>ESCUADRAS!D183</f>
        <v>#REF!</v>
      </c>
      <c r="D184" s="3">
        <f>ESCUADRAS!E183</f>
        <v>0</v>
      </c>
      <c r="E184" s="34"/>
      <c r="F184" s="34"/>
      <c r="G184" s="34"/>
      <c r="H184" s="34"/>
      <c r="I184" s="34">
        <f t="shared" si="2"/>
        <v>0</v>
      </c>
    </row>
    <row r="185" spans="1:9" ht="19.5" customHeight="1" x14ac:dyDescent="0.25">
      <c r="A185" s="3">
        <v>178</v>
      </c>
      <c r="B185" s="5">
        <f>ESCUADRAS!C184</f>
        <v>0</v>
      </c>
      <c r="C185" s="5" t="e">
        <f>ESCUADRAS!D184</f>
        <v>#REF!</v>
      </c>
      <c r="D185" s="3">
        <f>ESCUADRAS!E184</f>
        <v>0</v>
      </c>
      <c r="E185" s="34"/>
      <c r="F185" s="34"/>
      <c r="G185" s="34"/>
      <c r="H185" s="34"/>
      <c r="I185" s="34">
        <f t="shared" si="2"/>
        <v>0</v>
      </c>
    </row>
    <row r="186" spans="1:9" ht="19.5" customHeight="1" x14ac:dyDescent="0.25">
      <c r="A186" s="3">
        <v>179</v>
      </c>
      <c r="B186" s="5">
        <f>ESCUADRAS!C185</f>
        <v>0</v>
      </c>
      <c r="C186" s="5" t="e">
        <f>ESCUADRAS!D185</f>
        <v>#REF!</v>
      </c>
      <c r="D186" s="3">
        <f>ESCUADRAS!E185</f>
        <v>0</v>
      </c>
      <c r="E186" s="34"/>
      <c r="F186" s="34"/>
      <c r="G186" s="34"/>
      <c r="H186" s="34"/>
      <c r="I186" s="34">
        <f t="shared" si="2"/>
        <v>0</v>
      </c>
    </row>
    <row r="187" spans="1:9" ht="19.5" customHeight="1" x14ac:dyDescent="0.25">
      <c r="A187" s="3">
        <v>180</v>
      </c>
      <c r="B187" s="5">
        <f>ESCUADRAS!C186</f>
        <v>0</v>
      </c>
      <c r="C187" s="5" t="e">
        <f>ESCUADRAS!D186</f>
        <v>#REF!</v>
      </c>
      <c r="D187" s="3">
        <f>ESCUADRAS!E186</f>
        <v>0</v>
      </c>
      <c r="E187" s="34"/>
      <c r="F187" s="34"/>
      <c r="G187" s="34"/>
      <c r="H187" s="34"/>
      <c r="I187" s="34">
        <f t="shared" si="2"/>
        <v>0</v>
      </c>
    </row>
    <row r="188" spans="1:9" ht="17.25" customHeight="1" x14ac:dyDescent="0.25">
      <c r="A188" s="3">
        <v>181</v>
      </c>
      <c r="B188" s="5">
        <f>ESCUADRAS!C187</f>
        <v>0</v>
      </c>
      <c r="C188" s="5" t="e">
        <f>ESCUADRAS!D187</f>
        <v>#REF!</v>
      </c>
      <c r="D188" s="3">
        <f>ESCUADRAS!E187</f>
        <v>0</v>
      </c>
      <c r="E188" s="34"/>
      <c r="F188" s="34"/>
      <c r="G188" s="34"/>
      <c r="H188" s="34"/>
      <c r="I188" s="34">
        <f t="shared" si="2"/>
        <v>0</v>
      </c>
    </row>
    <row r="189" spans="1:9" ht="18.75" customHeight="1" x14ac:dyDescent="0.25">
      <c r="A189" s="3">
        <v>182</v>
      </c>
      <c r="B189" s="5">
        <f>ESCUADRAS!C188</f>
        <v>0</v>
      </c>
      <c r="C189" s="5" t="e">
        <f>ESCUADRAS!D188</f>
        <v>#REF!</v>
      </c>
      <c r="D189" s="3">
        <f>ESCUADRAS!E188</f>
        <v>0</v>
      </c>
      <c r="E189" s="34"/>
      <c r="F189" s="34"/>
      <c r="G189" s="34"/>
      <c r="H189" s="34"/>
      <c r="I189" s="34">
        <f t="shared" si="2"/>
        <v>0</v>
      </c>
    </row>
    <row r="190" spans="1:9" ht="19.5" customHeight="1" x14ac:dyDescent="0.25">
      <c r="A190" s="3">
        <v>183</v>
      </c>
      <c r="B190" s="5">
        <f>ESCUADRAS!C189</f>
        <v>0</v>
      </c>
      <c r="C190" s="5" t="e">
        <f>ESCUADRAS!D189</f>
        <v>#REF!</v>
      </c>
      <c r="D190" s="3">
        <f>ESCUADRAS!E189</f>
        <v>0</v>
      </c>
      <c r="E190" s="34"/>
      <c r="F190" s="34"/>
      <c r="G190" s="34"/>
      <c r="H190" s="34"/>
      <c r="I190" s="34">
        <f t="shared" si="2"/>
        <v>0</v>
      </c>
    </row>
    <row r="191" spans="1:9" ht="18.75" customHeight="1" x14ac:dyDescent="0.25">
      <c r="A191" s="3">
        <v>184</v>
      </c>
      <c r="B191" s="5">
        <f>ESCUADRAS!C190</f>
        <v>0</v>
      </c>
      <c r="C191" s="5" t="e">
        <f>ESCUADRAS!D190</f>
        <v>#REF!</v>
      </c>
      <c r="D191" s="3">
        <f>ESCUADRAS!E190</f>
        <v>0</v>
      </c>
      <c r="E191" s="34"/>
      <c r="F191" s="34"/>
      <c r="G191" s="34"/>
      <c r="H191" s="34"/>
      <c r="I191" s="34">
        <f t="shared" si="2"/>
        <v>0</v>
      </c>
    </row>
    <row r="192" spans="1:9" ht="18.75" customHeight="1" x14ac:dyDescent="0.25">
      <c r="A192" s="3">
        <v>185</v>
      </c>
      <c r="B192" s="5">
        <f>ESCUADRAS!C191</f>
        <v>0</v>
      </c>
      <c r="C192" s="5" t="e">
        <f>ESCUADRAS!D191</f>
        <v>#REF!</v>
      </c>
      <c r="D192" s="3">
        <f>ESCUADRAS!E191</f>
        <v>0</v>
      </c>
      <c r="E192" s="34"/>
      <c r="F192" s="34"/>
      <c r="G192" s="34"/>
      <c r="H192" s="34"/>
      <c r="I192" s="34">
        <f t="shared" si="2"/>
        <v>0</v>
      </c>
    </row>
    <row r="193" spans="1:9" ht="18.75" customHeight="1" x14ac:dyDescent="0.25">
      <c r="A193" s="3">
        <v>186</v>
      </c>
      <c r="B193" s="5">
        <f>ESCUADRAS!C192</f>
        <v>0</v>
      </c>
      <c r="C193" s="5" t="e">
        <f>ESCUADRAS!D192</f>
        <v>#REF!</v>
      </c>
      <c r="D193" s="3">
        <f>ESCUADRAS!E192</f>
        <v>0</v>
      </c>
      <c r="E193" s="34"/>
      <c r="F193" s="34"/>
      <c r="G193" s="34"/>
      <c r="H193" s="34"/>
      <c r="I193" s="34">
        <f t="shared" si="2"/>
        <v>0</v>
      </c>
    </row>
    <row r="194" spans="1:9" ht="18" customHeight="1" x14ac:dyDescent="0.25">
      <c r="A194" s="3">
        <v>187</v>
      </c>
      <c r="B194" s="5">
        <f>ESCUADRAS!C193</f>
        <v>0</v>
      </c>
      <c r="C194" s="5" t="e">
        <f>ESCUADRAS!D193</f>
        <v>#REF!</v>
      </c>
      <c r="D194" s="3">
        <f>ESCUADRAS!E193</f>
        <v>0</v>
      </c>
      <c r="E194" s="34"/>
      <c r="F194" s="34"/>
      <c r="G194" s="34"/>
      <c r="H194" s="34"/>
      <c r="I194" s="34">
        <f t="shared" si="2"/>
        <v>0</v>
      </c>
    </row>
    <row r="195" spans="1:9" ht="20.25" customHeight="1" x14ac:dyDescent="0.25">
      <c r="A195" s="3">
        <v>188</v>
      </c>
      <c r="B195" s="5">
        <f>ESCUADRAS!C194</f>
        <v>0</v>
      </c>
      <c r="C195" s="5" t="e">
        <f>ESCUADRAS!D194</f>
        <v>#REF!</v>
      </c>
      <c r="D195" s="3">
        <f>ESCUADRAS!E194</f>
        <v>0</v>
      </c>
      <c r="E195" s="34"/>
      <c r="F195" s="34"/>
      <c r="G195" s="34"/>
      <c r="H195" s="34"/>
      <c r="I195" s="34">
        <f t="shared" si="2"/>
        <v>0</v>
      </c>
    </row>
    <row r="196" spans="1:9" ht="20.25" customHeight="1" x14ac:dyDescent="0.25">
      <c r="A196" s="3">
        <v>189</v>
      </c>
      <c r="B196" s="5">
        <f>ESCUADRAS!C195</f>
        <v>0</v>
      </c>
      <c r="C196" s="5" t="e">
        <f>ESCUADRAS!D195</f>
        <v>#REF!</v>
      </c>
      <c r="D196" s="3">
        <f>ESCUADRAS!E195</f>
        <v>0</v>
      </c>
      <c r="E196" s="34"/>
      <c r="F196" s="34"/>
      <c r="G196" s="34"/>
      <c r="H196" s="34"/>
      <c r="I196" s="34">
        <f t="shared" si="2"/>
        <v>0</v>
      </c>
    </row>
    <row r="197" spans="1:9" ht="19.5" customHeight="1" x14ac:dyDescent="0.25">
      <c r="A197" s="3">
        <v>190</v>
      </c>
      <c r="B197" s="5">
        <f>ESCUADRAS!C196</f>
        <v>0</v>
      </c>
      <c r="C197" s="5" t="e">
        <f>ESCUADRAS!D196</f>
        <v>#REF!</v>
      </c>
      <c r="D197" s="3">
        <f>ESCUADRAS!E196</f>
        <v>0</v>
      </c>
      <c r="E197" s="34"/>
      <c r="F197" s="34"/>
      <c r="G197" s="34"/>
      <c r="H197" s="34"/>
      <c r="I197" s="34">
        <f t="shared" si="2"/>
        <v>0</v>
      </c>
    </row>
    <row r="198" spans="1:9" ht="18" customHeight="1" x14ac:dyDescent="0.25">
      <c r="A198" s="3">
        <v>191</v>
      </c>
      <c r="B198" s="5">
        <f>ESCUADRAS!C197</f>
        <v>0</v>
      </c>
      <c r="C198" s="5" t="e">
        <f>ESCUADRAS!D197</f>
        <v>#REF!</v>
      </c>
      <c r="D198" s="3">
        <f>ESCUADRAS!E197</f>
        <v>0</v>
      </c>
      <c r="E198" s="34"/>
      <c r="F198" s="34"/>
      <c r="G198" s="34"/>
      <c r="H198" s="34"/>
      <c r="I198" s="34">
        <f t="shared" si="2"/>
        <v>0</v>
      </c>
    </row>
    <row r="199" spans="1:9" ht="18.75" customHeight="1" x14ac:dyDescent="0.25">
      <c r="A199" s="3">
        <v>192</v>
      </c>
      <c r="B199" s="5">
        <f>ESCUADRAS!C198</f>
        <v>0</v>
      </c>
      <c r="C199" s="5" t="e">
        <f>ESCUADRAS!D198</f>
        <v>#REF!</v>
      </c>
      <c r="D199" s="3">
        <f>ESCUADRAS!E198</f>
        <v>0</v>
      </c>
      <c r="E199" s="34"/>
      <c r="F199" s="34"/>
      <c r="G199" s="34"/>
      <c r="H199" s="34"/>
      <c r="I199" s="34">
        <f t="shared" si="2"/>
        <v>0</v>
      </c>
    </row>
    <row r="200" spans="1:9" ht="21" customHeight="1" x14ac:dyDescent="0.25">
      <c r="A200" s="3">
        <v>193</v>
      </c>
      <c r="B200" s="5">
        <f>ESCUADRAS!C199</f>
        <v>0</v>
      </c>
      <c r="C200" s="5" t="e">
        <f>ESCUADRAS!D199</f>
        <v>#REF!</v>
      </c>
      <c r="D200" s="3">
        <f>ESCUADRAS!E199</f>
        <v>0</v>
      </c>
      <c r="E200" s="34"/>
      <c r="F200" s="34"/>
      <c r="G200" s="34"/>
      <c r="H200" s="34"/>
      <c r="I200" s="34">
        <f t="shared" ref="I200:I208" si="3">SUM(E200:H200)</f>
        <v>0</v>
      </c>
    </row>
    <row r="201" spans="1:9" ht="19.5" customHeight="1" x14ac:dyDescent="0.25">
      <c r="A201" s="3">
        <v>194</v>
      </c>
      <c r="B201" s="5">
        <f>ESCUADRAS!C200</f>
        <v>0</v>
      </c>
      <c r="C201" s="5" t="e">
        <f>ESCUADRAS!D200</f>
        <v>#REF!</v>
      </c>
      <c r="D201" s="3">
        <f>ESCUADRAS!E200</f>
        <v>0</v>
      </c>
      <c r="E201" s="34"/>
      <c r="F201" s="34"/>
      <c r="G201" s="34"/>
      <c r="H201" s="34"/>
      <c r="I201" s="34">
        <f t="shared" si="3"/>
        <v>0</v>
      </c>
    </row>
    <row r="202" spans="1:9" ht="18" customHeight="1" x14ac:dyDescent="0.25">
      <c r="A202" s="3">
        <v>195</v>
      </c>
      <c r="B202" s="5">
        <f>ESCUADRAS!C201</f>
        <v>0</v>
      </c>
      <c r="C202" s="5" t="e">
        <f>ESCUADRAS!D201</f>
        <v>#REF!</v>
      </c>
      <c r="D202" s="3">
        <f>ESCUADRAS!E201</f>
        <v>0</v>
      </c>
      <c r="E202" s="34"/>
      <c r="F202" s="34"/>
      <c r="G202" s="34"/>
      <c r="H202" s="34"/>
      <c r="I202" s="34">
        <f t="shared" si="3"/>
        <v>0</v>
      </c>
    </row>
    <row r="203" spans="1:9" ht="20.25" customHeight="1" x14ac:dyDescent="0.25">
      <c r="A203" s="3">
        <v>196</v>
      </c>
      <c r="B203" s="5">
        <f>ESCUADRAS!C202</f>
        <v>0</v>
      </c>
      <c r="C203" s="5" t="e">
        <f>ESCUADRAS!D202</f>
        <v>#REF!</v>
      </c>
      <c r="D203" s="3">
        <f>ESCUADRAS!E202</f>
        <v>0</v>
      </c>
      <c r="E203" s="34"/>
      <c r="F203" s="34"/>
      <c r="G203" s="34"/>
      <c r="H203" s="34"/>
      <c r="I203" s="34">
        <f t="shared" si="3"/>
        <v>0</v>
      </c>
    </row>
    <row r="204" spans="1:9" ht="21.75" customHeight="1" x14ac:dyDescent="0.25">
      <c r="A204" s="3">
        <v>197</v>
      </c>
      <c r="B204" s="5">
        <f>ESCUADRAS!C203</f>
        <v>0</v>
      </c>
      <c r="C204" s="5" t="e">
        <f>ESCUADRAS!D203</f>
        <v>#REF!</v>
      </c>
      <c r="D204" s="3">
        <f>ESCUADRAS!E203</f>
        <v>0</v>
      </c>
      <c r="E204" s="34"/>
      <c r="F204" s="34"/>
      <c r="G204" s="34"/>
      <c r="H204" s="34"/>
      <c r="I204" s="34">
        <f t="shared" si="3"/>
        <v>0</v>
      </c>
    </row>
    <row r="205" spans="1:9" ht="21" customHeight="1" x14ac:dyDescent="0.25">
      <c r="A205" s="3">
        <v>198</v>
      </c>
      <c r="B205" s="5">
        <f>ESCUADRAS!C204</f>
        <v>0</v>
      </c>
      <c r="C205" s="5" t="e">
        <f>ESCUADRAS!D204</f>
        <v>#REF!</v>
      </c>
      <c r="D205" s="3">
        <f>ESCUADRAS!E204</f>
        <v>0</v>
      </c>
      <c r="E205" s="34"/>
      <c r="F205" s="34"/>
      <c r="G205" s="34"/>
      <c r="H205" s="34"/>
      <c r="I205" s="34">
        <f t="shared" si="3"/>
        <v>0</v>
      </c>
    </row>
    <row r="206" spans="1:9" ht="18" customHeight="1" x14ac:dyDescent="0.25">
      <c r="A206" s="3">
        <v>199</v>
      </c>
      <c r="B206" s="5">
        <f>ESCUADRAS!C205</f>
        <v>0</v>
      </c>
      <c r="C206" s="5" t="e">
        <f>ESCUADRAS!D205</f>
        <v>#REF!</v>
      </c>
      <c r="D206" s="3">
        <f>ESCUADRAS!E205</f>
        <v>0</v>
      </c>
      <c r="E206" s="34"/>
      <c r="F206" s="34"/>
      <c r="G206" s="34"/>
      <c r="H206" s="34"/>
      <c r="I206" s="34">
        <f t="shared" si="3"/>
        <v>0</v>
      </c>
    </row>
    <row r="207" spans="1:9" ht="18.75" customHeight="1" x14ac:dyDescent="0.25">
      <c r="A207" s="3">
        <v>200</v>
      </c>
      <c r="B207" s="5">
        <f>ESCUADRAS!C206</f>
        <v>0</v>
      </c>
      <c r="C207" s="5" t="e">
        <f>ESCUADRAS!D206</f>
        <v>#REF!</v>
      </c>
      <c r="D207" s="3">
        <f>ESCUADRAS!E206</f>
        <v>0</v>
      </c>
      <c r="E207" s="34"/>
      <c r="F207" s="34"/>
      <c r="G207" s="34"/>
      <c r="H207" s="34"/>
      <c r="I207" s="34">
        <f t="shared" si="3"/>
        <v>0</v>
      </c>
    </row>
    <row r="208" spans="1:9" ht="20.25" customHeight="1" x14ac:dyDescent="0.25">
      <c r="A208" s="3">
        <v>201</v>
      </c>
      <c r="B208" s="5">
        <f>ESCUADRAS!C207</f>
        <v>0</v>
      </c>
      <c r="C208" s="5" t="e">
        <f>ESCUADRAS!D207</f>
        <v>#REF!</v>
      </c>
      <c r="D208" s="3">
        <f>ESCUADRAS!E207</f>
        <v>0</v>
      </c>
      <c r="E208" s="34"/>
      <c r="F208" s="34"/>
      <c r="G208" s="34"/>
      <c r="H208" s="34"/>
      <c r="I208" s="34">
        <f t="shared" si="3"/>
        <v>0</v>
      </c>
    </row>
    <row r="209" spans="1:9" ht="18.75" customHeight="1" x14ac:dyDescent="0.25">
      <c r="A209" s="3">
        <v>202</v>
      </c>
      <c r="B209" s="5">
        <f>ESCUADRAS!C208</f>
        <v>0</v>
      </c>
      <c r="C209" s="5" t="e">
        <f>ESCUADRAS!D208</f>
        <v>#REF!</v>
      </c>
      <c r="D209" s="3">
        <f>ESCUADRAS!E208</f>
        <v>0</v>
      </c>
      <c r="E209" s="34"/>
      <c r="F209" s="34"/>
      <c r="G209" s="34"/>
      <c r="H209" s="34"/>
      <c r="I209" s="34">
        <f t="shared" ref="I209:I211" si="4">SUM(E209:H209)</f>
        <v>0</v>
      </c>
    </row>
    <row r="210" spans="1:9" ht="18" customHeight="1" x14ac:dyDescent="0.25">
      <c r="A210" s="3">
        <v>203</v>
      </c>
      <c r="B210" s="5">
        <f>ESCUADRAS!C209</f>
        <v>0</v>
      </c>
      <c r="C210" s="5" t="e">
        <f>ESCUADRAS!D209</f>
        <v>#REF!</v>
      </c>
      <c r="D210" s="3">
        <f>ESCUADRAS!E209</f>
        <v>0</v>
      </c>
      <c r="E210" s="34"/>
      <c r="F210" s="34"/>
      <c r="G210" s="34"/>
      <c r="H210" s="34"/>
      <c r="I210" s="34">
        <f t="shared" si="4"/>
        <v>0</v>
      </c>
    </row>
    <row r="211" spans="1:9" ht="19.5" customHeight="1" x14ac:dyDescent="0.25">
      <c r="A211" s="3">
        <v>204</v>
      </c>
      <c r="B211" s="5">
        <f>ESCUADRAS!C210</f>
        <v>0</v>
      </c>
      <c r="C211" s="5" t="e">
        <f>ESCUADRAS!D210</f>
        <v>#REF!</v>
      </c>
      <c r="D211" s="3">
        <f>ESCUADRAS!E210</f>
        <v>0</v>
      </c>
      <c r="E211" s="34"/>
      <c r="F211" s="34"/>
      <c r="G211" s="34"/>
      <c r="H211" s="34"/>
      <c r="I211" s="34">
        <f t="shared" si="4"/>
        <v>0</v>
      </c>
    </row>
  </sheetData>
  <autoFilter ref="A6:I187" xr:uid="{00000000-0009-0000-0000-000002000000}">
    <filterColumn colId="4" showButton="0"/>
    <filterColumn colId="5" showButton="0"/>
    <filterColumn colId="6" hiddenButton="1" showButton="0"/>
    <filterColumn colId="7" showButton="0"/>
  </autoFilter>
  <sortState xmlns:xlrd2="http://schemas.microsoft.com/office/spreadsheetml/2017/richdata2" ref="B8:I208">
    <sortCondition descending="1" ref="I8:I208"/>
    <sortCondition descending="1" ref="H8:H208"/>
    <sortCondition descending="1" ref="G8:G208"/>
    <sortCondition descending="1" ref="F8:F208"/>
    <sortCondition descending="1" ref="E8:E208"/>
  </sortState>
  <mergeCells count="9">
    <mergeCell ref="E6:H6"/>
    <mergeCell ref="A2:I2"/>
    <mergeCell ref="A1:I1"/>
    <mergeCell ref="B6:B7"/>
    <mergeCell ref="A6:A7"/>
    <mergeCell ref="D6:D7"/>
    <mergeCell ref="C6:C7"/>
    <mergeCell ref="A4:I4"/>
    <mergeCell ref="A3:I3"/>
  </mergeCells>
  <phoneticPr fontId="0" type="noConversion"/>
  <pageMargins left="0.25" right="0.15625" top="0.75" bottom="0.75" header="0.3" footer="0.3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00767-0E44-4DD7-8E90-9958637142C0}">
  <sheetPr codeName="Hoja4">
    <tabColor rgb="FF00B050"/>
    <pageSetUpPr fitToPage="1"/>
  </sheetPr>
  <dimension ref="A1:M210"/>
  <sheetViews>
    <sheetView showGridLines="0" tabSelected="1" topLeftCell="A3" zoomScale="80" zoomScaleNormal="80" workbookViewId="0">
      <selection activeCell="K8" sqref="K8"/>
    </sheetView>
  </sheetViews>
  <sheetFormatPr baseColWidth="10" defaultColWidth="11.44140625" defaultRowHeight="13.2" x14ac:dyDescent="0.25"/>
  <cols>
    <col min="1" max="1" width="5.5546875" customWidth="1"/>
    <col min="2" max="2" width="8.109375" style="46" customWidth="1"/>
    <col min="3" max="3" width="36.109375" customWidth="1"/>
    <col min="4" max="4" width="8.6640625" style="21" customWidth="1"/>
    <col min="5" max="8" width="5" style="31" customWidth="1"/>
    <col min="9" max="9" width="9.88671875" style="31" customWidth="1"/>
    <col min="10" max="10" width="8" customWidth="1"/>
    <col min="11" max="11" width="10" customWidth="1"/>
  </cols>
  <sheetData>
    <row r="1" spans="1:13" ht="21" x14ac:dyDescent="0.4">
      <c r="A1" s="77" t="str">
        <f>PUNTUACIONES!A1</f>
        <v>TIRADA</v>
      </c>
      <c r="B1" s="77"/>
      <c r="C1" s="77"/>
      <c r="D1" s="77"/>
      <c r="E1" s="77"/>
      <c r="F1" s="77"/>
      <c r="G1" s="77"/>
      <c r="H1" s="77"/>
      <c r="I1" s="77"/>
      <c r="J1" s="77"/>
      <c r="K1" s="77"/>
    </row>
    <row r="2" spans="1:13" ht="21" x14ac:dyDescent="0.4">
      <c r="A2" s="77" t="str">
        <f>PUNTUACIONES!A2</f>
        <v>CAMPO DE TIRO LA ISLA</v>
      </c>
      <c r="B2" s="77"/>
      <c r="C2" s="77"/>
      <c r="D2" s="77"/>
      <c r="E2" s="77"/>
      <c r="F2" s="77"/>
      <c r="G2" s="77"/>
      <c r="H2" s="77"/>
      <c r="I2" s="77"/>
      <c r="J2" s="77"/>
      <c r="K2" s="68"/>
    </row>
    <row r="3" spans="1:13" ht="18" customHeight="1" x14ac:dyDescent="0.25">
      <c r="A3" s="92" t="str">
        <f>'INSCRIPCION '!A3</f>
        <v>XXX PLATOS</v>
      </c>
      <c r="B3" s="92"/>
      <c r="C3" s="92"/>
      <c r="D3" s="92"/>
      <c r="E3" s="92"/>
      <c r="F3" s="92"/>
      <c r="G3" s="92"/>
      <c r="H3" s="92"/>
      <c r="I3" s="92"/>
      <c r="J3" s="92"/>
      <c r="K3" s="92"/>
    </row>
    <row r="4" spans="1:13" ht="24" customHeight="1" x14ac:dyDescent="0.3">
      <c r="A4" s="91" t="s">
        <v>23</v>
      </c>
      <c r="B4" s="91"/>
      <c r="C4" s="91"/>
      <c r="D4" s="91"/>
      <c r="E4" s="91"/>
      <c r="F4" s="91"/>
      <c r="G4" s="91"/>
      <c r="H4" s="91"/>
      <c r="I4" s="91"/>
      <c r="J4" s="91"/>
      <c r="K4" s="91"/>
    </row>
    <row r="5" spans="1:13" ht="16.5" customHeight="1" x14ac:dyDescent="0.25">
      <c r="B5" s="45"/>
      <c r="C5" s="2"/>
      <c r="D5" s="69"/>
      <c r="J5" s="2"/>
      <c r="M5" s="21"/>
    </row>
    <row r="6" spans="1:13" s="53" customFormat="1" ht="28.5" customHeight="1" x14ac:dyDescent="0.25">
      <c r="A6" s="70" t="s">
        <v>0</v>
      </c>
      <c r="B6" s="71" t="s">
        <v>57</v>
      </c>
      <c r="C6" s="72" t="s">
        <v>48</v>
      </c>
      <c r="D6" s="72" t="s">
        <v>56</v>
      </c>
      <c r="E6" s="35" t="s">
        <v>58</v>
      </c>
      <c r="F6" s="35" t="s">
        <v>59</v>
      </c>
      <c r="G6" s="35" t="s">
        <v>60</v>
      </c>
      <c r="H6" s="35" t="s">
        <v>61</v>
      </c>
      <c r="I6" s="73" t="s">
        <v>1</v>
      </c>
      <c r="J6" s="72" t="s">
        <v>54</v>
      </c>
      <c r="K6" s="74" t="s">
        <v>66</v>
      </c>
    </row>
    <row r="7" spans="1:13" ht="19.5" customHeight="1" x14ac:dyDescent="0.25">
      <c r="A7" s="3">
        <v>1</v>
      </c>
      <c r="B7" s="67">
        <f>PUNTUACIONES!A10</f>
        <v>3</v>
      </c>
      <c r="C7" s="67" t="s">
        <v>76</v>
      </c>
      <c r="D7" s="67" t="s">
        <v>80</v>
      </c>
      <c r="E7" s="67">
        <f>PUNTUACIONES!E10</f>
        <v>0</v>
      </c>
      <c r="F7" s="67">
        <f>PUNTUACIONES!F10</f>
        <v>0</v>
      </c>
      <c r="G7" s="67">
        <f>PUNTUACIONES!G10</f>
        <v>0</v>
      </c>
      <c r="H7" s="67">
        <f>PUNTUACIONES!H10</f>
        <v>0</v>
      </c>
      <c r="I7" s="67">
        <v>3</v>
      </c>
      <c r="J7" s="67">
        <f>PUNTUACIONES!J10</f>
        <v>0</v>
      </c>
      <c r="K7" s="67">
        <v>1</v>
      </c>
    </row>
    <row r="8" spans="1:13" ht="19.5" customHeight="1" x14ac:dyDescent="0.25">
      <c r="A8" s="3">
        <v>2</v>
      </c>
      <c r="B8" s="67">
        <f>PUNTUACIONES!A9</f>
        <v>2</v>
      </c>
      <c r="C8" s="67" t="s">
        <v>75</v>
      </c>
      <c r="D8" s="67" t="s">
        <v>79</v>
      </c>
      <c r="E8" s="67">
        <f>PUNTUACIONES!E9</f>
        <v>0</v>
      </c>
      <c r="F8" s="67">
        <f>PUNTUACIONES!F9</f>
        <v>0</v>
      </c>
      <c r="G8" s="67">
        <f>PUNTUACIONES!G9</f>
        <v>0</v>
      </c>
      <c r="H8" s="67">
        <f>PUNTUACIONES!H9</f>
        <v>0</v>
      </c>
      <c r="I8" s="67">
        <v>3</v>
      </c>
      <c r="J8" s="67">
        <f>PUNTUACIONES!J9</f>
        <v>0</v>
      </c>
      <c r="K8" s="67">
        <v>3</v>
      </c>
    </row>
    <row r="9" spans="1:13" ht="19.5" customHeight="1" x14ac:dyDescent="0.25">
      <c r="A9" s="3">
        <v>3</v>
      </c>
      <c r="B9" s="67">
        <f>PUNTUACIONES!A12</f>
        <v>5</v>
      </c>
      <c r="C9" s="67" t="s">
        <v>77</v>
      </c>
      <c r="D9" s="67">
        <f>PUNTUACIONES!D12</f>
        <v>0</v>
      </c>
      <c r="E9" s="67">
        <f>PUNTUACIONES!E12</f>
        <v>0</v>
      </c>
      <c r="F9" s="67">
        <f>PUNTUACIONES!F12</f>
        <v>0</v>
      </c>
      <c r="G9" s="67">
        <f>PUNTUACIONES!G12</f>
        <v>0</v>
      </c>
      <c r="H9" s="67">
        <f>PUNTUACIONES!H12</f>
        <v>0</v>
      </c>
      <c r="I9" s="67">
        <v>2</v>
      </c>
      <c r="J9" s="67">
        <f>PUNTUACIONES!J12</f>
        <v>0</v>
      </c>
      <c r="K9" s="67">
        <f>PUNTUACIONES!K12</f>
        <v>0</v>
      </c>
    </row>
    <row r="10" spans="1:13" ht="19.5" customHeight="1" x14ac:dyDescent="0.25">
      <c r="A10" s="3">
        <v>4</v>
      </c>
      <c r="B10" s="67">
        <f>PUNTUACIONES!A11</f>
        <v>4</v>
      </c>
      <c r="C10" s="67" t="s">
        <v>78</v>
      </c>
      <c r="D10" s="67">
        <f>PUNTUACIONES!D11</f>
        <v>0</v>
      </c>
      <c r="E10" s="67">
        <f>PUNTUACIONES!E11</f>
        <v>0</v>
      </c>
      <c r="F10" s="67">
        <f>PUNTUACIONES!F11</f>
        <v>0</v>
      </c>
      <c r="G10" s="67">
        <f>PUNTUACIONES!G11</f>
        <v>0</v>
      </c>
      <c r="H10" s="67">
        <f>PUNTUACIONES!H11</f>
        <v>0</v>
      </c>
      <c r="I10" s="67">
        <v>2</v>
      </c>
      <c r="J10" s="67">
        <f>PUNTUACIONES!J11</f>
        <v>0</v>
      </c>
      <c r="K10" s="67">
        <f>PUNTUACIONES!K11</f>
        <v>0</v>
      </c>
    </row>
    <row r="11" spans="1:13" ht="19.5" customHeight="1" x14ac:dyDescent="0.25">
      <c r="A11" s="3">
        <v>5</v>
      </c>
      <c r="B11" s="67">
        <f>PUNTUACIONES!A8</f>
        <v>1</v>
      </c>
      <c r="C11" s="67" t="s">
        <v>74</v>
      </c>
      <c r="D11" s="67" t="s">
        <v>79</v>
      </c>
      <c r="E11" s="67">
        <f>PUNTUACIONES!E8</f>
        <v>0</v>
      </c>
      <c r="F11" s="67">
        <f>PUNTUACIONES!F8</f>
        <v>0</v>
      </c>
      <c r="G11" s="67">
        <f>PUNTUACIONES!G8</f>
        <v>0</v>
      </c>
      <c r="H11" s="67">
        <f>PUNTUACIONES!H8</f>
        <v>0</v>
      </c>
      <c r="I11" s="67">
        <v>1</v>
      </c>
      <c r="J11" s="67">
        <f>PUNTUACIONES!J8</f>
        <v>0</v>
      </c>
      <c r="K11" s="67">
        <f>PUNTUACIONES!K8</f>
        <v>0</v>
      </c>
    </row>
    <row r="12" spans="1:13" ht="19.5" customHeight="1" x14ac:dyDescent="0.25">
      <c r="A12" s="3">
        <v>6</v>
      </c>
      <c r="B12" s="67">
        <f>PUNTUACIONES!A13</f>
        <v>6</v>
      </c>
      <c r="C12" s="67">
        <f>PUNTUACIONES!B13</f>
        <v>0</v>
      </c>
      <c r="D12" s="67">
        <f>PUNTUACIONES!D13</f>
        <v>0</v>
      </c>
      <c r="E12" s="67">
        <f>PUNTUACIONES!E13</f>
        <v>0</v>
      </c>
      <c r="F12" s="67">
        <f>PUNTUACIONES!F13</f>
        <v>0</v>
      </c>
      <c r="G12" s="67">
        <f>PUNTUACIONES!G13</f>
        <v>0</v>
      </c>
      <c r="H12" s="67">
        <f>PUNTUACIONES!H13</f>
        <v>0</v>
      </c>
      <c r="I12" s="67">
        <f>PUNTUACIONES!I13</f>
        <v>0</v>
      </c>
      <c r="J12" s="67">
        <f>PUNTUACIONES!J13</f>
        <v>0</v>
      </c>
      <c r="K12" s="67">
        <f>PUNTUACIONES!K13</f>
        <v>0</v>
      </c>
    </row>
    <row r="13" spans="1:13" ht="19.5" customHeight="1" x14ac:dyDescent="0.25">
      <c r="A13" s="3">
        <v>7</v>
      </c>
      <c r="B13" s="67">
        <f>PUNTUACIONES!A14</f>
        <v>7</v>
      </c>
      <c r="C13" s="67">
        <f>PUNTUACIONES!B14</f>
        <v>0</v>
      </c>
      <c r="D13" s="67">
        <f>PUNTUACIONES!D14</f>
        <v>0</v>
      </c>
      <c r="E13" s="67">
        <f>PUNTUACIONES!E14</f>
        <v>0</v>
      </c>
      <c r="F13" s="67">
        <f>PUNTUACIONES!F14</f>
        <v>0</v>
      </c>
      <c r="G13" s="67">
        <f>PUNTUACIONES!G14</f>
        <v>0</v>
      </c>
      <c r="H13" s="67">
        <f>PUNTUACIONES!H14</f>
        <v>0</v>
      </c>
      <c r="I13" s="67">
        <f>PUNTUACIONES!I14</f>
        <v>0</v>
      </c>
      <c r="J13" s="67">
        <f>PUNTUACIONES!J14</f>
        <v>0</v>
      </c>
      <c r="K13" s="67">
        <f>PUNTUACIONES!K14</f>
        <v>0</v>
      </c>
    </row>
    <row r="14" spans="1:13" ht="19.5" customHeight="1" x14ac:dyDescent="0.25">
      <c r="A14" s="3">
        <v>8</v>
      </c>
      <c r="B14" s="67">
        <f>PUNTUACIONES!A15</f>
        <v>8</v>
      </c>
      <c r="C14" s="67">
        <f>PUNTUACIONES!B15</f>
        <v>0</v>
      </c>
      <c r="D14" s="67">
        <f>PUNTUACIONES!D15</f>
        <v>0</v>
      </c>
      <c r="E14" s="67">
        <f>PUNTUACIONES!E15</f>
        <v>0</v>
      </c>
      <c r="F14" s="67">
        <f>PUNTUACIONES!F15</f>
        <v>0</v>
      </c>
      <c r="G14" s="67">
        <f>PUNTUACIONES!G15</f>
        <v>0</v>
      </c>
      <c r="H14" s="67">
        <f>PUNTUACIONES!H15</f>
        <v>0</v>
      </c>
      <c r="I14" s="67">
        <f>PUNTUACIONES!I15</f>
        <v>0</v>
      </c>
      <c r="J14" s="67">
        <f>PUNTUACIONES!J15</f>
        <v>0</v>
      </c>
      <c r="K14" s="67">
        <f>PUNTUACIONES!K15</f>
        <v>0</v>
      </c>
    </row>
    <row r="15" spans="1:13" ht="19.5" customHeight="1" x14ac:dyDescent="0.25">
      <c r="A15" s="3">
        <v>9</v>
      </c>
      <c r="B15" s="67">
        <f>PUNTUACIONES!A16</f>
        <v>9</v>
      </c>
      <c r="C15" s="67">
        <f>PUNTUACIONES!B16</f>
        <v>0</v>
      </c>
      <c r="D15" s="67">
        <f>PUNTUACIONES!D16</f>
        <v>0</v>
      </c>
      <c r="E15" s="67">
        <f>PUNTUACIONES!E16</f>
        <v>0</v>
      </c>
      <c r="F15" s="67">
        <f>PUNTUACIONES!F16</f>
        <v>0</v>
      </c>
      <c r="G15" s="67">
        <f>PUNTUACIONES!G16</f>
        <v>0</v>
      </c>
      <c r="H15" s="67">
        <f>PUNTUACIONES!H16</f>
        <v>0</v>
      </c>
      <c r="I15" s="67">
        <f>PUNTUACIONES!I16</f>
        <v>0</v>
      </c>
      <c r="J15" s="67">
        <f>PUNTUACIONES!J16</f>
        <v>0</v>
      </c>
      <c r="K15" s="67">
        <f>PUNTUACIONES!K16</f>
        <v>0</v>
      </c>
    </row>
    <row r="16" spans="1:13" ht="19.5" customHeight="1" x14ac:dyDescent="0.25">
      <c r="A16" s="3">
        <v>10</v>
      </c>
      <c r="B16" s="67">
        <f>PUNTUACIONES!A17</f>
        <v>10</v>
      </c>
      <c r="C16" s="67">
        <f>PUNTUACIONES!B17</f>
        <v>0</v>
      </c>
      <c r="D16" s="67">
        <f>PUNTUACIONES!D17</f>
        <v>0</v>
      </c>
      <c r="E16" s="67">
        <f>PUNTUACIONES!E17</f>
        <v>0</v>
      </c>
      <c r="F16" s="67">
        <f>PUNTUACIONES!F17</f>
        <v>0</v>
      </c>
      <c r="G16" s="67">
        <f>PUNTUACIONES!G17</f>
        <v>0</v>
      </c>
      <c r="H16" s="67">
        <f>PUNTUACIONES!H17</f>
        <v>0</v>
      </c>
      <c r="I16" s="67">
        <f>PUNTUACIONES!I17</f>
        <v>0</v>
      </c>
      <c r="J16" s="67">
        <f>PUNTUACIONES!J17</f>
        <v>0</v>
      </c>
      <c r="K16" s="67">
        <f>PUNTUACIONES!K17</f>
        <v>0</v>
      </c>
    </row>
    <row r="17" spans="1:11" ht="19.5" customHeight="1" x14ac:dyDescent="0.25">
      <c r="A17" s="3">
        <v>11</v>
      </c>
      <c r="B17" s="67">
        <f>PUNTUACIONES!A18</f>
        <v>11</v>
      </c>
      <c r="C17" s="67">
        <f>PUNTUACIONES!B18</f>
        <v>0</v>
      </c>
      <c r="D17" s="67">
        <f>PUNTUACIONES!D18</f>
        <v>0</v>
      </c>
      <c r="E17" s="67">
        <f>PUNTUACIONES!E18</f>
        <v>0</v>
      </c>
      <c r="F17" s="67">
        <f>PUNTUACIONES!F18</f>
        <v>0</v>
      </c>
      <c r="G17" s="67">
        <f>PUNTUACIONES!G18</f>
        <v>0</v>
      </c>
      <c r="H17" s="67">
        <f>PUNTUACIONES!H18</f>
        <v>0</v>
      </c>
      <c r="I17" s="67">
        <f>PUNTUACIONES!I18</f>
        <v>0</v>
      </c>
      <c r="J17" s="67">
        <f>PUNTUACIONES!J18</f>
        <v>0</v>
      </c>
      <c r="K17" s="67">
        <f>PUNTUACIONES!K18</f>
        <v>0</v>
      </c>
    </row>
    <row r="18" spans="1:11" ht="19.5" customHeight="1" x14ac:dyDescent="0.25">
      <c r="A18" s="3">
        <v>12</v>
      </c>
      <c r="B18" s="67">
        <f>PUNTUACIONES!A19</f>
        <v>12</v>
      </c>
      <c r="C18" s="67">
        <f>PUNTUACIONES!B19</f>
        <v>0</v>
      </c>
      <c r="D18" s="67">
        <f>PUNTUACIONES!D19</f>
        <v>0</v>
      </c>
      <c r="E18" s="67">
        <f>PUNTUACIONES!E19</f>
        <v>0</v>
      </c>
      <c r="F18" s="67">
        <f>PUNTUACIONES!F19</f>
        <v>0</v>
      </c>
      <c r="G18" s="67">
        <f>PUNTUACIONES!G19</f>
        <v>0</v>
      </c>
      <c r="H18" s="67">
        <f>PUNTUACIONES!H19</f>
        <v>0</v>
      </c>
      <c r="I18" s="67">
        <f>PUNTUACIONES!I19</f>
        <v>0</v>
      </c>
      <c r="J18" s="67">
        <f>PUNTUACIONES!J19</f>
        <v>0</v>
      </c>
      <c r="K18" s="67">
        <f>PUNTUACIONES!K19</f>
        <v>0</v>
      </c>
    </row>
    <row r="19" spans="1:11" ht="19.5" customHeight="1" x14ac:dyDescent="0.25">
      <c r="A19" s="3">
        <v>13</v>
      </c>
      <c r="B19" s="67">
        <f>PUNTUACIONES!A20</f>
        <v>13</v>
      </c>
      <c r="C19" s="67">
        <f>PUNTUACIONES!B20</f>
        <v>0</v>
      </c>
      <c r="D19" s="67">
        <f>PUNTUACIONES!D20</f>
        <v>0</v>
      </c>
      <c r="E19" s="67">
        <f>PUNTUACIONES!E20</f>
        <v>0</v>
      </c>
      <c r="F19" s="67">
        <f>PUNTUACIONES!F20</f>
        <v>0</v>
      </c>
      <c r="G19" s="67">
        <f>PUNTUACIONES!G20</f>
        <v>0</v>
      </c>
      <c r="H19" s="67">
        <f>PUNTUACIONES!H20</f>
        <v>0</v>
      </c>
      <c r="I19" s="67">
        <f>PUNTUACIONES!I20</f>
        <v>0</v>
      </c>
      <c r="J19" s="67">
        <f>PUNTUACIONES!J20</f>
        <v>0</v>
      </c>
      <c r="K19" s="67">
        <f>PUNTUACIONES!K20</f>
        <v>0</v>
      </c>
    </row>
    <row r="20" spans="1:11" ht="19.5" customHeight="1" x14ac:dyDescent="0.25">
      <c r="A20" s="3">
        <v>14</v>
      </c>
      <c r="B20" s="67">
        <f>PUNTUACIONES!A21</f>
        <v>14</v>
      </c>
      <c r="C20" s="67">
        <f>PUNTUACIONES!B21</f>
        <v>0</v>
      </c>
      <c r="D20" s="67">
        <f>PUNTUACIONES!D21</f>
        <v>0</v>
      </c>
      <c r="E20" s="67">
        <f>PUNTUACIONES!E21</f>
        <v>0</v>
      </c>
      <c r="F20" s="67">
        <f>PUNTUACIONES!F21</f>
        <v>0</v>
      </c>
      <c r="G20" s="67">
        <f>PUNTUACIONES!G21</f>
        <v>0</v>
      </c>
      <c r="H20" s="67">
        <f>PUNTUACIONES!H21</f>
        <v>0</v>
      </c>
      <c r="I20" s="67">
        <f>PUNTUACIONES!I21</f>
        <v>0</v>
      </c>
      <c r="J20" s="67">
        <f>PUNTUACIONES!J21</f>
        <v>0</v>
      </c>
      <c r="K20" s="67">
        <f>PUNTUACIONES!K21</f>
        <v>0</v>
      </c>
    </row>
    <row r="21" spans="1:11" ht="19.5" customHeight="1" x14ac:dyDescent="0.25">
      <c r="A21" s="3">
        <v>15</v>
      </c>
      <c r="B21" s="67">
        <f>PUNTUACIONES!A22</f>
        <v>15</v>
      </c>
      <c r="C21" s="67">
        <f>PUNTUACIONES!B22</f>
        <v>0</v>
      </c>
      <c r="D21" s="67">
        <f>PUNTUACIONES!D22</f>
        <v>0</v>
      </c>
      <c r="E21" s="67">
        <f>PUNTUACIONES!E22</f>
        <v>0</v>
      </c>
      <c r="F21" s="67">
        <f>PUNTUACIONES!F22</f>
        <v>0</v>
      </c>
      <c r="G21" s="67">
        <f>PUNTUACIONES!G22</f>
        <v>0</v>
      </c>
      <c r="H21" s="67">
        <f>PUNTUACIONES!H22</f>
        <v>0</v>
      </c>
      <c r="I21" s="67">
        <f>PUNTUACIONES!I22</f>
        <v>0</v>
      </c>
      <c r="J21" s="67">
        <f>PUNTUACIONES!J22</f>
        <v>0</v>
      </c>
      <c r="K21" s="67">
        <f>PUNTUACIONES!K22</f>
        <v>0</v>
      </c>
    </row>
    <row r="22" spans="1:11" ht="19.5" customHeight="1" x14ac:dyDescent="0.25">
      <c r="A22" s="3">
        <v>16</v>
      </c>
      <c r="B22" s="67">
        <f>PUNTUACIONES!A23</f>
        <v>16</v>
      </c>
      <c r="C22" s="67">
        <f>PUNTUACIONES!B23</f>
        <v>0</v>
      </c>
      <c r="D22" s="67">
        <f>PUNTUACIONES!D23</f>
        <v>0</v>
      </c>
      <c r="E22" s="67">
        <f>PUNTUACIONES!E23</f>
        <v>0</v>
      </c>
      <c r="F22" s="67">
        <f>PUNTUACIONES!F23</f>
        <v>0</v>
      </c>
      <c r="G22" s="67">
        <f>PUNTUACIONES!G23</f>
        <v>0</v>
      </c>
      <c r="H22" s="67">
        <f>PUNTUACIONES!H23</f>
        <v>0</v>
      </c>
      <c r="I22" s="67">
        <f>PUNTUACIONES!I23</f>
        <v>0</v>
      </c>
      <c r="J22" s="67">
        <f>PUNTUACIONES!J23</f>
        <v>0</v>
      </c>
      <c r="K22" s="67">
        <f>PUNTUACIONES!K23</f>
        <v>0</v>
      </c>
    </row>
    <row r="23" spans="1:11" ht="19.5" customHeight="1" x14ac:dyDescent="0.25">
      <c r="A23" s="3">
        <v>17</v>
      </c>
      <c r="B23" s="67">
        <f>PUNTUACIONES!A24</f>
        <v>17</v>
      </c>
      <c r="C23" s="67">
        <f>PUNTUACIONES!B24</f>
        <v>0</v>
      </c>
      <c r="D23" s="67">
        <f>PUNTUACIONES!D24</f>
        <v>0</v>
      </c>
      <c r="E23" s="67">
        <f>PUNTUACIONES!E24</f>
        <v>0</v>
      </c>
      <c r="F23" s="67">
        <f>PUNTUACIONES!F24</f>
        <v>0</v>
      </c>
      <c r="G23" s="67">
        <f>PUNTUACIONES!G24</f>
        <v>0</v>
      </c>
      <c r="H23" s="67">
        <f>PUNTUACIONES!H24</f>
        <v>0</v>
      </c>
      <c r="I23" s="67">
        <f>PUNTUACIONES!I24</f>
        <v>0</v>
      </c>
      <c r="J23" s="67">
        <f>PUNTUACIONES!J24</f>
        <v>0</v>
      </c>
      <c r="K23" s="67">
        <f>PUNTUACIONES!K24</f>
        <v>0</v>
      </c>
    </row>
    <row r="24" spans="1:11" ht="19.5" customHeight="1" x14ac:dyDescent="0.25">
      <c r="A24" s="3">
        <v>18</v>
      </c>
      <c r="B24" s="67">
        <f>PUNTUACIONES!A25</f>
        <v>18</v>
      </c>
      <c r="C24" s="67">
        <f>PUNTUACIONES!B25</f>
        <v>0</v>
      </c>
      <c r="D24" s="67">
        <f>PUNTUACIONES!D25</f>
        <v>0</v>
      </c>
      <c r="E24" s="67">
        <f>PUNTUACIONES!E25</f>
        <v>0</v>
      </c>
      <c r="F24" s="67">
        <f>PUNTUACIONES!F25</f>
        <v>0</v>
      </c>
      <c r="G24" s="67">
        <f>PUNTUACIONES!G25</f>
        <v>0</v>
      </c>
      <c r="H24" s="67">
        <f>PUNTUACIONES!H25</f>
        <v>0</v>
      </c>
      <c r="I24" s="67">
        <f>PUNTUACIONES!I25</f>
        <v>0</v>
      </c>
      <c r="J24" s="67">
        <f>PUNTUACIONES!J25</f>
        <v>0</v>
      </c>
      <c r="K24" s="67">
        <f>PUNTUACIONES!K25</f>
        <v>0</v>
      </c>
    </row>
    <row r="25" spans="1:11" ht="19.5" customHeight="1" x14ac:dyDescent="0.25">
      <c r="A25" s="3">
        <v>19</v>
      </c>
      <c r="B25" s="67">
        <f>PUNTUACIONES!A26</f>
        <v>19</v>
      </c>
      <c r="C25" s="67">
        <f>PUNTUACIONES!B26</f>
        <v>0</v>
      </c>
      <c r="D25" s="67">
        <f>PUNTUACIONES!D26</f>
        <v>0</v>
      </c>
      <c r="E25" s="67">
        <f>PUNTUACIONES!E26</f>
        <v>0</v>
      </c>
      <c r="F25" s="67">
        <f>PUNTUACIONES!F26</f>
        <v>0</v>
      </c>
      <c r="G25" s="67">
        <f>PUNTUACIONES!G26</f>
        <v>0</v>
      </c>
      <c r="H25" s="67">
        <f>PUNTUACIONES!H26</f>
        <v>0</v>
      </c>
      <c r="I25" s="67">
        <f>PUNTUACIONES!I26</f>
        <v>0</v>
      </c>
      <c r="J25" s="67">
        <f>PUNTUACIONES!J26</f>
        <v>0</v>
      </c>
      <c r="K25" s="67">
        <f>PUNTUACIONES!K26</f>
        <v>0</v>
      </c>
    </row>
    <row r="26" spans="1:11" ht="19.5" customHeight="1" x14ac:dyDescent="0.25">
      <c r="A26" s="3">
        <v>20</v>
      </c>
      <c r="B26" s="67">
        <f>PUNTUACIONES!A27</f>
        <v>20</v>
      </c>
      <c r="C26" s="67">
        <f>PUNTUACIONES!B27</f>
        <v>0</v>
      </c>
      <c r="D26" s="67">
        <f>PUNTUACIONES!D27</f>
        <v>0</v>
      </c>
      <c r="E26" s="67">
        <f>PUNTUACIONES!E27</f>
        <v>0</v>
      </c>
      <c r="F26" s="67">
        <f>PUNTUACIONES!F27</f>
        <v>0</v>
      </c>
      <c r="G26" s="67">
        <f>PUNTUACIONES!G27</f>
        <v>0</v>
      </c>
      <c r="H26" s="67">
        <f>PUNTUACIONES!H27</f>
        <v>0</v>
      </c>
      <c r="I26" s="67">
        <f>PUNTUACIONES!I27</f>
        <v>0</v>
      </c>
      <c r="J26" s="67">
        <f>PUNTUACIONES!J27</f>
        <v>0</v>
      </c>
      <c r="K26" s="67">
        <f>PUNTUACIONES!K27</f>
        <v>0</v>
      </c>
    </row>
    <row r="27" spans="1:11" ht="19.5" customHeight="1" x14ac:dyDescent="0.25">
      <c r="A27" s="3">
        <v>21</v>
      </c>
      <c r="B27" s="67">
        <f>PUNTUACIONES!A28</f>
        <v>21</v>
      </c>
      <c r="C27" s="67">
        <f>PUNTUACIONES!B28</f>
        <v>0</v>
      </c>
      <c r="D27" s="67">
        <f>PUNTUACIONES!D28</f>
        <v>0</v>
      </c>
      <c r="E27" s="67">
        <f>PUNTUACIONES!E28</f>
        <v>0</v>
      </c>
      <c r="F27" s="67">
        <f>PUNTUACIONES!F28</f>
        <v>0</v>
      </c>
      <c r="G27" s="67">
        <f>PUNTUACIONES!G28</f>
        <v>0</v>
      </c>
      <c r="H27" s="67">
        <f>PUNTUACIONES!H28</f>
        <v>0</v>
      </c>
      <c r="I27" s="67">
        <f>PUNTUACIONES!I28</f>
        <v>0</v>
      </c>
      <c r="J27" s="67">
        <f>PUNTUACIONES!J28</f>
        <v>0</v>
      </c>
      <c r="K27" s="67">
        <f>PUNTUACIONES!K28</f>
        <v>0</v>
      </c>
    </row>
    <row r="28" spans="1:11" ht="19.5" customHeight="1" x14ac:dyDescent="0.25">
      <c r="A28" s="3">
        <v>22</v>
      </c>
      <c r="B28" s="67">
        <f>PUNTUACIONES!A29</f>
        <v>22</v>
      </c>
      <c r="C28" s="67">
        <f>PUNTUACIONES!B29</f>
        <v>0</v>
      </c>
      <c r="D28" s="67">
        <f>PUNTUACIONES!D29</f>
        <v>0</v>
      </c>
      <c r="E28" s="67">
        <f>PUNTUACIONES!E29</f>
        <v>0</v>
      </c>
      <c r="F28" s="67">
        <f>PUNTUACIONES!F29</f>
        <v>0</v>
      </c>
      <c r="G28" s="67">
        <f>PUNTUACIONES!G29</f>
        <v>0</v>
      </c>
      <c r="H28" s="67">
        <f>PUNTUACIONES!H29</f>
        <v>0</v>
      </c>
      <c r="I28" s="67">
        <f>PUNTUACIONES!I29</f>
        <v>0</v>
      </c>
      <c r="J28" s="67">
        <f>PUNTUACIONES!J29</f>
        <v>0</v>
      </c>
      <c r="K28" s="67">
        <f>PUNTUACIONES!K29</f>
        <v>0</v>
      </c>
    </row>
    <row r="29" spans="1:11" ht="19.5" customHeight="1" x14ac:dyDescent="0.25">
      <c r="A29" s="3">
        <v>23</v>
      </c>
      <c r="B29" s="67">
        <f>PUNTUACIONES!A30</f>
        <v>23</v>
      </c>
      <c r="C29" s="67">
        <f>PUNTUACIONES!B30</f>
        <v>0</v>
      </c>
      <c r="D29" s="67">
        <f>PUNTUACIONES!D30</f>
        <v>0</v>
      </c>
      <c r="E29" s="67">
        <f>PUNTUACIONES!E30</f>
        <v>0</v>
      </c>
      <c r="F29" s="67">
        <f>PUNTUACIONES!F30</f>
        <v>0</v>
      </c>
      <c r="G29" s="67">
        <f>PUNTUACIONES!G30</f>
        <v>0</v>
      </c>
      <c r="H29" s="67">
        <f>PUNTUACIONES!H30</f>
        <v>0</v>
      </c>
      <c r="I29" s="67">
        <f>PUNTUACIONES!I30</f>
        <v>0</v>
      </c>
      <c r="J29" s="67">
        <f>PUNTUACIONES!J30</f>
        <v>0</v>
      </c>
      <c r="K29" s="67">
        <f>PUNTUACIONES!K30</f>
        <v>0</v>
      </c>
    </row>
    <row r="30" spans="1:11" ht="19.5" customHeight="1" x14ac:dyDescent="0.25">
      <c r="A30" s="3">
        <v>24</v>
      </c>
      <c r="B30" s="67">
        <f>PUNTUACIONES!A31</f>
        <v>24</v>
      </c>
      <c r="C30" s="67">
        <f>PUNTUACIONES!B31</f>
        <v>0</v>
      </c>
      <c r="D30" s="67">
        <f>PUNTUACIONES!D31</f>
        <v>0</v>
      </c>
      <c r="E30" s="67">
        <f>PUNTUACIONES!E31</f>
        <v>0</v>
      </c>
      <c r="F30" s="67">
        <f>PUNTUACIONES!F31</f>
        <v>0</v>
      </c>
      <c r="G30" s="67">
        <f>PUNTUACIONES!G31</f>
        <v>0</v>
      </c>
      <c r="H30" s="67">
        <f>PUNTUACIONES!H31</f>
        <v>0</v>
      </c>
      <c r="I30" s="67">
        <f>PUNTUACIONES!I31</f>
        <v>0</v>
      </c>
      <c r="J30" s="67">
        <f>PUNTUACIONES!J31</f>
        <v>0</v>
      </c>
      <c r="K30" s="67">
        <f>PUNTUACIONES!K31</f>
        <v>0</v>
      </c>
    </row>
    <row r="31" spans="1:11" ht="19.5" customHeight="1" x14ac:dyDescent="0.25">
      <c r="A31" s="3">
        <v>25</v>
      </c>
      <c r="B31" s="67">
        <f>PUNTUACIONES!A32</f>
        <v>25</v>
      </c>
      <c r="C31" s="67">
        <f>PUNTUACIONES!B32</f>
        <v>0</v>
      </c>
      <c r="D31" s="67">
        <f>PUNTUACIONES!D32</f>
        <v>0</v>
      </c>
      <c r="E31" s="67">
        <f>PUNTUACIONES!E32</f>
        <v>0</v>
      </c>
      <c r="F31" s="67">
        <f>PUNTUACIONES!F32</f>
        <v>0</v>
      </c>
      <c r="G31" s="67">
        <f>PUNTUACIONES!G32</f>
        <v>0</v>
      </c>
      <c r="H31" s="67">
        <f>PUNTUACIONES!H32</f>
        <v>0</v>
      </c>
      <c r="I31" s="67">
        <f>PUNTUACIONES!I32</f>
        <v>0</v>
      </c>
      <c r="J31" s="67">
        <f>PUNTUACIONES!J32</f>
        <v>0</v>
      </c>
      <c r="K31" s="67">
        <f>PUNTUACIONES!K32</f>
        <v>0</v>
      </c>
    </row>
    <row r="32" spans="1:11" ht="19.5" customHeight="1" x14ac:dyDescent="0.25">
      <c r="A32" s="3">
        <v>26</v>
      </c>
      <c r="B32" s="67">
        <f>PUNTUACIONES!A33</f>
        <v>26</v>
      </c>
      <c r="C32" s="67">
        <f>PUNTUACIONES!B33</f>
        <v>0</v>
      </c>
      <c r="D32" s="67">
        <f>PUNTUACIONES!D33</f>
        <v>0</v>
      </c>
      <c r="E32" s="67">
        <f>PUNTUACIONES!E33</f>
        <v>0</v>
      </c>
      <c r="F32" s="67">
        <f>PUNTUACIONES!F33</f>
        <v>0</v>
      </c>
      <c r="G32" s="67">
        <f>PUNTUACIONES!G33</f>
        <v>0</v>
      </c>
      <c r="H32" s="67">
        <f>PUNTUACIONES!H33</f>
        <v>0</v>
      </c>
      <c r="I32" s="67">
        <f>PUNTUACIONES!I33</f>
        <v>0</v>
      </c>
      <c r="J32" s="67">
        <f>PUNTUACIONES!J33</f>
        <v>0</v>
      </c>
      <c r="K32" s="67">
        <f>PUNTUACIONES!K33</f>
        <v>0</v>
      </c>
    </row>
    <row r="33" spans="1:11" ht="19.5" customHeight="1" x14ac:dyDescent="0.25">
      <c r="A33" s="3">
        <v>27</v>
      </c>
      <c r="B33" s="67">
        <f>PUNTUACIONES!A34</f>
        <v>27</v>
      </c>
      <c r="C33" s="67">
        <f>PUNTUACIONES!B34</f>
        <v>0</v>
      </c>
      <c r="D33" s="67">
        <f>PUNTUACIONES!D34</f>
        <v>0</v>
      </c>
      <c r="E33" s="67">
        <f>PUNTUACIONES!E34</f>
        <v>0</v>
      </c>
      <c r="F33" s="67">
        <f>PUNTUACIONES!F34</f>
        <v>0</v>
      </c>
      <c r="G33" s="67">
        <f>PUNTUACIONES!G34</f>
        <v>0</v>
      </c>
      <c r="H33" s="67">
        <f>PUNTUACIONES!H34</f>
        <v>0</v>
      </c>
      <c r="I33" s="67">
        <f>PUNTUACIONES!I34</f>
        <v>0</v>
      </c>
      <c r="J33" s="67">
        <f>PUNTUACIONES!J34</f>
        <v>0</v>
      </c>
      <c r="K33" s="67">
        <f>PUNTUACIONES!K34</f>
        <v>0</v>
      </c>
    </row>
    <row r="34" spans="1:11" ht="19.5" customHeight="1" x14ac:dyDescent="0.25">
      <c r="A34" s="3">
        <v>28</v>
      </c>
      <c r="B34" s="67">
        <f>PUNTUACIONES!A35</f>
        <v>28</v>
      </c>
      <c r="C34" s="67">
        <f>PUNTUACIONES!B35</f>
        <v>0</v>
      </c>
      <c r="D34" s="67">
        <f>PUNTUACIONES!D35</f>
        <v>0</v>
      </c>
      <c r="E34" s="67">
        <f>PUNTUACIONES!E35</f>
        <v>0</v>
      </c>
      <c r="F34" s="67">
        <f>PUNTUACIONES!F35</f>
        <v>0</v>
      </c>
      <c r="G34" s="67">
        <f>PUNTUACIONES!G35</f>
        <v>0</v>
      </c>
      <c r="H34" s="67">
        <f>PUNTUACIONES!H35</f>
        <v>0</v>
      </c>
      <c r="I34" s="67">
        <f>PUNTUACIONES!I35</f>
        <v>0</v>
      </c>
      <c r="J34" s="67">
        <f>PUNTUACIONES!J35</f>
        <v>0</v>
      </c>
      <c r="K34" s="67">
        <f>PUNTUACIONES!K35</f>
        <v>0</v>
      </c>
    </row>
    <row r="35" spans="1:11" ht="19.5" customHeight="1" x14ac:dyDescent="0.25">
      <c r="A35" s="3">
        <v>29</v>
      </c>
      <c r="B35" s="67">
        <f>PUNTUACIONES!A36</f>
        <v>29</v>
      </c>
      <c r="C35" s="67">
        <f>PUNTUACIONES!B36</f>
        <v>0</v>
      </c>
      <c r="D35" s="67">
        <f>PUNTUACIONES!D36</f>
        <v>0</v>
      </c>
      <c r="E35" s="67">
        <f>PUNTUACIONES!E36</f>
        <v>0</v>
      </c>
      <c r="F35" s="67">
        <f>PUNTUACIONES!F36</f>
        <v>0</v>
      </c>
      <c r="G35" s="67">
        <f>PUNTUACIONES!G36</f>
        <v>0</v>
      </c>
      <c r="H35" s="67">
        <f>PUNTUACIONES!H36</f>
        <v>0</v>
      </c>
      <c r="I35" s="67">
        <f>PUNTUACIONES!I36</f>
        <v>0</v>
      </c>
      <c r="J35" s="67">
        <f>PUNTUACIONES!J36</f>
        <v>0</v>
      </c>
      <c r="K35" s="67">
        <f>PUNTUACIONES!K36</f>
        <v>0</v>
      </c>
    </row>
    <row r="36" spans="1:11" ht="19.5" customHeight="1" x14ac:dyDescent="0.25">
      <c r="A36" s="3">
        <v>30</v>
      </c>
      <c r="B36" s="67">
        <f>PUNTUACIONES!A37</f>
        <v>30</v>
      </c>
      <c r="C36" s="67">
        <f>PUNTUACIONES!B37</f>
        <v>0</v>
      </c>
      <c r="D36" s="67">
        <f>PUNTUACIONES!D37</f>
        <v>0</v>
      </c>
      <c r="E36" s="67">
        <f>PUNTUACIONES!E37</f>
        <v>0</v>
      </c>
      <c r="F36" s="67">
        <f>PUNTUACIONES!F37</f>
        <v>0</v>
      </c>
      <c r="G36" s="67">
        <f>PUNTUACIONES!G37</f>
        <v>0</v>
      </c>
      <c r="H36" s="67">
        <f>PUNTUACIONES!H37</f>
        <v>0</v>
      </c>
      <c r="I36" s="67">
        <f>PUNTUACIONES!I37</f>
        <v>0</v>
      </c>
      <c r="J36" s="67">
        <f>PUNTUACIONES!J37</f>
        <v>0</v>
      </c>
      <c r="K36" s="67">
        <f>PUNTUACIONES!K37</f>
        <v>0</v>
      </c>
    </row>
    <row r="37" spans="1:11" ht="19.5" customHeight="1" x14ac:dyDescent="0.25">
      <c r="A37" s="3">
        <v>31</v>
      </c>
      <c r="B37" s="67">
        <f>PUNTUACIONES!A38</f>
        <v>31</v>
      </c>
      <c r="C37" s="67">
        <f>PUNTUACIONES!B38</f>
        <v>0</v>
      </c>
      <c r="D37" s="67">
        <f>PUNTUACIONES!D38</f>
        <v>0</v>
      </c>
      <c r="E37" s="67">
        <f>PUNTUACIONES!E38</f>
        <v>0</v>
      </c>
      <c r="F37" s="67">
        <f>PUNTUACIONES!F38</f>
        <v>0</v>
      </c>
      <c r="G37" s="67">
        <f>PUNTUACIONES!G38</f>
        <v>0</v>
      </c>
      <c r="H37" s="67">
        <f>PUNTUACIONES!H38</f>
        <v>0</v>
      </c>
      <c r="I37" s="67">
        <f>PUNTUACIONES!I38</f>
        <v>0</v>
      </c>
      <c r="J37" s="67">
        <f>PUNTUACIONES!J38</f>
        <v>0</v>
      </c>
      <c r="K37" s="67">
        <f>PUNTUACIONES!K38</f>
        <v>0</v>
      </c>
    </row>
    <row r="38" spans="1:11" ht="19.5" customHeight="1" x14ac:dyDescent="0.25">
      <c r="A38" s="3">
        <v>32</v>
      </c>
      <c r="B38" s="67">
        <f>PUNTUACIONES!A39</f>
        <v>32</v>
      </c>
      <c r="C38" s="67">
        <f>PUNTUACIONES!B39</f>
        <v>0</v>
      </c>
      <c r="D38" s="67">
        <f>PUNTUACIONES!D39</f>
        <v>0</v>
      </c>
      <c r="E38" s="67">
        <f>PUNTUACIONES!E39</f>
        <v>0</v>
      </c>
      <c r="F38" s="67">
        <f>PUNTUACIONES!F39</f>
        <v>0</v>
      </c>
      <c r="G38" s="67">
        <f>PUNTUACIONES!G39</f>
        <v>0</v>
      </c>
      <c r="H38" s="67">
        <f>PUNTUACIONES!H39</f>
        <v>0</v>
      </c>
      <c r="I38" s="67">
        <f>PUNTUACIONES!I39</f>
        <v>0</v>
      </c>
      <c r="J38" s="67">
        <f>PUNTUACIONES!J39</f>
        <v>0</v>
      </c>
      <c r="K38" s="67">
        <f>PUNTUACIONES!K39</f>
        <v>0</v>
      </c>
    </row>
    <row r="39" spans="1:11" ht="19.5" customHeight="1" x14ac:dyDescent="0.25">
      <c r="A39" s="3">
        <v>33</v>
      </c>
      <c r="B39" s="67">
        <f>PUNTUACIONES!A40</f>
        <v>33</v>
      </c>
      <c r="C39" s="67">
        <f>PUNTUACIONES!B40</f>
        <v>0</v>
      </c>
      <c r="D39" s="67">
        <f>PUNTUACIONES!D40</f>
        <v>0</v>
      </c>
      <c r="E39" s="67">
        <f>PUNTUACIONES!E40</f>
        <v>0</v>
      </c>
      <c r="F39" s="67">
        <f>PUNTUACIONES!F40</f>
        <v>0</v>
      </c>
      <c r="G39" s="67">
        <f>PUNTUACIONES!G40</f>
        <v>0</v>
      </c>
      <c r="H39" s="67">
        <f>PUNTUACIONES!H40</f>
        <v>0</v>
      </c>
      <c r="I39" s="67">
        <f>PUNTUACIONES!I40</f>
        <v>0</v>
      </c>
      <c r="J39" s="67">
        <f>PUNTUACIONES!J40</f>
        <v>0</v>
      </c>
      <c r="K39" s="67">
        <f>PUNTUACIONES!K40</f>
        <v>0</v>
      </c>
    </row>
    <row r="40" spans="1:11" ht="19.5" customHeight="1" x14ac:dyDescent="0.25">
      <c r="A40" s="3">
        <v>34</v>
      </c>
      <c r="B40" s="67">
        <f>PUNTUACIONES!A41</f>
        <v>34</v>
      </c>
      <c r="C40" s="67">
        <f>PUNTUACIONES!B41</f>
        <v>0</v>
      </c>
      <c r="D40" s="67">
        <f>PUNTUACIONES!D41</f>
        <v>0</v>
      </c>
      <c r="E40" s="67">
        <f>PUNTUACIONES!E41</f>
        <v>0</v>
      </c>
      <c r="F40" s="67">
        <f>PUNTUACIONES!F41</f>
        <v>0</v>
      </c>
      <c r="G40" s="67">
        <f>PUNTUACIONES!G41</f>
        <v>0</v>
      </c>
      <c r="H40" s="67">
        <f>PUNTUACIONES!H41</f>
        <v>0</v>
      </c>
      <c r="I40" s="67">
        <f>PUNTUACIONES!I41</f>
        <v>0</v>
      </c>
      <c r="J40" s="67">
        <f>PUNTUACIONES!J41</f>
        <v>0</v>
      </c>
      <c r="K40" s="67">
        <f>PUNTUACIONES!K41</f>
        <v>0</v>
      </c>
    </row>
    <row r="41" spans="1:11" ht="19.5" customHeight="1" x14ac:dyDescent="0.25">
      <c r="A41" s="3">
        <v>35</v>
      </c>
      <c r="B41" s="67">
        <f>PUNTUACIONES!A42</f>
        <v>35</v>
      </c>
      <c r="C41" s="67">
        <f>PUNTUACIONES!B42</f>
        <v>0</v>
      </c>
      <c r="D41" s="67">
        <f>PUNTUACIONES!D42</f>
        <v>0</v>
      </c>
      <c r="E41" s="67">
        <f>PUNTUACIONES!E42</f>
        <v>0</v>
      </c>
      <c r="F41" s="67">
        <f>PUNTUACIONES!F42</f>
        <v>0</v>
      </c>
      <c r="G41" s="67">
        <f>PUNTUACIONES!G42</f>
        <v>0</v>
      </c>
      <c r="H41" s="67">
        <f>PUNTUACIONES!H42</f>
        <v>0</v>
      </c>
      <c r="I41" s="67">
        <f>PUNTUACIONES!I42</f>
        <v>0</v>
      </c>
      <c r="J41" s="67">
        <f>PUNTUACIONES!J42</f>
        <v>0</v>
      </c>
      <c r="K41" s="67">
        <f>PUNTUACIONES!K42</f>
        <v>0</v>
      </c>
    </row>
    <row r="42" spans="1:11" ht="19.5" customHeight="1" x14ac:dyDescent="0.25">
      <c r="A42" s="3">
        <v>36</v>
      </c>
      <c r="B42" s="67">
        <f>PUNTUACIONES!A43</f>
        <v>36</v>
      </c>
      <c r="C42" s="67">
        <f>PUNTUACIONES!B43</f>
        <v>0</v>
      </c>
      <c r="D42" s="67">
        <f>PUNTUACIONES!D43</f>
        <v>0</v>
      </c>
      <c r="E42" s="67">
        <f>PUNTUACIONES!E43</f>
        <v>0</v>
      </c>
      <c r="F42" s="67">
        <f>PUNTUACIONES!F43</f>
        <v>0</v>
      </c>
      <c r="G42" s="67">
        <f>PUNTUACIONES!G43</f>
        <v>0</v>
      </c>
      <c r="H42" s="67">
        <f>PUNTUACIONES!H43</f>
        <v>0</v>
      </c>
      <c r="I42" s="67">
        <f>PUNTUACIONES!I43</f>
        <v>0</v>
      </c>
      <c r="J42" s="67">
        <f>PUNTUACIONES!J43</f>
        <v>0</v>
      </c>
      <c r="K42" s="67">
        <f>PUNTUACIONES!K43</f>
        <v>0</v>
      </c>
    </row>
    <row r="43" spans="1:11" ht="19.5" customHeight="1" x14ac:dyDescent="0.25">
      <c r="A43" s="3">
        <v>37</v>
      </c>
      <c r="B43" s="67">
        <f>PUNTUACIONES!A44</f>
        <v>37</v>
      </c>
      <c r="C43" s="67">
        <f>PUNTUACIONES!B44</f>
        <v>0</v>
      </c>
      <c r="D43" s="67">
        <f>PUNTUACIONES!D44</f>
        <v>0</v>
      </c>
      <c r="E43" s="67">
        <f>PUNTUACIONES!E44</f>
        <v>0</v>
      </c>
      <c r="F43" s="67">
        <f>PUNTUACIONES!F44</f>
        <v>0</v>
      </c>
      <c r="G43" s="67">
        <f>PUNTUACIONES!G44</f>
        <v>0</v>
      </c>
      <c r="H43" s="67">
        <f>PUNTUACIONES!H44</f>
        <v>0</v>
      </c>
      <c r="I43" s="67">
        <f>PUNTUACIONES!I44</f>
        <v>0</v>
      </c>
      <c r="J43" s="67">
        <f>PUNTUACIONES!J44</f>
        <v>0</v>
      </c>
      <c r="K43" s="67">
        <f>PUNTUACIONES!K44</f>
        <v>0</v>
      </c>
    </row>
    <row r="44" spans="1:11" ht="19.5" customHeight="1" x14ac:dyDescent="0.25">
      <c r="A44" s="3">
        <v>38</v>
      </c>
      <c r="B44" s="67">
        <f>PUNTUACIONES!A45</f>
        <v>38</v>
      </c>
      <c r="C44" s="67">
        <f>PUNTUACIONES!B45</f>
        <v>0</v>
      </c>
      <c r="D44" s="67">
        <f>PUNTUACIONES!D45</f>
        <v>0</v>
      </c>
      <c r="E44" s="67">
        <f>PUNTUACIONES!E45</f>
        <v>0</v>
      </c>
      <c r="F44" s="67">
        <f>PUNTUACIONES!F45</f>
        <v>0</v>
      </c>
      <c r="G44" s="67">
        <f>PUNTUACIONES!G45</f>
        <v>0</v>
      </c>
      <c r="H44" s="67">
        <f>PUNTUACIONES!H45</f>
        <v>0</v>
      </c>
      <c r="I44" s="67">
        <f>PUNTUACIONES!I45</f>
        <v>0</v>
      </c>
      <c r="J44" s="67">
        <f>PUNTUACIONES!J45</f>
        <v>0</v>
      </c>
      <c r="K44" s="67">
        <f>PUNTUACIONES!K45</f>
        <v>0</v>
      </c>
    </row>
    <row r="45" spans="1:11" ht="19.5" customHeight="1" x14ac:dyDescent="0.25">
      <c r="A45" s="3">
        <v>39</v>
      </c>
      <c r="B45" s="67">
        <f>PUNTUACIONES!A46</f>
        <v>39</v>
      </c>
      <c r="C45" s="67">
        <f>PUNTUACIONES!B46</f>
        <v>0</v>
      </c>
      <c r="D45" s="67">
        <f>PUNTUACIONES!D46</f>
        <v>0</v>
      </c>
      <c r="E45" s="67">
        <f>PUNTUACIONES!E46</f>
        <v>0</v>
      </c>
      <c r="F45" s="67">
        <f>PUNTUACIONES!F46</f>
        <v>0</v>
      </c>
      <c r="G45" s="67">
        <f>PUNTUACIONES!G46</f>
        <v>0</v>
      </c>
      <c r="H45" s="67">
        <f>PUNTUACIONES!H46</f>
        <v>0</v>
      </c>
      <c r="I45" s="67">
        <f>PUNTUACIONES!I46</f>
        <v>0</v>
      </c>
      <c r="J45" s="67">
        <f>PUNTUACIONES!J46</f>
        <v>0</v>
      </c>
      <c r="K45" s="67">
        <f>PUNTUACIONES!K46</f>
        <v>0</v>
      </c>
    </row>
    <row r="46" spans="1:11" ht="19.5" customHeight="1" x14ac:dyDescent="0.25">
      <c r="A46" s="3">
        <v>40</v>
      </c>
      <c r="B46" s="67">
        <f>PUNTUACIONES!A47</f>
        <v>40</v>
      </c>
      <c r="C46" s="67">
        <f>PUNTUACIONES!B47</f>
        <v>0</v>
      </c>
      <c r="D46" s="67">
        <f>PUNTUACIONES!D47</f>
        <v>0</v>
      </c>
      <c r="E46" s="67">
        <f>PUNTUACIONES!E47</f>
        <v>0</v>
      </c>
      <c r="F46" s="67">
        <f>PUNTUACIONES!F47</f>
        <v>0</v>
      </c>
      <c r="G46" s="67">
        <f>PUNTUACIONES!G47</f>
        <v>0</v>
      </c>
      <c r="H46" s="67">
        <f>PUNTUACIONES!H47</f>
        <v>0</v>
      </c>
      <c r="I46" s="67">
        <f>PUNTUACIONES!I47</f>
        <v>0</v>
      </c>
      <c r="J46" s="67">
        <f>PUNTUACIONES!J47</f>
        <v>0</v>
      </c>
      <c r="K46" s="67">
        <f>PUNTUACIONES!K47</f>
        <v>0</v>
      </c>
    </row>
    <row r="47" spans="1:11" ht="19.5" customHeight="1" x14ac:dyDescent="0.25">
      <c r="A47" s="3">
        <v>41</v>
      </c>
      <c r="B47" s="67">
        <f>PUNTUACIONES!A48</f>
        <v>41</v>
      </c>
      <c r="C47" s="67">
        <f>PUNTUACIONES!B48</f>
        <v>0</v>
      </c>
      <c r="D47" s="67">
        <f>PUNTUACIONES!D48</f>
        <v>0</v>
      </c>
      <c r="E47" s="67">
        <f>PUNTUACIONES!E48</f>
        <v>0</v>
      </c>
      <c r="F47" s="67">
        <f>PUNTUACIONES!F48</f>
        <v>0</v>
      </c>
      <c r="G47" s="67">
        <f>PUNTUACIONES!G48</f>
        <v>0</v>
      </c>
      <c r="H47" s="67">
        <f>PUNTUACIONES!H48</f>
        <v>0</v>
      </c>
      <c r="I47" s="67">
        <f>PUNTUACIONES!I48</f>
        <v>0</v>
      </c>
      <c r="J47" s="67">
        <f>PUNTUACIONES!J48</f>
        <v>0</v>
      </c>
      <c r="K47" s="67">
        <f>PUNTUACIONES!K48</f>
        <v>0</v>
      </c>
    </row>
    <row r="48" spans="1:11" ht="19.5" customHeight="1" x14ac:dyDescent="0.25">
      <c r="A48" s="3">
        <v>42</v>
      </c>
      <c r="B48" s="67">
        <f>PUNTUACIONES!A49</f>
        <v>42</v>
      </c>
      <c r="C48" s="67">
        <f>PUNTUACIONES!B49</f>
        <v>0</v>
      </c>
      <c r="D48" s="67">
        <f>PUNTUACIONES!D49</f>
        <v>0</v>
      </c>
      <c r="E48" s="67">
        <f>PUNTUACIONES!E49</f>
        <v>0</v>
      </c>
      <c r="F48" s="67">
        <f>PUNTUACIONES!F49</f>
        <v>0</v>
      </c>
      <c r="G48" s="67">
        <f>PUNTUACIONES!G49</f>
        <v>0</v>
      </c>
      <c r="H48" s="67">
        <f>PUNTUACIONES!H49</f>
        <v>0</v>
      </c>
      <c r="I48" s="67">
        <f>PUNTUACIONES!I49</f>
        <v>0</v>
      </c>
      <c r="J48" s="67">
        <f>PUNTUACIONES!J49</f>
        <v>0</v>
      </c>
      <c r="K48" s="67">
        <f>PUNTUACIONES!K49</f>
        <v>0</v>
      </c>
    </row>
    <row r="49" spans="1:11" ht="19.5" customHeight="1" x14ac:dyDescent="0.25">
      <c r="A49" s="3">
        <v>43</v>
      </c>
      <c r="B49" s="67">
        <f>PUNTUACIONES!A50</f>
        <v>43</v>
      </c>
      <c r="C49" s="67">
        <f>PUNTUACIONES!B50</f>
        <v>0</v>
      </c>
      <c r="D49" s="67">
        <f>PUNTUACIONES!D50</f>
        <v>0</v>
      </c>
      <c r="E49" s="67">
        <f>PUNTUACIONES!E50</f>
        <v>0</v>
      </c>
      <c r="F49" s="67">
        <f>PUNTUACIONES!F50</f>
        <v>0</v>
      </c>
      <c r="G49" s="67">
        <f>PUNTUACIONES!G50</f>
        <v>0</v>
      </c>
      <c r="H49" s="67">
        <f>PUNTUACIONES!H50</f>
        <v>0</v>
      </c>
      <c r="I49" s="67">
        <f>PUNTUACIONES!I50</f>
        <v>0</v>
      </c>
      <c r="J49" s="67">
        <f>PUNTUACIONES!J50</f>
        <v>0</v>
      </c>
      <c r="K49" s="67">
        <f>PUNTUACIONES!K50</f>
        <v>0</v>
      </c>
    </row>
    <row r="50" spans="1:11" ht="19.5" customHeight="1" x14ac:dyDescent="0.25">
      <c r="A50" s="3">
        <v>44</v>
      </c>
      <c r="B50" s="67">
        <f>PUNTUACIONES!A51</f>
        <v>44</v>
      </c>
      <c r="C50" s="67">
        <f>PUNTUACIONES!B51</f>
        <v>0</v>
      </c>
      <c r="D50" s="67">
        <f>PUNTUACIONES!D51</f>
        <v>0</v>
      </c>
      <c r="E50" s="67">
        <f>PUNTUACIONES!E51</f>
        <v>0</v>
      </c>
      <c r="F50" s="67">
        <f>PUNTUACIONES!F51</f>
        <v>0</v>
      </c>
      <c r="G50" s="67">
        <f>PUNTUACIONES!G51</f>
        <v>0</v>
      </c>
      <c r="H50" s="67">
        <f>PUNTUACIONES!H51</f>
        <v>0</v>
      </c>
      <c r="I50" s="67">
        <f>PUNTUACIONES!I51</f>
        <v>0</v>
      </c>
      <c r="J50" s="67">
        <f>PUNTUACIONES!J51</f>
        <v>0</v>
      </c>
      <c r="K50" s="67">
        <f>PUNTUACIONES!K51</f>
        <v>0</v>
      </c>
    </row>
    <row r="51" spans="1:11" ht="19.5" customHeight="1" x14ac:dyDescent="0.25">
      <c r="A51" s="3">
        <v>45</v>
      </c>
      <c r="B51" s="67">
        <f>PUNTUACIONES!A52</f>
        <v>45</v>
      </c>
      <c r="C51" s="67">
        <f>PUNTUACIONES!B52</f>
        <v>0</v>
      </c>
      <c r="D51" s="67">
        <f>PUNTUACIONES!D52</f>
        <v>0</v>
      </c>
      <c r="E51" s="67">
        <f>PUNTUACIONES!E52</f>
        <v>0</v>
      </c>
      <c r="F51" s="67">
        <f>PUNTUACIONES!F52</f>
        <v>0</v>
      </c>
      <c r="G51" s="67">
        <f>PUNTUACIONES!G52</f>
        <v>0</v>
      </c>
      <c r="H51" s="67">
        <f>PUNTUACIONES!H52</f>
        <v>0</v>
      </c>
      <c r="I51" s="67">
        <f>PUNTUACIONES!I52</f>
        <v>0</v>
      </c>
      <c r="J51" s="67">
        <f>PUNTUACIONES!J52</f>
        <v>0</v>
      </c>
      <c r="K51" s="67">
        <f>PUNTUACIONES!K52</f>
        <v>0</v>
      </c>
    </row>
    <row r="52" spans="1:11" ht="19.5" customHeight="1" x14ac:dyDescent="0.25">
      <c r="A52" s="3">
        <v>46</v>
      </c>
      <c r="B52" s="67">
        <f>PUNTUACIONES!A53</f>
        <v>46</v>
      </c>
      <c r="C52" s="67">
        <f>PUNTUACIONES!B53</f>
        <v>0</v>
      </c>
      <c r="D52" s="67">
        <f>PUNTUACIONES!D53</f>
        <v>0</v>
      </c>
      <c r="E52" s="67">
        <f>PUNTUACIONES!E53</f>
        <v>0</v>
      </c>
      <c r="F52" s="67">
        <f>PUNTUACIONES!F53</f>
        <v>0</v>
      </c>
      <c r="G52" s="67">
        <f>PUNTUACIONES!G53</f>
        <v>0</v>
      </c>
      <c r="H52" s="67">
        <f>PUNTUACIONES!H53</f>
        <v>0</v>
      </c>
      <c r="I52" s="67">
        <f>PUNTUACIONES!I53</f>
        <v>0</v>
      </c>
      <c r="J52" s="67">
        <f>PUNTUACIONES!J53</f>
        <v>0</v>
      </c>
      <c r="K52" s="67">
        <f>PUNTUACIONES!K53</f>
        <v>0</v>
      </c>
    </row>
    <row r="53" spans="1:11" ht="19.5" customHeight="1" x14ac:dyDescent="0.25">
      <c r="A53" s="3">
        <v>47</v>
      </c>
      <c r="B53" s="67">
        <f>PUNTUACIONES!A54</f>
        <v>47</v>
      </c>
      <c r="C53" s="67">
        <f>PUNTUACIONES!B54</f>
        <v>0</v>
      </c>
      <c r="D53" s="67">
        <f>PUNTUACIONES!D54</f>
        <v>0</v>
      </c>
      <c r="E53" s="67">
        <f>PUNTUACIONES!E54</f>
        <v>0</v>
      </c>
      <c r="F53" s="67">
        <f>PUNTUACIONES!F54</f>
        <v>0</v>
      </c>
      <c r="G53" s="67">
        <f>PUNTUACIONES!G54</f>
        <v>0</v>
      </c>
      <c r="H53" s="67">
        <f>PUNTUACIONES!H54</f>
        <v>0</v>
      </c>
      <c r="I53" s="67">
        <f>PUNTUACIONES!I54</f>
        <v>0</v>
      </c>
      <c r="J53" s="67">
        <f>PUNTUACIONES!J54</f>
        <v>0</v>
      </c>
      <c r="K53" s="67">
        <f>PUNTUACIONES!K54</f>
        <v>0</v>
      </c>
    </row>
    <row r="54" spans="1:11" ht="19.5" customHeight="1" x14ac:dyDescent="0.25">
      <c r="A54" s="3">
        <v>48</v>
      </c>
      <c r="B54" s="67">
        <f>PUNTUACIONES!A55</f>
        <v>48</v>
      </c>
      <c r="C54" s="67">
        <f>PUNTUACIONES!B55</f>
        <v>0</v>
      </c>
      <c r="D54" s="67">
        <f>PUNTUACIONES!D55</f>
        <v>0</v>
      </c>
      <c r="E54" s="67">
        <f>PUNTUACIONES!E55</f>
        <v>0</v>
      </c>
      <c r="F54" s="67">
        <f>PUNTUACIONES!F55</f>
        <v>0</v>
      </c>
      <c r="G54" s="67">
        <f>PUNTUACIONES!G55</f>
        <v>0</v>
      </c>
      <c r="H54" s="67">
        <f>PUNTUACIONES!H55</f>
        <v>0</v>
      </c>
      <c r="I54" s="67">
        <f>PUNTUACIONES!I55</f>
        <v>0</v>
      </c>
      <c r="J54" s="67">
        <f>PUNTUACIONES!J55</f>
        <v>0</v>
      </c>
      <c r="K54" s="67">
        <f>PUNTUACIONES!K55</f>
        <v>0</v>
      </c>
    </row>
    <row r="55" spans="1:11" ht="19.5" customHeight="1" x14ac:dyDescent="0.25">
      <c r="A55" s="3">
        <v>49</v>
      </c>
      <c r="B55" s="67">
        <f>PUNTUACIONES!A56</f>
        <v>49</v>
      </c>
      <c r="C55" s="67">
        <f>PUNTUACIONES!B56</f>
        <v>0</v>
      </c>
      <c r="D55" s="67">
        <f>PUNTUACIONES!D56</f>
        <v>0</v>
      </c>
      <c r="E55" s="67">
        <f>PUNTUACIONES!E56</f>
        <v>0</v>
      </c>
      <c r="F55" s="67">
        <f>PUNTUACIONES!F56</f>
        <v>0</v>
      </c>
      <c r="G55" s="67">
        <f>PUNTUACIONES!G56</f>
        <v>0</v>
      </c>
      <c r="H55" s="67">
        <f>PUNTUACIONES!H56</f>
        <v>0</v>
      </c>
      <c r="I55" s="67">
        <f>PUNTUACIONES!I56</f>
        <v>0</v>
      </c>
      <c r="J55" s="67">
        <f>PUNTUACIONES!J56</f>
        <v>0</v>
      </c>
      <c r="K55" s="67">
        <f>PUNTUACIONES!K56</f>
        <v>0</v>
      </c>
    </row>
    <row r="56" spans="1:11" ht="19.5" customHeight="1" x14ac:dyDescent="0.25">
      <c r="A56" s="3">
        <v>50</v>
      </c>
      <c r="B56" s="67">
        <f>PUNTUACIONES!A57</f>
        <v>50</v>
      </c>
      <c r="C56" s="67">
        <f>PUNTUACIONES!B57</f>
        <v>0</v>
      </c>
      <c r="D56" s="67">
        <f>PUNTUACIONES!D57</f>
        <v>0</v>
      </c>
      <c r="E56" s="67">
        <f>PUNTUACIONES!E57</f>
        <v>0</v>
      </c>
      <c r="F56" s="67">
        <f>PUNTUACIONES!F57</f>
        <v>0</v>
      </c>
      <c r="G56" s="67">
        <f>PUNTUACIONES!G57</f>
        <v>0</v>
      </c>
      <c r="H56" s="67">
        <f>PUNTUACIONES!H57</f>
        <v>0</v>
      </c>
      <c r="I56" s="67">
        <f>PUNTUACIONES!I57</f>
        <v>0</v>
      </c>
      <c r="J56" s="67">
        <f>PUNTUACIONES!J57</f>
        <v>0</v>
      </c>
      <c r="K56" s="67">
        <f>PUNTUACIONES!K57</f>
        <v>0</v>
      </c>
    </row>
    <row r="57" spans="1:11" ht="19.5" customHeight="1" x14ac:dyDescent="0.25">
      <c r="A57" s="3">
        <v>51</v>
      </c>
      <c r="B57" s="67">
        <f>PUNTUACIONES!A58</f>
        <v>51</v>
      </c>
      <c r="C57" s="67">
        <f>PUNTUACIONES!B58</f>
        <v>0</v>
      </c>
      <c r="D57" s="67">
        <f>PUNTUACIONES!D58</f>
        <v>0</v>
      </c>
      <c r="E57" s="67">
        <f>PUNTUACIONES!E58</f>
        <v>0</v>
      </c>
      <c r="F57" s="67">
        <f>PUNTUACIONES!F58</f>
        <v>0</v>
      </c>
      <c r="G57" s="67">
        <f>PUNTUACIONES!G58</f>
        <v>0</v>
      </c>
      <c r="H57" s="67">
        <f>PUNTUACIONES!H58</f>
        <v>0</v>
      </c>
      <c r="I57" s="67">
        <f>PUNTUACIONES!I58</f>
        <v>0</v>
      </c>
      <c r="J57" s="67">
        <f>PUNTUACIONES!J58</f>
        <v>0</v>
      </c>
      <c r="K57" s="67">
        <f>PUNTUACIONES!K58</f>
        <v>0</v>
      </c>
    </row>
    <row r="58" spans="1:11" ht="19.5" customHeight="1" x14ac:dyDescent="0.25">
      <c r="A58" s="3">
        <v>52</v>
      </c>
      <c r="B58" s="67">
        <f>PUNTUACIONES!A59</f>
        <v>52</v>
      </c>
      <c r="C58" s="67">
        <f>PUNTUACIONES!B59</f>
        <v>0</v>
      </c>
      <c r="D58" s="67">
        <f>PUNTUACIONES!D59</f>
        <v>0</v>
      </c>
      <c r="E58" s="67">
        <f>PUNTUACIONES!E59</f>
        <v>0</v>
      </c>
      <c r="F58" s="67">
        <f>PUNTUACIONES!F59</f>
        <v>0</v>
      </c>
      <c r="G58" s="67">
        <f>PUNTUACIONES!G59</f>
        <v>0</v>
      </c>
      <c r="H58" s="67">
        <f>PUNTUACIONES!H59</f>
        <v>0</v>
      </c>
      <c r="I58" s="67">
        <f>PUNTUACIONES!I59</f>
        <v>0</v>
      </c>
      <c r="J58" s="67">
        <f>PUNTUACIONES!J59</f>
        <v>0</v>
      </c>
      <c r="K58" s="67">
        <f>PUNTUACIONES!K59</f>
        <v>0</v>
      </c>
    </row>
    <row r="59" spans="1:11" ht="19.5" customHeight="1" x14ac:dyDescent="0.25">
      <c r="A59" s="3">
        <v>53</v>
      </c>
      <c r="B59" s="67">
        <f>PUNTUACIONES!A60</f>
        <v>53</v>
      </c>
      <c r="C59" s="67">
        <f>PUNTUACIONES!B60</f>
        <v>0</v>
      </c>
      <c r="D59" s="67">
        <f>PUNTUACIONES!D60</f>
        <v>0</v>
      </c>
      <c r="E59" s="67">
        <f>PUNTUACIONES!E60</f>
        <v>0</v>
      </c>
      <c r="F59" s="67">
        <f>PUNTUACIONES!F60</f>
        <v>0</v>
      </c>
      <c r="G59" s="67">
        <f>PUNTUACIONES!G60</f>
        <v>0</v>
      </c>
      <c r="H59" s="67">
        <f>PUNTUACIONES!H60</f>
        <v>0</v>
      </c>
      <c r="I59" s="67">
        <f>PUNTUACIONES!I60</f>
        <v>0</v>
      </c>
      <c r="J59" s="67">
        <f>PUNTUACIONES!J60</f>
        <v>0</v>
      </c>
      <c r="K59" s="67">
        <f>PUNTUACIONES!K60</f>
        <v>0</v>
      </c>
    </row>
    <row r="60" spans="1:11" ht="19.5" customHeight="1" x14ac:dyDescent="0.25">
      <c r="A60" s="3">
        <v>54</v>
      </c>
      <c r="B60" s="67">
        <f>PUNTUACIONES!A61</f>
        <v>54</v>
      </c>
      <c r="C60" s="67">
        <f>PUNTUACIONES!B61</f>
        <v>0</v>
      </c>
      <c r="D60" s="67">
        <f>PUNTUACIONES!D61</f>
        <v>0</v>
      </c>
      <c r="E60" s="67">
        <f>PUNTUACIONES!E61</f>
        <v>0</v>
      </c>
      <c r="F60" s="67">
        <f>PUNTUACIONES!F61</f>
        <v>0</v>
      </c>
      <c r="G60" s="67">
        <f>PUNTUACIONES!G61</f>
        <v>0</v>
      </c>
      <c r="H60" s="67">
        <f>PUNTUACIONES!H61</f>
        <v>0</v>
      </c>
      <c r="I60" s="67">
        <f>PUNTUACIONES!I61</f>
        <v>0</v>
      </c>
      <c r="J60" s="67">
        <f>PUNTUACIONES!J61</f>
        <v>0</v>
      </c>
      <c r="K60" s="67">
        <f>PUNTUACIONES!K61</f>
        <v>0</v>
      </c>
    </row>
    <row r="61" spans="1:11" ht="19.5" customHeight="1" x14ac:dyDescent="0.25">
      <c r="A61" s="3">
        <v>55</v>
      </c>
      <c r="B61" s="67">
        <f>PUNTUACIONES!A62</f>
        <v>55</v>
      </c>
      <c r="C61" s="67">
        <f>PUNTUACIONES!B62</f>
        <v>0</v>
      </c>
      <c r="D61" s="67">
        <f>PUNTUACIONES!D62</f>
        <v>0</v>
      </c>
      <c r="E61" s="67">
        <f>PUNTUACIONES!E62</f>
        <v>0</v>
      </c>
      <c r="F61" s="67">
        <f>PUNTUACIONES!F62</f>
        <v>0</v>
      </c>
      <c r="G61" s="67">
        <f>PUNTUACIONES!G62</f>
        <v>0</v>
      </c>
      <c r="H61" s="67">
        <f>PUNTUACIONES!H62</f>
        <v>0</v>
      </c>
      <c r="I61" s="67">
        <f>PUNTUACIONES!I62</f>
        <v>0</v>
      </c>
      <c r="J61" s="67">
        <f>PUNTUACIONES!J62</f>
        <v>0</v>
      </c>
      <c r="K61" s="67">
        <f>PUNTUACIONES!K62</f>
        <v>0</v>
      </c>
    </row>
    <row r="62" spans="1:11" ht="19.5" customHeight="1" x14ac:dyDescent="0.25">
      <c r="A62" s="3">
        <v>56</v>
      </c>
      <c r="B62" s="67">
        <f>PUNTUACIONES!A63</f>
        <v>56</v>
      </c>
      <c r="C62" s="67">
        <f>PUNTUACIONES!B63</f>
        <v>0</v>
      </c>
      <c r="D62" s="67">
        <f>PUNTUACIONES!D63</f>
        <v>0</v>
      </c>
      <c r="E62" s="67">
        <f>PUNTUACIONES!E63</f>
        <v>0</v>
      </c>
      <c r="F62" s="67">
        <f>PUNTUACIONES!F63</f>
        <v>0</v>
      </c>
      <c r="G62" s="67">
        <f>PUNTUACIONES!G63</f>
        <v>0</v>
      </c>
      <c r="H62" s="67">
        <f>PUNTUACIONES!H63</f>
        <v>0</v>
      </c>
      <c r="I62" s="67">
        <f>PUNTUACIONES!I63</f>
        <v>0</v>
      </c>
      <c r="J62" s="67">
        <f>PUNTUACIONES!J63</f>
        <v>0</v>
      </c>
      <c r="K62" s="67">
        <f>PUNTUACIONES!K63</f>
        <v>0</v>
      </c>
    </row>
    <row r="63" spans="1:11" ht="19.5" customHeight="1" x14ac:dyDescent="0.25">
      <c r="A63" s="3">
        <v>57</v>
      </c>
      <c r="B63" s="67">
        <f>PUNTUACIONES!A64</f>
        <v>57</v>
      </c>
      <c r="C63" s="67">
        <f>PUNTUACIONES!B64</f>
        <v>0</v>
      </c>
      <c r="D63" s="67">
        <f>PUNTUACIONES!D64</f>
        <v>0</v>
      </c>
      <c r="E63" s="67">
        <f>PUNTUACIONES!E64</f>
        <v>0</v>
      </c>
      <c r="F63" s="67">
        <f>PUNTUACIONES!F64</f>
        <v>0</v>
      </c>
      <c r="G63" s="67">
        <f>PUNTUACIONES!G64</f>
        <v>0</v>
      </c>
      <c r="H63" s="67">
        <f>PUNTUACIONES!H64</f>
        <v>0</v>
      </c>
      <c r="I63" s="67">
        <f>PUNTUACIONES!I64</f>
        <v>0</v>
      </c>
      <c r="J63" s="67">
        <f>PUNTUACIONES!J64</f>
        <v>0</v>
      </c>
      <c r="K63" s="67">
        <f>PUNTUACIONES!K64</f>
        <v>0</v>
      </c>
    </row>
    <row r="64" spans="1:11" ht="19.5" customHeight="1" x14ac:dyDescent="0.25">
      <c r="A64" s="3">
        <v>58</v>
      </c>
      <c r="B64" s="67">
        <f>PUNTUACIONES!A65</f>
        <v>58</v>
      </c>
      <c r="C64" s="67">
        <f>PUNTUACIONES!B65</f>
        <v>0</v>
      </c>
      <c r="D64" s="67">
        <f>PUNTUACIONES!D65</f>
        <v>0</v>
      </c>
      <c r="E64" s="67">
        <f>PUNTUACIONES!E65</f>
        <v>0</v>
      </c>
      <c r="F64" s="67">
        <f>PUNTUACIONES!F65</f>
        <v>0</v>
      </c>
      <c r="G64" s="67">
        <f>PUNTUACIONES!G65</f>
        <v>0</v>
      </c>
      <c r="H64" s="67">
        <f>PUNTUACIONES!H65</f>
        <v>0</v>
      </c>
      <c r="I64" s="67">
        <f>PUNTUACIONES!I65</f>
        <v>0</v>
      </c>
      <c r="J64" s="67">
        <f>PUNTUACIONES!J65</f>
        <v>0</v>
      </c>
      <c r="K64" s="67">
        <f>PUNTUACIONES!K65</f>
        <v>0</v>
      </c>
    </row>
    <row r="65" spans="1:11" ht="19.5" customHeight="1" x14ac:dyDescent="0.25">
      <c r="A65" s="3">
        <v>59</v>
      </c>
      <c r="B65" s="67">
        <f>PUNTUACIONES!A66</f>
        <v>59</v>
      </c>
      <c r="C65" s="67">
        <f>PUNTUACIONES!B66</f>
        <v>0</v>
      </c>
      <c r="D65" s="67">
        <f>PUNTUACIONES!D66</f>
        <v>0</v>
      </c>
      <c r="E65" s="67">
        <f>PUNTUACIONES!E66</f>
        <v>0</v>
      </c>
      <c r="F65" s="67">
        <f>PUNTUACIONES!F66</f>
        <v>0</v>
      </c>
      <c r="G65" s="67">
        <f>PUNTUACIONES!G66</f>
        <v>0</v>
      </c>
      <c r="H65" s="67">
        <f>PUNTUACIONES!H66</f>
        <v>0</v>
      </c>
      <c r="I65" s="67">
        <f>PUNTUACIONES!I66</f>
        <v>0</v>
      </c>
      <c r="J65" s="67">
        <f>PUNTUACIONES!J66</f>
        <v>0</v>
      </c>
      <c r="K65" s="67">
        <f>PUNTUACIONES!K66</f>
        <v>0</v>
      </c>
    </row>
    <row r="66" spans="1:11" ht="19.5" customHeight="1" x14ac:dyDescent="0.25">
      <c r="A66" s="3">
        <v>60</v>
      </c>
      <c r="B66" s="67">
        <f>PUNTUACIONES!A67</f>
        <v>60</v>
      </c>
      <c r="C66" s="67">
        <f>PUNTUACIONES!B67</f>
        <v>0</v>
      </c>
      <c r="D66" s="67">
        <f>PUNTUACIONES!D67</f>
        <v>0</v>
      </c>
      <c r="E66" s="67">
        <f>PUNTUACIONES!E67</f>
        <v>0</v>
      </c>
      <c r="F66" s="67">
        <f>PUNTUACIONES!F67</f>
        <v>0</v>
      </c>
      <c r="G66" s="67">
        <f>PUNTUACIONES!G67</f>
        <v>0</v>
      </c>
      <c r="H66" s="67">
        <f>PUNTUACIONES!H67</f>
        <v>0</v>
      </c>
      <c r="I66" s="67">
        <f>PUNTUACIONES!I67</f>
        <v>0</v>
      </c>
      <c r="J66" s="67">
        <f>PUNTUACIONES!J67</f>
        <v>0</v>
      </c>
      <c r="K66" s="67">
        <f>PUNTUACIONES!K67</f>
        <v>0</v>
      </c>
    </row>
    <row r="67" spans="1:11" ht="19.5" customHeight="1" x14ac:dyDescent="0.25">
      <c r="A67" s="3">
        <v>61</v>
      </c>
      <c r="B67" s="67">
        <f>PUNTUACIONES!A68</f>
        <v>61</v>
      </c>
      <c r="C67" s="67">
        <f>PUNTUACIONES!B68</f>
        <v>0</v>
      </c>
      <c r="D67" s="67">
        <f>PUNTUACIONES!D68</f>
        <v>0</v>
      </c>
      <c r="E67" s="67">
        <f>PUNTUACIONES!E68</f>
        <v>0</v>
      </c>
      <c r="F67" s="67">
        <f>PUNTUACIONES!F68</f>
        <v>0</v>
      </c>
      <c r="G67" s="67">
        <f>PUNTUACIONES!G68</f>
        <v>0</v>
      </c>
      <c r="H67" s="67">
        <f>PUNTUACIONES!H68</f>
        <v>0</v>
      </c>
      <c r="I67" s="67">
        <f>PUNTUACIONES!I68</f>
        <v>0</v>
      </c>
      <c r="J67" s="67">
        <f>PUNTUACIONES!J68</f>
        <v>0</v>
      </c>
      <c r="K67" s="67">
        <f>PUNTUACIONES!K68</f>
        <v>0</v>
      </c>
    </row>
    <row r="68" spans="1:11" ht="19.5" customHeight="1" x14ac:dyDescent="0.25">
      <c r="A68" s="3">
        <v>62</v>
      </c>
      <c r="B68" s="67">
        <f>PUNTUACIONES!A69</f>
        <v>62</v>
      </c>
      <c r="C68" s="67">
        <f>PUNTUACIONES!B69</f>
        <v>0</v>
      </c>
      <c r="D68" s="67">
        <f>PUNTUACIONES!D69</f>
        <v>0</v>
      </c>
      <c r="E68" s="67">
        <f>PUNTUACIONES!E69</f>
        <v>0</v>
      </c>
      <c r="F68" s="67">
        <f>PUNTUACIONES!F69</f>
        <v>0</v>
      </c>
      <c r="G68" s="67">
        <f>PUNTUACIONES!G69</f>
        <v>0</v>
      </c>
      <c r="H68" s="67">
        <f>PUNTUACIONES!H69</f>
        <v>0</v>
      </c>
      <c r="I68" s="67">
        <f>PUNTUACIONES!I69</f>
        <v>0</v>
      </c>
      <c r="J68" s="67">
        <f>PUNTUACIONES!J69</f>
        <v>0</v>
      </c>
      <c r="K68" s="67">
        <f>PUNTUACIONES!K69</f>
        <v>0</v>
      </c>
    </row>
    <row r="69" spans="1:11" ht="19.5" customHeight="1" x14ac:dyDescent="0.25">
      <c r="A69" s="3">
        <v>63</v>
      </c>
      <c r="B69" s="67">
        <f>PUNTUACIONES!A70</f>
        <v>63</v>
      </c>
      <c r="C69" s="67">
        <f>PUNTUACIONES!B70</f>
        <v>0</v>
      </c>
      <c r="D69" s="67">
        <f>PUNTUACIONES!D70</f>
        <v>0</v>
      </c>
      <c r="E69" s="67">
        <f>PUNTUACIONES!E70</f>
        <v>0</v>
      </c>
      <c r="F69" s="67">
        <f>PUNTUACIONES!F70</f>
        <v>0</v>
      </c>
      <c r="G69" s="67">
        <f>PUNTUACIONES!G70</f>
        <v>0</v>
      </c>
      <c r="H69" s="67">
        <f>PUNTUACIONES!H70</f>
        <v>0</v>
      </c>
      <c r="I69" s="67">
        <f>PUNTUACIONES!I70</f>
        <v>0</v>
      </c>
      <c r="J69" s="67">
        <f>PUNTUACIONES!J70</f>
        <v>0</v>
      </c>
      <c r="K69" s="67">
        <f>PUNTUACIONES!K70</f>
        <v>0</v>
      </c>
    </row>
    <row r="70" spans="1:11" ht="19.5" customHeight="1" x14ac:dyDescent="0.25">
      <c r="A70" s="3">
        <v>64</v>
      </c>
      <c r="B70" s="67">
        <f>PUNTUACIONES!A71</f>
        <v>64</v>
      </c>
      <c r="C70" s="67">
        <f>PUNTUACIONES!B71</f>
        <v>0</v>
      </c>
      <c r="D70" s="67">
        <f>PUNTUACIONES!D71</f>
        <v>0</v>
      </c>
      <c r="E70" s="67">
        <f>PUNTUACIONES!E71</f>
        <v>0</v>
      </c>
      <c r="F70" s="67">
        <f>PUNTUACIONES!F71</f>
        <v>0</v>
      </c>
      <c r="G70" s="67">
        <f>PUNTUACIONES!G71</f>
        <v>0</v>
      </c>
      <c r="H70" s="67">
        <f>PUNTUACIONES!H71</f>
        <v>0</v>
      </c>
      <c r="I70" s="67">
        <f>PUNTUACIONES!I71</f>
        <v>0</v>
      </c>
      <c r="J70" s="67">
        <f>PUNTUACIONES!J71</f>
        <v>0</v>
      </c>
      <c r="K70" s="67">
        <f>PUNTUACIONES!K71</f>
        <v>0</v>
      </c>
    </row>
    <row r="71" spans="1:11" ht="19.5" customHeight="1" x14ac:dyDescent="0.25">
      <c r="A71" s="3">
        <v>65</v>
      </c>
      <c r="B71" s="67">
        <f>PUNTUACIONES!A72</f>
        <v>65</v>
      </c>
      <c r="C71" s="67">
        <f>PUNTUACIONES!B72</f>
        <v>0</v>
      </c>
      <c r="D71" s="67">
        <f>PUNTUACIONES!D72</f>
        <v>0</v>
      </c>
      <c r="E71" s="67">
        <f>PUNTUACIONES!E72</f>
        <v>0</v>
      </c>
      <c r="F71" s="67">
        <f>PUNTUACIONES!F72</f>
        <v>0</v>
      </c>
      <c r="G71" s="67">
        <f>PUNTUACIONES!G72</f>
        <v>0</v>
      </c>
      <c r="H71" s="67">
        <f>PUNTUACIONES!H72</f>
        <v>0</v>
      </c>
      <c r="I71" s="67">
        <f>PUNTUACIONES!I72</f>
        <v>0</v>
      </c>
      <c r="J71" s="67">
        <f>PUNTUACIONES!J72</f>
        <v>0</v>
      </c>
      <c r="K71" s="67">
        <f>PUNTUACIONES!K72</f>
        <v>0</v>
      </c>
    </row>
    <row r="72" spans="1:11" ht="19.5" customHeight="1" x14ac:dyDescent="0.25">
      <c r="A72" s="3">
        <v>66</v>
      </c>
      <c r="B72" s="67">
        <f>PUNTUACIONES!A73</f>
        <v>66</v>
      </c>
      <c r="C72" s="67">
        <f>PUNTUACIONES!B73</f>
        <v>0</v>
      </c>
      <c r="D72" s="67">
        <f>PUNTUACIONES!D73</f>
        <v>0</v>
      </c>
      <c r="E72" s="67">
        <f>PUNTUACIONES!E73</f>
        <v>0</v>
      </c>
      <c r="F72" s="67">
        <f>PUNTUACIONES!F73</f>
        <v>0</v>
      </c>
      <c r="G72" s="67">
        <f>PUNTUACIONES!G73</f>
        <v>0</v>
      </c>
      <c r="H72" s="67">
        <f>PUNTUACIONES!H73</f>
        <v>0</v>
      </c>
      <c r="I72" s="67">
        <f>PUNTUACIONES!I73</f>
        <v>0</v>
      </c>
      <c r="J72" s="67">
        <f>PUNTUACIONES!J73</f>
        <v>0</v>
      </c>
      <c r="K72" s="67">
        <f>PUNTUACIONES!K73</f>
        <v>0</v>
      </c>
    </row>
    <row r="73" spans="1:11" ht="19.5" customHeight="1" x14ac:dyDescent="0.25">
      <c r="A73" s="3">
        <v>67</v>
      </c>
      <c r="B73" s="67">
        <f>PUNTUACIONES!A74</f>
        <v>67</v>
      </c>
      <c r="C73" s="67">
        <f>PUNTUACIONES!B74</f>
        <v>0</v>
      </c>
      <c r="D73" s="67">
        <f>PUNTUACIONES!D74</f>
        <v>0</v>
      </c>
      <c r="E73" s="67">
        <f>PUNTUACIONES!E74</f>
        <v>0</v>
      </c>
      <c r="F73" s="67">
        <f>PUNTUACIONES!F74</f>
        <v>0</v>
      </c>
      <c r="G73" s="67">
        <f>PUNTUACIONES!G74</f>
        <v>0</v>
      </c>
      <c r="H73" s="67">
        <f>PUNTUACIONES!H74</f>
        <v>0</v>
      </c>
      <c r="I73" s="67">
        <f>PUNTUACIONES!I74</f>
        <v>0</v>
      </c>
      <c r="J73" s="67">
        <f>PUNTUACIONES!J74</f>
        <v>0</v>
      </c>
      <c r="K73" s="67">
        <f>PUNTUACIONES!K74</f>
        <v>0</v>
      </c>
    </row>
    <row r="74" spans="1:11" ht="19.5" customHeight="1" x14ac:dyDescent="0.25">
      <c r="A74" s="3">
        <v>68</v>
      </c>
      <c r="B74" s="67">
        <f>PUNTUACIONES!A75</f>
        <v>68</v>
      </c>
      <c r="C74" s="67">
        <f>PUNTUACIONES!B75</f>
        <v>0</v>
      </c>
      <c r="D74" s="67">
        <f>PUNTUACIONES!D75</f>
        <v>0</v>
      </c>
      <c r="E74" s="67">
        <f>PUNTUACIONES!E75</f>
        <v>0</v>
      </c>
      <c r="F74" s="67">
        <f>PUNTUACIONES!F75</f>
        <v>0</v>
      </c>
      <c r="G74" s="67">
        <f>PUNTUACIONES!G75</f>
        <v>0</v>
      </c>
      <c r="H74" s="67">
        <f>PUNTUACIONES!H75</f>
        <v>0</v>
      </c>
      <c r="I74" s="67">
        <f>PUNTUACIONES!I75</f>
        <v>0</v>
      </c>
      <c r="J74" s="67">
        <f>PUNTUACIONES!J75</f>
        <v>0</v>
      </c>
      <c r="K74" s="67">
        <f>PUNTUACIONES!K75</f>
        <v>0</v>
      </c>
    </row>
    <row r="75" spans="1:11" ht="19.5" customHeight="1" x14ac:dyDescent="0.25">
      <c r="A75" s="3">
        <v>69</v>
      </c>
      <c r="B75" s="67">
        <f>PUNTUACIONES!A76</f>
        <v>69</v>
      </c>
      <c r="C75" s="67">
        <f>PUNTUACIONES!B76</f>
        <v>0</v>
      </c>
      <c r="D75" s="67">
        <f>PUNTUACIONES!D76</f>
        <v>0</v>
      </c>
      <c r="E75" s="67">
        <f>PUNTUACIONES!E76</f>
        <v>0</v>
      </c>
      <c r="F75" s="67">
        <f>PUNTUACIONES!F76</f>
        <v>0</v>
      </c>
      <c r="G75" s="67">
        <f>PUNTUACIONES!G76</f>
        <v>0</v>
      </c>
      <c r="H75" s="67">
        <f>PUNTUACIONES!H76</f>
        <v>0</v>
      </c>
      <c r="I75" s="67">
        <f>PUNTUACIONES!I76</f>
        <v>0</v>
      </c>
      <c r="J75" s="67">
        <f>PUNTUACIONES!J76</f>
        <v>0</v>
      </c>
      <c r="K75" s="67">
        <f>PUNTUACIONES!K76</f>
        <v>0</v>
      </c>
    </row>
    <row r="76" spans="1:11" ht="19.5" customHeight="1" x14ac:dyDescent="0.25">
      <c r="A76" s="3">
        <v>70</v>
      </c>
      <c r="B76" s="67">
        <f>PUNTUACIONES!A77</f>
        <v>70</v>
      </c>
      <c r="C76" s="67">
        <f>PUNTUACIONES!B77</f>
        <v>0</v>
      </c>
      <c r="D76" s="67">
        <f>PUNTUACIONES!D77</f>
        <v>0</v>
      </c>
      <c r="E76" s="67">
        <f>PUNTUACIONES!E77</f>
        <v>0</v>
      </c>
      <c r="F76" s="67">
        <f>PUNTUACIONES!F77</f>
        <v>0</v>
      </c>
      <c r="G76" s="67">
        <f>PUNTUACIONES!G77</f>
        <v>0</v>
      </c>
      <c r="H76" s="67">
        <f>PUNTUACIONES!H77</f>
        <v>0</v>
      </c>
      <c r="I76" s="67">
        <f>PUNTUACIONES!I77</f>
        <v>0</v>
      </c>
      <c r="J76" s="67">
        <f>PUNTUACIONES!J77</f>
        <v>0</v>
      </c>
      <c r="K76" s="67">
        <f>PUNTUACIONES!K77</f>
        <v>0</v>
      </c>
    </row>
    <row r="77" spans="1:11" ht="19.5" customHeight="1" x14ac:dyDescent="0.25">
      <c r="A77" s="3">
        <v>71</v>
      </c>
      <c r="B77" s="67">
        <f>PUNTUACIONES!A78</f>
        <v>71</v>
      </c>
      <c r="C77" s="67">
        <f>PUNTUACIONES!B78</f>
        <v>0</v>
      </c>
      <c r="D77" s="67">
        <f>PUNTUACIONES!D78</f>
        <v>0</v>
      </c>
      <c r="E77" s="67">
        <f>PUNTUACIONES!E78</f>
        <v>0</v>
      </c>
      <c r="F77" s="67">
        <f>PUNTUACIONES!F78</f>
        <v>0</v>
      </c>
      <c r="G77" s="67">
        <f>PUNTUACIONES!G78</f>
        <v>0</v>
      </c>
      <c r="H77" s="67">
        <f>PUNTUACIONES!H78</f>
        <v>0</v>
      </c>
      <c r="I77" s="67">
        <f>PUNTUACIONES!I78</f>
        <v>0</v>
      </c>
      <c r="J77" s="67">
        <f>PUNTUACIONES!J78</f>
        <v>0</v>
      </c>
      <c r="K77" s="67">
        <f>PUNTUACIONES!K78</f>
        <v>0</v>
      </c>
    </row>
    <row r="78" spans="1:11" ht="19.5" customHeight="1" x14ac:dyDescent="0.25">
      <c r="A78" s="3">
        <v>72</v>
      </c>
      <c r="B78" s="67">
        <f>PUNTUACIONES!A79</f>
        <v>72</v>
      </c>
      <c r="C78" s="67">
        <f>PUNTUACIONES!B79</f>
        <v>0</v>
      </c>
      <c r="D78" s="67">
        <f>PUNTUACIONES!D79</f>
        <v>0</v>
      </c>
      <c r="E78" s="67">
        <f>PUNTUACIONES!E79</f>
        <v>0</v>
      </c>
      <c r="F78" s="67">
        <f>PUNTUACIONES!F79</f>
        <v>0</v>
      </c>
      <c r="G78" s="67">
        <f>PUNTUACIONES!G79</f>
        <v>0</v>
      </c>
      <c r="H78" s="67">
        <f>PUNTUACIONES!H79</f>
        <v>0</v>
      </c>
      <c r="I78" s="67">
        <f>PUNTUACIONES!I79</f>
        <v>0</v>
      </c>
      <c r="J78" s="67">
        <f>PUNTUACIONES!J79</f>
        <v>0</v>
      </c>
      <c r="K78" s="67">
        <f>PUNTUACIONES!K79</f>
        <v>0</v>
      </c>
    </row>
    <row r="79" spans="1:11" ht="19.5" customHeight="1" x14ac:dyDescent="0.25">
      <c r="A79" s="3">
        <v>73</v>
      </c>
      <c r="B79" s="67">
        <f>PUNTUACIONES!A80</f>
        <v>73</v>
      </c>
      <c r="C79" s="67">
        <f>PUNTUACIONES!B80</f>
        <v>0</v>
      </c>
      <c r="D79" s="67">
        <f>PUNTUACIONES!D80</f>
        <v>0</v>
      </c>
      <c r="E79" s="67">
        <f>PUNTUACIONES!E80</f>
        <v>0</v>
      </c>
      <c r="F79" s="67">
        <f>PUNTUACIONES!F80</f>
        <v>0</v>
      </c>
      <c r="G79" s="67">
        <f>PUNTUACIONES!G80</f>
        <v>0</v>
      </c>
      <c r="H79" s="67">
        <f>PUNTUACIONES!H80</f>
        <v>0</v>
      </c>
      <c r="I79" s="67">
        <f>PUNTUACIONES!I80</f>
        <v>0</v>
      </c>
      <c r="J79" s="67">
        <f>PUNTUACIONES!J80</f>
        <v>0</v>
      </c>
      <c r="K79" s="67">
        <f>PUNTUACIONES!K80</f>
        <v>0</v>
      </c>
    </row>
    <row r="80" spans="1:11" ht="19.5" customHeight="1" x14ac:dyDescent="0.25">
      <c r="A80" s="3">
        <v>74</v>
      </c>
      <c r="B80" s="67">
        <f>PUNTUACIONES!A81</f>
        <v>74</v>
      </c>
      <c r="C80" s="67">
        <f>PUNTUACIONES!B81</f>
        <v>0</v>
      </c>
      <c r="D80" s="67">
        <f>PUNTUACIONES!D81</f>
        <v>0</v>
      </c>
      <c r="E80" s="67">
        <f>PUNTUACIONES!E81</f>
        <v>0</v>
      </c>
      <c r="F80" s="67">
        <f>PUNTUACIONES!F81</f>
        <v>0</v>
      </c>
      <c r="G80" s="67">
        <f>PUNTUACIONES!G81</f>
        <v>0</v>
      </c>
      <c r="H80" s="67">
        <f>PUNTUACIONES!H81</f>
        <v>0</v>
      </c>
      <c r="I80" s="67">
        <f>PUNTUACIONES!I81</f>
        <v>0</v>
      </c>
      <c r="J80" s="67">
        <f>PUNTUACIONES!J81</f>
        <v>0</v>
      </c>
      <c r="K80" s="67">
        <f>PUNTUACIONES!K81</f>
        <v>0</v>
      </c>
    </row>
    <row r="81" spans="1:11" ht="19.5" customHeight="1" x14ac:dyDescent="0.25">
      <c r="A81" s="3">
        <v>75</v>
      </c>
      <c r="B81" s="67">
        <f>PUNTUACIONES!A82</f>
        <v>75</v>
      </c>
      <c r="C81" s="67">
        <f>PUNTUACIONES!B82</f>
        <v>0</v>
      </c>
      <c r="D81" s="67">
        <f>PUNTUACIONES!D82</f>
        <v>0</v>
      </c>
      <c r="E81" s="67">
        <f>PUNTUACIONES!E82</f>
        <v>0</v>
      </c>
      <c r="F81" s="67">
        <f>PUNTUACIONES!F82</f>
        <v>0</v>
      </c>
      <c r="G81" s="67">
        <f>PUNTUACIONES!G82</f>
        <v>0</v>
      </c>
      <c r="H81" s="67">
        <f>PUNTUACIONES!H82</f>
        <v>0</v>
      </c>
      <c r="I81" s="67">
        <f>PUNTUACIONES!I82</f>
        <v>0</v>
      </c>
      <c r="J81" s="67">
        <f>PUNTUACIONES!J82</f>
        <v>0</v>
      </c>
      <c r="K81" s="67">
        <f>PUNTUACIONES!K82</f>
        <v>0</v>
      </c>
    </row>
    <row r="82" spans="1:11" ht="19.5" customHeight="1" x14ac:dyDescent="0.25">
      <c r="A82" s="3">
        <v>76</v>
      </c>
      <c r="B82" s="67">
        <f>PUNTUACIONES!A83</f>
        <v>76</v>
      </c>
      <c r="C82" s="67">
        <f>PUNTUACIONES!B83</f>
        <v>0</v>
      </c>
      <c r="D82" s="67">
        <f>PUNTUACIONES!D83</f>
        <v>0</v>
      </c>
      <c r="E82" s="67">
        <f>PUNTUACIONES!E83</f>
        <v>0</v>
      </c>
      <c r="F82" s="67">
        <f>PUNTUACIONES!F83</f>
        <v>0</v>
      </c>
      <c r="G82" s="67">
        <f>PUNTUACIONES!G83</f>
        <v>0</v>
      </c>
      <c r="H82" s="67">
        <f>PUNTUACIONES!H83</f>
        <v>0</v>
      </c>
      <c r="I82" s="67">
        <f>PUNTUACIONES!I83</f>
        <v>0</v>
      </c>
      <c r="J82" s="67">
        <f>PUNTUACIONES!J83</f>
        <v>0</v>
      </c>
      <c r="K82" s="67">
        <f>PUNTUACIONES!K83</f>
        <v>0</v>
      </c>
    </row>
    <row r="83" spans="1:11" ht="19.5" customHeight="1" x14ac:dyDescent="0.25">
      <c r="A83" s="3">
        <v>77</v>
      </c>
      <c r="B83" s="67">
        <f>PUNTUACIONES!A84</f>
        <v>77</v>
      </c>
      <c r="C83" s="67">
        <f>PUNTUACIONES!B84</f>
        <v>0</v>
      </c>
      <c r="D83" s="67">
        <f>PUNTUACIONES!D84</f>
        <v>0</v>
      </c>
      <c r="E83" s="67">
        <f>PUNTUACIONES!E84</f>
        <v>0</v>
      </c>
      <c r="F83" s="67">
        <f>PUNTUACIONES!F84</f>
        <v>0</v>
      </c>
      <c r="G83" s="67">
        <f>PUNTUACIONES!G84</f>
        <v>0</v>
      </c>
      <c r="H83" s="67">
        <f>PUNTUACIONES!H84</f>
        <v>0</v>
      </c>
      <c r="I83" s="67">
        <f>PUNTUACIONES!I84</f>
        <v>0</v>
      </c>
      <c r="J83" s="67">
        <f>PUNTUACIONES!J84</f>
        <v>0</v>
      </c>
      <c r="K83" s="67">
        <f>PUNTUACIONES!K84</f>
        <v>0</v>
      </c>
    </row>
    <row r="84" spans="1:11" ht="19.5" customHeight="1" x14ac:dyDescent="0.25">
      <c r="A84" s="3">
        <v>78</v>
      </c>
      <c r="B84" s="67">
        <f>PUNTUACIONES!A85</f>
        <v>78</v>
      </c>
      <c r="C84" s="67">
        <f>PUNTUACIONES!B85</f>
        <v>0</v>
      </c>
      <c r="D84" s="67">
        <f>PUNTUACIONES!D85</f>
        <v>0</v>
      </c>
      <c r="E84" s="67">
        <f>PUNTUACIONES!E85</f>
        <v>0</v>
      </c>
      <c r="F84" s="67">
        <f>PUNTUACIONES!F85</f>
        <v>0</v>
      </c>
      <c r="G84" s="67">
        <f>PUNTUACIONES!G85</f>
        <v>0</v>
      </c>
      <c r="H84" s="67">
        <f>PUNTUACIONES!H85</f>
        <v>0</v>
      </c>
      <c r="I84" s="67">
        <f>PUNTUACIONES!I85</f>
        <v>0</v>
      </c>
      <c r="J84" s="67">
        <f>PUNTUACIONES!J85</f>
        <v>0</v>
      </c>
      <c r="K84" s="67">
        <f>PUNTUACIONES!K85</f>
        <v>0</v>
      </c>
    </row>
    <row r="85" spans="1:11" ht="19.5" customHeight="1" x14ac:dyDescent="0.25">
      <c r="A85" s="3">
        <v>79</v>
      </c>
      <c r="B85" s="67">
        <f>PUNTUACIONES!A86</f>
        <v>79</v>
      </c>
      <c r="C85" s="67">
        <f>PUNTUACIONES!B86</f>
        <v>0</v>
      </c>
      <c r="D85" s="67">
        <f>PUNTUACIONES!D86</f>
        <v>0</v>
      </c>
      <c r="E85" s="67">
        <f>PUNTUACIONES!E86</f>
        <v>0</v>
      </c>
      <c r="F85" s="67">
        <f>PUNTUACIONES!F86</f>
        <v>0</v>
      </c>
      <c r="G85" s="67">
        <f>PUNTUACIONES!G86</f>
        <v>0</v>
      </c>
      <c r="H85" s="67">
        <f>PUNTUACIONES!H86</f>
        <v>0</v>
      </c>
      <c r="I85" s="67">
        <f>PUNTUACIONES!I86</f>
        <v>0</v>
      </c>
      <c r="J85" s="67">
        <f>PUNTUACIONES!J86</f>
        <v>0</v>
      </c>
      <c r="K85" s="67">
        <f>PUNTUACIONES!K86</f>
        <v>0</v>
      </c>
    </row>
    <row r="86" spans="1:11" ht="19.5" customHeight="1" x14ac:dyDescent="0.25">
      <c r="A86" s="3">
        <v>80</v>
      </c>
      <c r="B86" s="67">
        <f>PUNTUACIONES!A87</f>
        <v>80</v>
      </c>
      <c r="C86" s="67">
        <f>PUNTUACIONES!B87</f>
        <v>0</v>
      </c>
      <c r="D86" s="67">
        <f>PUNTUACIONES!D87</f>
        <v>0</v>
      </c>
      <c r="E86" s="67">
        <f>PUNTUACIONES!E87</f>
        <v>0</v>
      </c>
      <c r="F86" s="67">
        <f>PUNTUACIONES!F87</f>
        <v>0</v>
      </c>
      <c r="G86" s="67">
        <f>PUNTUACIONES!G87</f>
        <v>0</v>
      </c>
      <c r="H86" s="67">
        <f>PUNTUACIONES!H87</f>
        <v>0</v>
      </c>
      <c r="I86" s="67">
        <f>PUNTUACIONES!I87</f>
        <v>0</v>
      </c>
      <c r="J86" s="67">
        <f>PUNTUACIONES!J87</f>
        <v>0</v>
      </c>
      <c r="K86" s="67">
        <f>PUNTUACIONES!K87</f>
        <v>0</v>
      </c>
    </row>
    <row r="87" spans="1:11" ht="19.5" customHeight="1" x14ac:dyDescent="0.25">
      <c r="A87" s="3">
        <v>81</v>
      </c>
      <c r="B87" s="67">
        <f>PUNTUACIONES!A88</f>
        <v>81</v>
      </c>
      <c r="C87" s="67">
        <f>PUNTUACIONES!B88</f>
        <v>0</v>
      </c>
      <c r="D87" s="67">
        <f>PUNTUACIONES!D88</f>
        <v>0</v>
      </c>
      <c r="E87" s="67">
        <f>PUNTUACIONES!E88</f>
        <v>0</v>
      </c>
      <c r="F87" s="67">
        <f>PUNTUACIONES!F88</f>
        <v>0</v>
      </c>
      <c r="G87" s="67">
        <f>PUNTUACIONES!G88</f>
        <v>0</v>
      </c>
      <c r="H87" s="67">
        <f>PUNTUACIONES!H88</f>
        <v>0</v>
      </c>
      <c r="I87" s="67">
        <f>PUNTUACIONES!I88</f>
        <v>0</v>
      </c>
      <c r="J87" s="67">
        <f>PUNTUACIONES!J88</f>
        <v>0</v>
      </c>
      <c r="K87" s="67">
        <f>PUNTUACIONES!K88</f>
        <v>0</v>
      </c>
    </row>
    <row r="88" spans="1:11" ht="19.5" customHeight="1" x14ac:dyDescent="0.25">
      <c r="A88" s="3">
        <v>82</v>
      </c>
      <c r="B88" s="67">
        <f>PUNTUACIONES!A89</f>
        <v>82</v>
      </c>
      <c r="C88" s="67">
        <f>PUNTUACIONES!B89</f>
        <v>0</v>
      </c>
      <c r="D88" s="67">
        <f>PUNTUACIONES!D89</f>
        <v>0</v>
      </c>
      <c r="E88" s="67">
        <f>PUNTUACIONES!E89</f>
        <v>0</v>
      </c>
      <c r="F88" s="67">
        <f>PUNTUACIONES!F89</f>
        <v>0</v>
      </c>
      <c r="G88" s="67">
        <f>PUNTUACIONES!G89</f>
        <v>0</v>
      </c>
      <c r="H88" s="67">
        <f>PUNTUACIONES!H89</f>
        <v>0</v>
      </c>
      <c r="I88" s="67">
        <f>PUNTUACIONES!I89</f>
        <v>0</v>
      </c>
      <c r="J88" s="67">
        <f>PUNTUACIONES!J89</f>
        <v>0</v>
      </c>
      <c r="K88" s="67">
        <f>PUNTUACIONES!K89</f>
        <v>0</v>
      </c>
    </row>
    <row r="89" spans="1:11" ht="19.5" customHeight="1" x14ac:dyDescent="0.25">
      <c r="A89" s="3">
        <v>83</v>
      </c>
      <c r="B89" s="67">
        <f>PUNTUACIONES!A90</f>
        <v>83</v>
      </c>
      <c r="C89" s="67">
        <f>PUNTUACIONES!B90</f>
        <v>0</v>
      </c>
      <c r="D89" s="67">
        <f>PUNTUACIONES!D90</f>
        <v>0</v>
      </c>
      <c r="E89" s="67">
        <f>PUNTUACIONES!E90</f>
        <v>0</v>
      </c>
      <c r="F89" s="67">
        <f>PUNTUACIONES!F90</f>
        <v>0</v>
      </c>
      <c r="G89" s="67">
        <f>PUNTUACIONES!G90</f>
        <v>0</v>
      </c>
      <c r="H89" s="67">
        <f>PUNTUACIONES!H90</f>
        <v>0</v>
      </c>
      <c r="I89" s="67">
        <f>PUNTUACIONES!I90</f>
        <v>0</v>
      </c>
      <c r="J89" s="67">
        <f>PUNTUACIONES!J90</f>
        <v>0</v>
      </c>
      <c r="K89" s="67">
        <f>PUNTUACIONES!K90</f>
        <v>0</v>
      </c>
    </row>
    <row r="90" spans="1:11" ht="19.5" customHeight="1" x14ac:dyDescent="0.25">
      <c r="A90" s="3">
        <v>84</v>
      </c>
      <c r="B90" s="67">
        <f>PUNTUACIONES!A91</f>
        <v>84</v>
      </c>
      <c r="C90" s="67">
        <f>PUNTUACIONES!B91</f>
        <v>0</v>
      </c>
      <c r="D90" s="67">
        <f>PUNTUACIONES!D91</f>
        <v>0</v>
      </c>
      <c r="E90" s="67">
        <f>PUNTUACIONES!E91</f>
        <v>0</v>
      </c>
      <c r="F90" s="67">
        <f>PUNTUACIONES!F91</f>
        <v>0</v>
      </c>
      <c r="G90" s="67">
        <f>PUNTUACIONES!G91</f>
        <v>0</v>
      </c>
      <c r="H90" s="67">
        <f>PUNTUACIONES!H91</f>
        <v>0</v>
      </c>
      <c r="I90" s="67">
        <f>PUNTUACIONES!I91</f>
        <v>0</v>
      </c>
      <c r="J90" s="67">
        <f>PUNTUACIONES!J91</f>
        <v>0</v>
      </c>
      <c r="K90" s="67">
        <f>PUNTUACIONES!K91</f>
        <v>0</v>
      </c>
    </row>
    <row r="91" spans="1:11" ht="19.5" customHeight="1" x14ac:dyDescent="0.25">
      <c r="A91" s="3">
        <v>85</v>
      </c>
      <c r="B91" s="67">
        <f>PUNTUACIONES!A92</f>
        <v>85</v>
      </c>
      <c r="C91" s="67">
        <f>PUNTUACIONES!B92</f>
        <v>0</v>
      </c>
      <c r="D91" s="67">
        <f>PUNTUACIONES!D92</f>
        <v>0</v>
      </c>
      <c r="E91" s="67">
        <f>PUNTUACIONES!E92</f>
        <v>0</v>
      </c>
      <c r="F91" s="67">
        <f>PUNTUACIONES!F92</f>
        <v>0</v>
      </c>
      <c r="G91" s="67">
        <f>PUNTUACIONES!G92</f>
        <v>0</v>
      </c>
      <c r="H91" s="67">
        <f>PUNTUACIONES!H92</f>
        <v>0</v>
      </c>
      <c r="I91" s="67">
        <f>PUNTUACIONES!I92</f>
        <v>0</v>
      </c>
      <c r="J91" s="67">
        <f>PUNTUACIONES!J92</f>
        <v>0</v>
      </c>
      <c r="K91" s="67">
        <f>PUNTUACIONES!K92</f>
        <v>0</v>
      </c>
    </row>
    <row r="92" spans="1:11" ht="19.5" customHeight="1" x14ac:dyDescent="0.25">
      <c r="A92" s="3">
        <v>86</v>
      </c>
      <c r="B92" s="67">
        <f>PUNTUACIONES!A93</f>
        <v>86</v>
      </c>
      <c r="C92" s="67">
        <f>PUNTUACIONES!B93</f>
        <v>0</v>
      </c>
      <c r="D92" s="67">
        <f>PUNTUACIONES!D93</f>
        <v>0</v>
      </c>
      <c r="E92" s="67">
        <f>PUNTUACIONES!E93</f>
        <v>0</v>
      </c>
      <c r="F92" s="67">
        <f>PUNTUACIONES!F93</f>
        <v>0</v>
      </c>
      <c r="G92" s="67">
        <f>PUNTUACIONES!G93</f>
        <v>0</v>
      </c>
      <c r="H92" s="67">
        <f>PUNTUACIONES!H93</f>
        <v>0</v>
      </c>
      <c r="I92" s="67">
        <f>PUNTUACIONES!I93</f>
        <v>0</v>
      </c>
      <c r="J92" s="67">
        <f>PUNTUACIONES!J93</f>
        <v>0</v>
      </c>
      <c r="K92" s="67">
        <f>PUNTUACIONES!K93</f>
        <v>0</v>
      </c>
    </row>
    <row r="93" spans="1:11" ht="19.5" customHeight="1" x14ac:dyDescent="0.25">
      <c r="A93" s="3">
        <v>87</v>
      </c>
      <c r="B93" s="67">
        <f>PUNTUACIONES!A94</f>
        <v>87</v>
      </c>
      <c r="C93" s="67">
        <f>PUNTUACIONES!B94</f>
        <v>0</v>
      </c>
      <c r="D93" s="67">
        <f>PUNTUACIONES!D94</f>
        <v>0</v>
      </c>
      <c r="E93" s="67">
        <f>PUNTUACIONES!E94</f>
        <v>0</v>
      </c>
      <c r="F93" s="67">
        <f>PUNTUACIONES!F94</f>
        <v>0</v>
      </c>
      <c r="G93" s="67">
        <f>PUNTUACIONES!G94</f>
        <v>0</v>
      </c>
      <c r="H93" s="67">
        <f>PUNTUACIONES!H94</f>
        <v>0</v>
      </c>
      <c r="I93" s="67">
        <f>PUNTUACIONES!I94</f>
        <v>0</v>
      </c>
      <c r="J93" s="67">
        <f>PUNTUACIONES!J94</f>
        <v>0</v>
      </c>
      <c r="K93" s="67">
        <f>PUNTUACIONES!K94</f>
        <v>0</v>
      </c>
    </row>
    <row r="94" spans="1:11" ht="19.5" customHeight="1" x14ac:dyDescent="0.25">
      <c r="A94" s="3">
        <v>88</v>
      </c>
      <c r="B94" s="67">
        <f>PUNTUACIONES!A95</f>
        <v>88</v>
      </c>
      <c r="C94" s="67">
        <f>PUNTUACIONES!B95</f>
        <v>0</v>
      </c>
      <c r="D94" s="67">
        <f>PUNTUACIONES!D95</f>
        <v>0</v>
      </c>
      <c r="E94" s="67">
        <f>PUNTUACIONES!E95</f>
        <v>0</v>
      </c>
      <c r="F94" s="67">
        <f>PUNTUACIONES!F95</f>
        <v>0</v>
      </c>
      <c r="G94" s="67">
        <f>PUNTUACIONES!G95</f>
        <v>0</v>
      </c>
      <c r="H94" s="67">
        <f>PUNTUACIONES!H95</f>
        <v>0</v>
      </c>
      <c r="I94" s="67">
        <f>PUNTUACIONES!I95</f>
        <v>0</v>
      </c>
      <c r="J94" s="67">
        <f>PUNTUACIONES!J95</f>
        <v>0</v>
      </c>
      <c r="K94" s="67">
        <f>PUNTUACIONES!K95</f>
        <v>0</v>
      </c>
    </row>
    <row r="95" spans="1:11" ht="19.5" customHeight="1" x14ac:dyDescent="0.25">
      <c r="A95" s="3">
        <v>89</v>
      </c>
      <c r="B95" s="67">
        <f>PUNTUACIONES!A96</f>
        <v>89</v>
      </c>
      <c r="C95" s="67">
        <f>PUNTUACIONES!B96</f>
        <v>0</v>
      </c>
      <c r="D95" s="67">
        <f>PUNTUACIONES!D96</f>
        <v>0</v>
      </c>
      <c r="E95" s="67">
        <f>PUNTUACIONES!E96</f>
        <v>0</v>
      </c>
      <c r="F95" s="67">
        <f>PUNTUACIONES!F96</f>
        <v>0</v>
      </c>
      <c r="G95" s="67">
        <f>PUNTUACIONES!G96</f>
        <v>0</v>
      </c>
      <c r="H95" s="67">
        <f>PUNTUACIONES!H96</f>
        <v>0</v>
      </c>
      <c r="I95" s="67">
        <f>PUNTUACIONES!I96</f>
        <v>0</v>
      </c>
      <c r="J95" s="67">
        <f>PUNTUACIONES!J96</f>
        <v>0</v>
      </c>
      <c r="K95" s="67">
        <f>PUNTUACIONES!K96</f>
        <v>0</v>
      </c>
    </row>
    <row r="96" spans="1:11" ht="19.5" customHeight="1" x14ac:dyDescent="0.25">
      <c r="A96" s="3">
        <v>90</v>
      </c>
      <c r="B96" s="67">
        <f>PUNTUACIONES!A97</f>
        <v>90</v>
      </c>
      <c r="C96" s="67">
        <f>PUNTUACIONES!B97</f>
        <v>0</v>
      </c>
      <c r="D96" s="67">
        <f>PUNTUACIONES!D97</f>
        <v>0</v>
      </c>
      <c r="E96" s="67">
        <f>PUNTUACIONES!E97</f>
        <v>0</v>
      </c>
      <c r="F96" s="67">
        <f>PUNTUACIONES!F97</f>
        <v>0</v>
      </c>
      <c r="G96" s="67">
        <f>PUNTUACIONES!G97</f>
        <v>0</v>
      </c>
      <c r="H96" s="67">
        <f>PUNTUACIONES!H97</f>
        <v>0</v>
      </c>
      <c r="I96" s="67">
        <f>PUNTUACIONES!I97</f>
        <v>0</v>
      </c>
      <c r="J96" s="67">
        <f>PUNTUACIONES!J97</f>
        <v>0</v>
      </c>
      <c r="K96" s="67">
        <f>PUNTUACIONES!K97</f>
        <v>0</v>
      </c>
    </row>
    <row r="97" spans="1:11" ht="19.5" customHeight="1" x14ac:dyDescent="0.25">
      <c r="A97" s="3">
        <v>91</v>
      </c>
      <c r="B97" s="67">
        <f>PUNTUACIONES!A98</f>
        <v>91</v>
      </c>
      <c r="C97" s="67">
        <f>PUNTUACIONES!B98</f>
        <v>0</v>
      </c>
      <c r="D97" s="67">
        <f>PUNTUACIONES!D98</f>
        <v>0</v>
      </c>
      <c r="E97" s="67">
        <f>PUNTUACIONES!E98</f>
        <v>0</v>
      </c>
      <c r="F97" s="67">
        <f>PUNTUACIONES!F98</f>
        <v>0</v>
      </c>
      <c r="G97" s="67">
        <f>PUNTUACIONES!G98</f>
        <v>0</v>
      </c>
      <c r="H97" s="67">
        <f>PUNTUACIONES!H98</f>
        <v>0</v>
      </c>
      <c r="I97" s="67">
        <f>PUNTUACIONES!I98</f>
        <v>0</v>
      </c>
      <c r="J97" s="67">
        <f>PUNTUACIONES!J98</f>
        <v>0</v>
      </c>
      <c r="K97" s="67">
        <f>PUNTUACIONES!K98</f>
        <v>0</v>
      </c>
    </row>
    <row r="98" spans="1:11" ht="19.5" customHeight="1" x14ac:dyDescent="0.25">
      <c r="A98" s="3">
        <v>92</v>
      </c>
      <c r="B98" s="67">
        <f>PUNTUACIONES!A99</f>
        <v>92</v>
      </c>
      <c r="C98" s="67">
        <f>PUNTUACIONES!B99</f>
        <v>0</v>
      </c>
      <c r="D98" s="67">
        <f>PUNTUACIONES!D99</f>
        <v>0</v>
      </c>
      <c r="E98" s="67">
        <f>PUNTUACIONES!E99</f>
        <v>0</v>
      </c>
      <c r="F98" s="67">
        <f>PUNTUACIONES!F99</f>
        <v>0</v>
      </c>
      <c r="G98" s="67">
        <f>PUNTUACIONES!G99</f>
        <v>0</v>
      </c>
      <c r="H98" s="67">
        <f>PUNTUACIONES!H99</f>
        <v>0</v>
      </c>
      <c r="I98" s="67">
        <f>PUNTUACIONES!I99</f>
        <v>0</v>
      </c>
      <c r="J98" s="67">
        <f>PUNTUACIONES!J99</f>
        <v>0</v>
      </c>
      <c r="K98" s="67">
        <f>PUNTUACIONES!K99</f>
        <v>0</v>
      </c>
    </row>
    <row r="99" spans="1:11" ht="19.5" customHeight="1" x14ac:dyDescent="0.25">
      <c r="A99" s="3">
        <v>93</v>
      </c>
      <c r="B99" s="67">
        <f>PUNTUACIONES!A100</f>
        <v>93</v>
      </c>
      <c r="C99" s="67">
        <f>PUNTUACIONES!B100</f>
        <v>0</v>
      </c>
      <c r="D99" s="67">
        <f>PUNTUACIONES!D100</f>
        <v>0</v>
      </c>
      <c r="E99" s="67">
        <f>PUNTUACIONES!E100</f>
        <v>0</v>
      </c>
      <c r="F99" s="67">
        <f>PUNTUACIONES!F100</f>
        <v>0</v>
      </c>
      <c r="G99" s="67">
        <f>PUNTUACIONES!G100</f>
        <v>0</v>
      </c>
      <c r="H99" s="67">
        <f>PUNTUACIONES!H100</f>
        <v>0</v>
      </c>
      <c r="I99" s="67">
        <f>PUNTUACIONES!I100</f>
        <v>0</v>
      </c>
      <c r="J99" s="67">
        <f>PUNTUACIONES!J100</f>
        <v>0</v>
      </c>
      <c r="K99" s="67">
        <f>PUNTUACIONES!K100</f>
        <v>0</v>
      </c>
    </row>
    <row r="100" spans="1:11" ht="19.5" customHeight="1" x14ac:dyDescent="0.25">
      <c r="A100" s="3">
        <v>94</v>
      </c>
      <c r="B100" s="67">
        <f>PUNTUACIONES!A101</f>
        <v>94</v>
      </c>
      <c r="C100" s="67">
        <f>PUNTUACIONES!B101</f>
        <v>0</v>
      </c>
      <c r="D100" s="67">
        <f>PUNTUACIONES!D101</f>
        <v>0</v>
      </c>
      <c r="E100" s="67">
        <f>PUNTUACIONES!E101</f>
        <v>0</v>
      </c>
      <c r="F100" s="67">
        <f>PUNTUACIONES!F101</f>
        <v>0</v>
      </c>
      <c r="G100" s="67">
        <f>PUNTUACIONES!G101</f>
        <v>0</v>
      </c>
      <c r="H100" s="67">
        <f>PUNTUACIONES!H101</f>
        <v>0</v>
      </c>
      <c r="I100" s="67">
        <f>PUNTUACIONES!I101</f>
        <v>0</v>
      </c>
      <c r="J100" s="67">
        <f>PUNTUACIONES!J101</f>
        <v>0</v>
      </c>
      <c r="K100" s="67">
        <f>PUNTUACIONES!K101</f>
        <v>0</v>
      </c>
    </row>
    <row r="101" spans="1:11" ht="19.5" customHeight="1" x14ac:dyDescent="0.25">
      <c r="A101" s="3">
        <v>95</v>
      </c>
      <c r="B101" s="67">
        <f>PUNTUACIONES!A102</f>
        <v>95</v>
      </c>
      <c r="C101" s="67">
        <f>PUNTUACIONES!B102</f>
        <v>0</v>
      </c>
      <c r="D101" s="67">
        <f>PUNTUACIONES!D102</f>
        <v>0</v>
      </c>
      <c r="E101" s="67">
        <f>PUNTUACIONES!E102</f>
        <v>0</v>
      </c>
      <c r="F101" s="67">
        <f>PUNTUACIONES!F102</f>
        <v>0</v>
      </c>
      <c r="G101" s="67">
        <f>PUNTUACIONES!G102</f>
        <v>0</v>
      </c>
      <c r="H101" s="67">
        <f>PUNTUACIONES!H102</f>
        <v>0</v>
      </c>
      <c r="I101" s="67">
        <f>PUNTUACIONES!I102</f>
        <v>0</v>
      </c>
      <c r="J101" s="67">
        <f>PUNTUACIONES!J102</f>
        <v>0</v>
      </c>
      <c r="K101" s="67">
        <f>PUNTUACIONES!K102</f>
        <v>0</v>
      </c>
    </row>
    <row r="102" spans="1:11" ht="19.5" customHeight="1" x14ac:dyDescent="0.25">
      <c r="A102" s="3">
        <v>96</v>
      </c>
      <c r="B102" s="67">
        <f>PUNTUACIONES!A103</f>
        <v>96</v>
      </c>
      <c r="C102" s="67">
        <f>PUNTUACIONES!B103</f>
        <v>0</v>
      </c>
      <c r="D102" s="67">
        <f>PUNTUACIONES!D103</f>
        <v>0</v>
      </c>
      <c r="E102" s="67">
        <f>PUNTUACIONES!E103</f>
        <v>0</v>
      </c>
      <c r="F102" s="67">
        <f>PUNTUACIONES!F103</f>
        <v>0</v>
      </c>
      <c r="G102" s="67">
        <f>PUNTUACIONES!G103</f>
        <v>0</v>
      </c>
      <c r="H102" s="67">
        <f>PUNTUACIONES!H103</f>
        <v>0</v>
      </c>
      <c r="I102" s="67">
        <f>PUNTUACIONES!I103</f>
        <v>0</v>
      </c>
      <c r="J102" s="67">
        <f>PUNTUACIONES!J103</f>
        <v>0</v>
      </c>
      <c r="K102" s="67">
        <f>PUNTUACIONES!K103</f>
        <v>0</v>
      </c>
    </row>
    <row r="103" spans="1:11" ht="19.5" customHeight="1" x14ac:dyDescent="0.25">
      <c r="A103" s="3">
        <v>97</v>
      </c>
      <c r="B103" s="67">
        <f>PUNTUACIONES!A104</f>
        <v>97</v>
      </c>
      <c r="C103" s="67">
        <f>PUNTUACIONES!B104</f>
        <v>0</v>
      </c>
      <c r="D103" s="67">
        <f>PUNTUACIONES!D104</f>
        <v>0</v>
      </c>
      <c r="E103" s="67">
        <f>PUNTUACIONES!E104</f>
        <v>0</v>
      </c>
      <c r="F103" s="67">
        <f>PUNTUACIONES!F104</f>
        <v>0</v>
      </c>
      <c r="G103" s="67">
        <f>PUNTUACIONES!G104</f>
        <v>0</v>
      </c>
      <c r="H103" s="67">
        <f>PUNTUACIONES!H104</f>
        <v>0</v>
      </c>
      <c r="I103" s="67">
        <f>PUNTUACIONES!I104</f>
        <v>0</v>
      </c>
      <c r="J103" s="67">
        <f>PUNTUACIONES!J104</f>
        <v>0</v>
      </c>
      <c r="K103" s="67">
        <f>PUNTUACIONES!K104</f>
        <v>0</v>
      </c>
    </row>
    <row r="104" spans="1:11" ht="19.5" customHeight="1" x14ac:dyDescent="0.25">
      <c r="A104" s="3">
        <v>98</v>
      </c>
      <c r="B104" s="67">
        <f>PUNTUACIONES!A105</f>
        <v>98</v>
      </c>
      <c r="C104" s="67">
        <f>PUNTUACIONES!B105</f>
        <v>0</v>
      </c>
      <c r="D104" s="67">
        <f>PUNTUACIONES!D105</f>
        <v>0</v>
      </c>
      <c r="E104" s="67">
        <f>PUNTUACIONES!E105</f>
        <v>0</v>
      </c>
      <c r="F104" s="67">
        <f>PUNTUACIONES!F105</f>
        <v>0</v>
      </c>
      <c r="G104" s="67">
        <f>PUNTUACIONES!G105</f>
        <v>0</v>
      </c>
      <c r="H104" s="67">
        <f>PUNTUACIONES!H105</f>
        <v>0</v>
      </c>
      <c r="I104" s="67">
        <f>PUNTUACIONES!I105</f>
        <v>0</v>
      </c>
      <c r="J104" s="67">
        <f>PUNTUACIONES!J105</f>
        <v>0</v>
      </c>
      <c r="K104" s="67">
        <f>PUNTUACIONES!K105</f>
        <v>0</v>
      </c>
    </row>
    <row r="105" spans="1:11" ht="19.5" customHeight="1" x14ac:dyDescent="0.25">
      <c r="A105" s="3">
        <v>99</v>
      </c>
      <c r="B105" s="67">
        <f>PUNTUACIONES!A106</f>
        <v>99</v>
      </c>
      <c r="C105" s="67">
        <f>PUNTUACIONES!B106</f>
        <v>0</v>
      </c>
      <c r="D105" s="67">
        <f>PUNTUACIONES!D106</f>
        <v>0</v>
      </c>
      <c r="E105" s="67">
        <f>PUNTUACIONES!E106</f>
        <v>0</v>
      </c>
      <c r="F105" s="67">
        <f>PUNTUACIONES!F106</f>
        <v>0</v>
      </c>
      <c r="G105" s="67">
        <f>PUNTUACIONES!G106</f>
        <v>0</v>
      </c>
      <c r="H105" s="67">
        <f>PUNTUACIONES!H106</f>
        <v>0</v>
      </c>
      <c r="I105" s="67">
        <f>PUNTUACIONES!I106</f>
        <v>0</v>
      </c>
      <c r="J105" s="67">
        <f>PUNTUACIONES!J106</f>
        <v>0</v>
      </c>
      <c r="K105" s="67">
        <f>PUNTUACIONES!K106</f>
        <v>0</v>
      </c>
    </row>
    <row r="106" spans="1:11" ht="19.5" customHeight="1" x14ac:dyDescent="0.25">
      <c r="A106" s="3">
        <v>100</v>
      </c>
      <c r="B106" s="67">
        <f>PUNTUACIONES!A107</f>
        <v>100</v>
      </c>
      <c r="C106" s="67">
        <f>PUNTUACIONES!B107</f>
        <v>0</v>
      </c>
      <c r="D106" s="67">
        <f>PUNTUACIONES!D107</f>
        <v>0</v>
      </c>
      <c r="E106" s="67">
        <f>PUNTUACIONES!E107</f>
        <v>0</v>
      </c>
      <c r="F106" s="67">
        <f>PUNTUACIONES!F107</f>
        <v>0</v>
      </c>
      <c r="G106" s="67">
        <f>PUNTUACIONES!G107</f>
        <v>0</v>
      </c>
      <c r="H106" s="67">
        <f>PUNTUACIONES!H107</f>
        <v>0</v>
      </c>
      <c r="I106" s="67">
        <f>PUNTUACIONES!I107</f>
        <v>0</v>
      </c>
      <c r="J106" s="67">
        <f>PUNTUACIONES!J107</f>
        <v>0</v>
      </c>
      <c r="K106" s="67">
        <f>PUNTUACIONES!K107</f>
        <v>0</v>
      </c>
    </row>
    <row r="107" spans="1:11" ht="19.5" customHeight="1" x14ac:dyDescent="0.25">
      <c r="A107" s="3">
        <v>101</v>
      </c>
      <c r="B107" s="67">
        <f>PUNTUACIONES!A108</f>
        <v>101</v>
      </c>
      <c r="C107" s="67">
        <f>PUNTUACIONES!B108</f>
        <v>0</v>
      </c>
      <c r="D107" s="67">
        <f>PUNTUACIONES!D108</f>
        <v>0</v>
      </c>
      <c r="E107" s="67">
        <f>PUNTUACIONES!E108</f>
        <v>0</v>
      </c>
      <c r="F107" s="67">
        <f>PUNTUACIONES!F108</f>
        <v>0</v>
      </c>
      <c r="G107" s="67">
        <f>PUNTUACIONES!G108</f>
        <v>0</v>
      </c>
      <c r="H107" s="67">
        <f>PUNTUACIONES!H108</f>
        <v>0</v>
      </c>
      <c r="I107" s="67">
        <f>PUNTUACIONES!I108</f>
        <v>0</v>
      </c>
      <c r="J107" s="67">
        <f>PUNTUACIONES!J108</f>
        <v>0</v>
      </c>
      <c r="K107" s="67">
        <f>PUNTUACIONES!K108</f>
        <v>0</v>
      </c>
    </row>
    <row r="108" spans="1:11" ht="19.5" customHeight="1" x14ac:dyDescent="0.25">
      <c r="A108" s="3">
        <v>102</v>
      </c>
      <c r="B108" s="67">
        <f>PUNTUACIONES!A109</f>
        <v>102</v>
      </c>
      <c r="C108" s="67">
        <f>PUNTUACIONES!B109</f>
        <v>0</v>
      </c>
      <c r="D108" s="67">
        <f>PUNTUACIONES!D109</f>
        <v>0</v>
      </c>
      <c r="E108" s="67">
        <f>PUNTUACIONES!E109</f>
        <v>0</v>
      </c>
      <c r="F108" s="67">
        <f>PUNTUACIONES!F109</f>
        <v>0</v>
      </c>
      <c r="G108" s="67">
        <f>PUNTUACIONES!G109</f>
        <v>0</v>
      </c>
      <c r="H108" s="67">
        <f>PUNTUACIONES!H109</f>
        <v>0</v>
      </c>
      <c r="I108" s="67">
        <f>PUNTUACIONES!I109</f>
        <v>0</v>
      </c>
      <c r="J108" s="67">
        <f>PUNTUACIONES!J109</f>
        <v>0</v>
      </c>
      <c r="K108" s="67">
        <f>PUNTUACIONES!K109</f>
        <v>0</v>
      </c>
    </row>
    <row r="109" spans="1:11" ht="19.5" customHeight="1" x14ac:dyDescent="0.25">
      <c r="A109" s="3">
        <v>103</v>
      </c>
      <c r="B109" s="67">
        <f>PUNTUACIONES!A110</f>
        <v>103</v>
      </c>
      <c r="C109" s="67">
        <f>PUNTUACIONES!B110</f>
        <v>0</v>
      </c>
      <c r="D109" s="67">
        <f>PUNTUACIONES!D110</f>
        <v>0</v>
      </c>
      <c r="E109" s="67">
        <f>PUNTUACIONES!E110</f>
        <v>0</v>
      </c>
      <c r="F109" s="67">
        <f>PUNTUACIONES!F110</f>
        <v>0</v>
      </c>
      <c r="G109" s="67">
        <f>PUNTUACIONES!G110</f>
        <v>0</v>
      </c>
      <c r="H109" s="67">
        <f>PUNTUACIONES!H110</f>
        <v>0</v>
      </c>
      <c r="I109" s="67">
        <f>PUNTUACIONES!I110</f>
        <v>0</v>
      </c>
      <c r="J109" s="67">
        <f>PUNTUACIONES!J110</f>
        <v>0</v>
      </c>
      <c r="K109" s="67">
        <f>PUNTUACIONES!K110</f>
        <v>0</v>
      </c>
    </row>
    <row r="110" spans="1:11" ht="19.5" customHeight="1" x14ac:dyDescent="0.25">
      <c r="A110" s="3">
        <v>104</v>
      </c>
      <c r="B110" s="67">
        <f>PUNTUACIONES!A111</f>
        <v>104</v>
      </c>
      <c r="C110" s="67">
        <f>PUNTUACIONES!B111</f>
        <v>0</v>
      </c>
      <c r="D110" s="67">
        <f>PUNTUACIONES!D111</f>
        <v>0</v>
      </c>
      <c r="E110" s="67">
        <f>PUNTUACIONES!E111</f>
        <v>0</v>
      </c>
      <c r="F110" s="67">
        <f>PUNTUACIONES!F111</f>
        <v>0</v>
      </c>
      <c r="G110" s="67">
        <f>PUNTUACIONES!G111</f>
        <v>0</v>
      </c>
      <c r="H110" s="67">
        <f>PUNTUACIONES!H111</f>
        <v>0</v>
      </c>
      <c r="I110" s="67">
        <f>PUNTUACIONES!I111</f>
        <v>0</v>
      </c>
      <c r="J110" s="67">
        <f>PUNTUACIONES!J111</f>
        <v>0</v>
      </c>
      <c r="K110" s="67">
        <f>PUNTUACIONES!K111</f>
        <v>0</v>
      </c>
    </row>
    <row r="111" spans="1:11" ht="19.5" customHeight="1" x14ac:dyDescent="0.25">
      <c r="A111" s="3">
        <v>105</v>
      </c>
      <c r="B111" s="67">
        <f>PUNTUACIONES!A112</f>
        <v>105</v>
      </c>
      <c r="C111" s="67">
        <f>PUNTUACIONES!B112</f>
        <v>0</v>
      </c>
      <c r="D111" s="67">
        <f>PUNTUACIONES!D112</f>
        <v>0</v>
      </c>
      <c r="E111" s="67">
        <f>PUNTUACIONES!E112</f>
        <v>0</v>
      </c>
      <c r="F111" s="67">
        <f>PUNTUACIONES!F112</f>
        <v>0</v>
      </c>
      <c r="G111" s="67">
        <f>PUNTUACIONES!G112</f>
        <v>0</v>
      </c>
      <c r="H111" s="67">
        <f>PUNTUACIONES!H112</f>
        <v>0</v>
      </c>
      <c r="I111" s="67">
        <f>PUNTUACIONES!I112</f>
        <v>0</v>
      </c>
      <c r="J111" s="67">
        <f>PUNTUACIONES!J112</f>
        <v>0</v>
      </c>
      <c r="K111" s="67">
        <f>PUNTUACIONES!K112</f>
        <v>0</v>
      </c>
    </row>
    <row r="112" spans="1:11" ht="19.5" customHeight="1" x14ac:dyDescent="0.25">
      <c r="A112" s="3">
        <v>106</v>
      </c>
      <c r="B112" s="67">
        <f>PUNTUACIONES!A113</f>
        <v>106</v>
      </c>
      <c r="C112" s="67">
        <f>PUNTUACIONES!B113</f>
        <v>0</v>
      </c>
      <c r="D112" s="67">
        <f>PUNTUACIONES!D113</f>
        <v>0</v>
      </c>
      <c r="E112" s="67">
        <f>PUNTUACIONES!E113</f>
        <v>0</v>
      </c>
      <c r="F112" s="67">
        <f>PUNTUACIONES!F113</f>
        <v>0</v>
      </c>
      <c r="G112" s="67">
        <f>PUNTUACIONES!G113</f>
        <v>0</v>
      </c>
      <c r="H112" s="67">
        <f>PUNTUACIONES!H113</f>
        <v>0</v>
      </c>
      <c r="I112" s="67">
        <f>PUNTUACIONES!I113</f>
        <v>0</v>
      </c>
      <c r="J112" s="67">
        <f>PUNTUACIONES!J113</f>
        <v>0</v>
      </c>
      <c r="K112" s="67">
        <f>PUNTUACIONES!K113</f>
        <v>0</v>
      </c>
    </row>
    <row r="113" spans="1:11" ht="19.5" customHeight="1" x14ac:dyDescent="0.25">
      <c r="A113" s="3">
        <v>107</v>
      </c>
      <c r="B113" s="67">
        <f>PUNTUACIONES!A114</f>
        <v>107</v>
      </c>
      <c r="C113" s="67">
        <f>PUNTUACIONES!B114</f>
        <v>0</v>
      </c>
      <c r="D113" s="67">
        <f>PUNTUACIONES!D114</f>
        <v>0</v>
      </c>
      <c r="E113" s="67">
        <f>PUNTUACIONES!E114</f>
        <v>0</v>
      </c>
      <c r="F113" s="67">
        <f>PUNTUACIONES!F114</f>
        <v>0</v>
      </c>
      <c r="G113" s="67">
        <f>PUNTUACIONES!G114</f>
        <v>0</v>
      </c>
      <c r="H113" s="67">
        <f>PUNTUACIONES!H114</f>
        <v>0</v>
      </c>
      <c r="I113" s="67">
        <f>PUNTUACIONES!I114</f>
        <v>0</v>
      </c>
      <c r="J113" s="67">
        <f>PUNTUACIONES!J114</f>
        <v>0</v>
      </c>
      <c r="K113" s="67">
        <f>PUNTUACIONES!K114</f>
        <v>0</v>
      </c>
    </row>
    <row r="114" spans="1:11" ht="19.5" customHeight="1" x14ac:dyDescent="0.25">
      <c r="A114" s="3">
        <v>108</v>
      </c>
      <c r="B114" s="67">
        <f>PUNTUACIONES!A115</f>
        <v>108</v>
      </c>
      <c r="C114" s="67">
        <f>PUNTUACIONES!B115</f>
        <v>0</v>
      </c>
      <c r="D114" s="67">
        <f>PUNTUACIONES!D115</f>
        <v>0</v>
      </c>
      <c r="E114" s="67">
        <f>PUNTUACIONES!E115</f>
        <v>0</v>
      </c>
      <c r="F114" s="67">
        <f>PUNTUACIONES!F115</f>
        <v>0</v>
      </c>
      <c r="G114" s="67">
        <f>PUNTUACIONES!G115</f>
        <v>0</v>
      </c>
      <c r="H114" s="67">
        <f>PUNTUACIONES!H115</f>
        <v>0</v>
      </c>
      <c r="I114" s="67">
        <f>PUNTUACIONES!I115</f>
        <v>0</v>
      </c>
      <c r="J114" s="67">
        <f>PUNTUACIONES!J115</f>
        <v>0</v>
      </c>
      <c r="K114" s="67">
        <f>PUNTUACIONES!K115</f>
        <v>0</v>
      </c>
    </row>
    <row r="115" spans="1:11" ht="19.5" customHeight="1" x14ac:dyDescent="0.25">
      <c r="A115" s="3">
        <v>109</v>
      </c>
      <c r="B115" s="67">
        <f>PUNTUACIONES!A116</f>
        <v>109</v>
      </c>
      <c r="C115" s="67">
        <f>PUNTUACIONES!B116</f>
        <v>0</v>
      </c>
      <c r="D115" s="67">
        <f>PUNTUACIONES!D116</f>
        <v>0</v>
      </c>
      <c r="E115" s="67">
        <f>PUNTUACIONES!E116</f>
        <v>0</v>
      </c>
      <c r="F115" s="67">
        <f>PUNTUACIONES!F116</f>
        <v>0</v>
      </c>
      <c r="G115" s="67">
        <f>PUNTUACIONES!G116</f>
        <v>0</v>
      </c>
      <c r="H115" s="67">
        <f>PUNTUACIONES!H116</f>
        <v>0</v>
      </c>
      <c r="I115" s="67">
        <f>PUNTUACIONES!I116</f>
        <v>0</v>
      </c>
      <c r="J115" s="67">
        <f>PUNTUACIONES!J116</f>
        <v>0</v>
      </c>
      <c r="K115" s="67">
        <f>PUNTUACIONES!K116</f>
        <v>0</v>
      </c>
    </row>
    <row r="116" spans="1:11" ht="19.5" customHeight="1" x14ac:dyDescent="0.25">
      <c r="A116" s="3">
        <v>110</v>
      </c>
      <c r="B116" s="67">
        <f>PUNTUACIONES!A117</f>
        <v>110</v>
      </c>
      <c r="C116" s="67">
        <f>PUNTUACIONES!B117</f>
        <v>0</v>
      </c>
      <c r="D116" s="67">
        <f>PUNTUACIONES!D117</f>
        <v>0</v>
      </c>
      <c r="E116" s="67">
        <f>PUNTUACIONES!E117</f>
        <v>0</v>
      </c>
      <c r="F116" s="67">
        <f>PUNTUACIONES!F117</f>
        <v>0</v>
      </c>
      <c r="G116" s="67">
        <f>PUNTUACIONES!G117</f>
        <v>0</v>
      </c>
      <c r="H116" s="67">
        <f>PUNTUACIONES!H117</f>
        <v>0</v>
      </c>
      <c r="I116" s="67">
        <f>PUNTUACIONES!I117</f>
        <v>0</v>
      </c>
      <c r="J116" s="67">
        <f>PUNTUACIONES!J117</f>
        <v>0</v>
      </c>
      <c r="K116" s="67">
        <f>PUNTUACIONES!K117</f>
        <v>0</v>
      </c>
    </row>
    <row r="117" spans="1:11" ht="19.5" customHeight="1" x14ac:dyDescent="0.25">
      <c r="A117" s="3">
        <v>111</v>
      </c>
      <c r="B117" s="67">
        <f>PUNTUACIONES!A118</f>
        <v>111</v>
      </c>
      <c r="C117" s="67">
        <f>PUNTUACIONES!B118</f>
        <v>0</v>
      </c>
      <c r="D117" s="67">
        <f>PUNTUACIONES!D118</f>
        <v>0</v>
      </c>
      <c r="E117" s="67">
        <f>PUNTUACIONES!E118</f>
        <v>0</v>
      </c>
      <c r="F117" s="67">
        <f>PUNTUACIONES!F118</f>
        <v>0</v>
      </c>
      <c r="G117" s="67">
        <f>PUNTUACIONES!G118</f>
        <v>0</v>
      </c>
      <c r="H117" s="67">
        <f>PUNTUACIONES!H118</f>
        <v>0</v>
      </c>
      <c r="I117" s="67">
        <f>PUNTUACIONES!I118</f>
        <v>0</v>
      </c>
      <c r="J117" s="67">
        <f>PUNTUACIONES!J118</f>
        <v>0</v>
      </c>
      <c r="K117" s="67">
        <f>PUNTUACIONES!K118</f>
        <v>0</v>
      </c>
    </row>
    <row r="118" spans="1:11" ht="19.5" customHeight="1" x14ac:dyDescent="0.25">
      <c r="A118" s="3">
        <v>112</v>
      </c>
      <c r="B118" s="67">
        <f>PUNTUACIONES!A119</f>
        <v>112</v>
      </c>
      <c r="C118" s="67">
        <f>PUNTUACIONES!B119</f>
        <v>0</v>
      </c>
      <c r="D118" s="67">
        <f>PUNTUACIONES!D119</f>
        <v>0</v>
      </c>
      <c r="E118" s="67">
        <f>PUNTUACIONES!E119</f>
        <v>0</v>
      </c>
      <c r="F118" s="67">
        <f>PUNTUACIONES!F119</f>
        <v>0</v>
      </c>
      <c r="G118" s="67">
        <f>PUNTUACIONES!G119</f>
        <v>0</v>
      </c>
      <c r="H118" s="67">
        <f>PUNTUACIONES!H119</f>
        <v>0</v>
      </c>
      <c r="I118" s="67">
        <f>PUNTUACIONES!I119</f>
        <v>0</v>
      </c>
      <c r="J118" s="67">
        <f>PUNTUACIONES!J119</f>
        <v>0</v>
      </c>
      <c r="K118" s="67">
        <f>PUNTUACIONES!K119</f>
        <v>0</v>
      </c>
    </row>
    <row r="119" spans="1:11" ht="19.5" customHeight="1" x14ac:dyDescent="0.25">
      <c r="A119" s="3">
        <v>113</v>
      </c>
      <c r="B119" s="67">
        <f>PUNTUACIONES!A120</f>
        <v>113</v>
      </c>
      <c r="C119" s="67">
        <f>PUNTUACIONES!B120</f>
        <v>0</v>
      </c>
      <c r="D119" s="67">
        <f>PUNTUACIONES!D120</f>
        <v>0</v>
      </c>
      <c r="E119" s="67">
        <f>PUNTUACIONES!E120</f>
        <v>0</v>
      </c>
      <c r="F119" s="67">
        <f>PUNTUACIONES!F120</f>
        <v>0</v>
      </c>
      <c r="G119" s="67">
        <f>PUNTUACIONES!G120</f>
        <v>0</v>
      </c>
      <c r="H119" s="67">
        <f>PUNTUACIONES!H120</f>
        <v>0</v>
      </c>
      <c r="I119" s="67">
        <f>PUNTUACIONES!I120</f>
        <v>0</v>
      </c>
      <c r="J119" s="67">
        <f>PUNTUACIONES!J120</f>
        <v>0</v>
      </c>
      <c r="K119" s="67">
        <f>PUNTUACIONES!K120</f>
        <v>0</v>
      </c>
    </row>
    <row r="120" spans="1:11" ht="19.5" customHeight="1" x14ac:dyDescent="0.25">
      <c r="A120" s="3">
        <v>114</v>
      </c>
      <c r="B120" s="67">
        <f>PUNTUACIONES!A121</f>
        <v>114</v>
      </c>
      <c r="C120" s="67">
        <f>PUNTUACIONES!B121</f>
        <v>0</v>
      </c>
      <c r="D120" s="67">
        <f>PUNTUACIONES!D121</f>
        <v>0</v>
      </c>
      <c r="E120" s="67">
        <f>PUNTUACIONES!E121</f>
        <v>0</v>
      </c>
      <c r="F120" s="67">
        <f>PUNTUACIONES!F121</f>
        <v>0</v>
      </c>
      <c r="G120" s="67">
        <f>PUNTUACIONES!G121</f>
        <v>0</v>
      </c>
      <c r="H120" s="67">
        <f>PUNTUACIONES!H121</f>
        <v>0</v>
      </c>
      <c r="I120" s="67">
        <f>PUNTUACIONES!I121</f>
        <v>0</v>
      </c>
      <c r="J120" s="67">
        <f>PUNTUACIONES!J121</f>
        <v>0</v>
      </c>
      <c r="K120" s="67">
        <f>PUNTUACIONES!K121</f>
        <v>0</v>
      </c>
    </row>
    <row r="121" spans="1:11" ht="19.5" customHeight="1" x14ac:dyDescent="0.25">
      <c r="A121" s="3">
        <v>115</v>
      </c>
      <c r="B121" s="67">
        <f>PUNTUACIONES!A122</f>
        <v>115</v>
      </c>
      <c r="C121" s="67">
        <f>PUNTUACIONES!B122</f>
        <v>0</v>
      </c>
      <c r="D121" s="67">
        <f>PUNTUACIONES!D122</f>
        <v>0</v>
      </c>
      <c r="E121" s="67">
        <f>PUNTUACIONES!E122</f>
        <v>0</v>
      </c>
      <c r="F121" s="67">
        <f>PUNTUACIONES!F122</f>
        <v>0</v>
      </c>
      <c r="G121" s="67">
        <f>PUNTUACIONES!G122</f>
        <v>0</v>
      </c>
      <c r="H121" s="67">
        <f>PUNTUACIONES!H122</f>
        <v>0</v>
      </c>
      <c r="I121" s="67">
        <f>PUNTUACIONES!I122</f>
        <v>0</v>
      </c>
      <c r="J121" s="67">
        <f>PUNTUACIONES!J122</f>
        <v>0</v>
      </c>
      <c r="K121" s="67">
        <f>PUNTUACIONES!K122</f>
        <v>0</v>
      </c>
    </row>
    <row r="122" spans="1:11" ht="19.5" customHeight="1" x14ac:dyDescent="0.25">
      <c r="A122" s="3">
        <v>116</v>
      </c>
      <c r="B122" s="67">
        <f>PUNTUACIONES!A123</f>
        <v>116</v>
      </c>
      <c r="C122" s="67">
        <f>PUNTUACIONES!B123</f>
        <v>0</v>
      </c>
      <c r="D122" s="67">
        <f>PUNTUACIONES!D123</f>
        <v>0</v>
      </c>
      <c r="E122" s="67">
        <f>PUNTUACIONES!E123</f>
        <v>0</v>
      </c>
      <c r="F122" s="67">
        <f>PUNTUACIONES!F123</f>
        <v>0</v>
      </c>
      <c r="G122" s="67">
        <f>PUNTUACIONES!G123</f>
        <v>0</v>
      </c>
      <c r="H122" s="67">
        <f>PUNTUACIONES!H123</f>
        <v>0</v>
      </c>
      <c r="I122" s="67">
        <f>PUNTUACIONES!I123</f>
        <v>0</v>
      </c>
      <c r="J122" s="67">
        <f>PUNTUACIONES!J123</f>
        <v>0</v>
      </c>
      <c r="K122" s="67">
        <f>PUNTUACIONES!K123</f>
        <v>0</v>
      </c>
    </row>
    <row r="123" spans="1:11" ht="19.5" customHeight="1" x14ac:dyDescent="0.25">
      <c r="A123" s="3">
        <v>117</v>
      </c>
      <c r="B123" s="67">
        <f>PUNTUACIONES!A124</f>
        <v>117</v>
      </c>
      <c r="C123" s="67">
        <f>PUNTUACIONES!B124</f>
        <v>0</v>
      </c>
      <c r="D123" s="67">
        <f>PUNTUACIONES!D124</f>
        <v>0</v>
      </c>
      <c r="E123" s="67">
        <f>PUNTUACIONES!E124</f>
        <v>0</v>
      </c>
      <c r="F123" s="67">
        <f>PUNTUACIONES!F124</f>
        <v>0</v>
      </c>
      <c r="G123" s="67">
        <f>PUNTUACIONES!G124</f>
        <v>0</v>
      </c>
      <c r="H123" s="67">
        <f>PUNTUACIONES!H124</f>
        <v>0</v>
      </c>
      <c r="I123" s="67">
        <f>PUNTUACIONES!I124</f>
        <v>0</v>
      </c>
      <c r="J123" s="67">
        <f>PUNTUACIONES!J124</f>
        <v>0</v>
      </c>
      <c r="K123" s="67">
        <f>PUNTUACIONES!K124</f>
        <v>0</v>
      </c>
    </row>
    <row r="124" spans="1:11" ht="19.5" customHeight="1" x14ac:dyDescent="0.25">
      <c r="A124" s="3">
        <v>118</v>
      </c>
      <c r="B124" s="67">
        <f>PUNTUACIONES!A125</f>
        <v>118</v>
      </c>
      <c r="C124" s="67">
        <f>PUNTUACIONES!B125</f>
        <v>0</v>
      </c>
      <c r="D124" s="67">
        <f>PUNTUACIONES!D125</f>
        <v>0</v>
      </c>
      <c r="E124" s="67">
        <f>PUNTUACIONES!E125</f>
        <v>0</v>
      </c>
      <c r="F124" s="67">
        <f>PUNTUACIONES!F125</f>
        <v>0</v>
      </c>
      <c r="G124" s="67">
        <f>PUNTUACIONES!G125</f>
        <v>0</v>
      </c>
      <c r="H124" s="67">
        <f>PUNTUACIONES!H125</f>
        <v>0</v>
      </c>
      <c r="I124" s="67">
        <f>PUNTUACIONES!I125</f>
        <v>0</v>
      </c>
      <c r="J124" s="67">
        <f>PUNTUACIONES!J125</f>
        <v>0</v>
      </c>
      <c r="K124" s="67">
        <f>PUNTUACIONES!K125</f>
        <v>0</v>
      </c>
    </row>
    <row r="125" spans="1:11" ht="19.5" customHeight="1" x14ac:dyDescent="0.25">
      <c r="A125" s="3">
        <v>119</v>
      </c>
      <c r="B125" s="67">
        <f>PUNTUACIONES!A126</f>
        <v>119</v>
      </c>
      <c r="C125" s="67">
        <f>PUNTUACIONES!B126</f>
        <v>0</v>
      </c>
      <c r="D125" s="67">
        <f>PUNTUACIONES!D126</f>
        <v>0</v>
      </c>
      <c r="E125" s="67">
        <f>PUNTUACIONES!E126</f>
        <v>0</v>
      </c>
      <c r="F125" s="67">
        <f>PUNTUACIONES!F126</f>
        <v>0</v>
      </c>
      <c r="G125" s="67">
        <f>PUNTUACIONES!G126</f>
        <v>0</v>
      </c>
      <c r="H125" s="67">
        <f>PUNTUACIONES!H126</f>
        <v>0</v>
      </c>
      <c r="I125" s="67">
        <f>PUNTUACIONES!I126</f>
        <v>0</v>
      </c>
      <c r="J125" s="67">
        <f>PUNTUACIONES!J126</f>
        <v>0</v>
      </c>
      <c r="K125" s="67">
        <f>PUNTUACIONES!K126</f>
        <v>0</v>
      </c>
    </row>
    <row r="126" spans="1:11" ht="19.5" customHeight="1" x14ac:dyDescent="0.25">
      <c r="A126" s="3">
        <v>120</v>
      </c>
      <c r="B126" s="67">
        <f>PUNTUACIONES!A127</f>
        <v>120</v>
      </c>
      <c r="C126" s="67">
        <f>PUNTUACIONES!B127</f>
        <v>0</v>
      </c>
      <c r="D126" s="67">
        <f>PUNTUACIONES!D127</f>
        <v>0</v>
      </c>
      <c r="E126" s="67">
        <f>PUNTUACIONES!E127</f>
        <v>0</v>
      </c>
      <c r="F126" s="67">
        <f>PUNTUACIONES!F127</f>
        <v>0</v>
      </c>
      <c r="G126" s="67">
        <f>PUNTUACIONES!G127</f>
        <v>0</v>
      </c>
      <c r="H126" s="67">
        <f>PUNTUACIONES!H127</f>
        <v>0</v>
      </c>
      <c r="I126" s="67">
        <f>PUNTUACIONES!I127</f>
        <v>0</v>
      </c>
      <c r="J126" s="67">
        <f>PUNTUACIONES!J127</f>
        <v>0</v>
      </c>
      <c r="K126" s="67">
        <f>PUNTUACIONES!K127</f>
        <v>0</v>
      </c>
    </row>
    <row r="127" spans="1:11" ht="19.5" customHeight="1" x14ac:dyDescent="0.25">
      <c r="A127" s="3">
        <v>121</v>
      </c>
      <c r="B127" s="67">
        <f>PUNTUACIONES!A128</f>
        <v>121</v>
      </c>
      <c r="C127" s="67">
        <f>PUNTUACIONES!B128</f>
        <v>0</v>
      </c>
      <c r="D127" s="67">
        <f>PUNTUACIONES!D128</f>
        <v>0</v>
      </c>
      <c r="E127" s="67">
        <f>PUNTUACIONES!E128</f>
        <v>0</v>
      </c>
      <c r="F127" s="67">
        <f>PUNTUACIONES!F128</f>
        <v>0</v>
      </c>
      <c r="G127" s="67">
        <f>PUNTUACIONES!G128</f>
        <v>0</v>
      </c>
      <c r="H127" s="67">
        <f>PUNTUACIONES!H128</f>
        <v>0</v>
      </c>
      <c r="I127" s="67">
        <f>PUNTUACIONES!I128</f>
        <v>0</v>
      </c>
      <c r="J127" s="67">
        <f>PUNTUACIONES!J128</f>
        <v>0</v>
      </c>
      <c r="K127" s="67">
        <f>PUNTUACIONES!K128</f>
        <v>0</v>
      </c>
    </row>
    <row r="128" spans="1:11" ht="19.5" customHeight="1" x14ac:dyDescent="0.25">
      <c r="A128" s="3">
        <v>122</v>
      </c>
      <c r="B128" s="67">
        <f>PUNTUACIONES!A129</f>
        <v>122</v>
      </c>
      <c r="C128" s="67">
        <f>PUNTUACIONES!B129</f>
        <v>0</v>
      </c>
      <c r="D128" s="67">
        <f>PUNTUACIONES!D129</f>
        <v>0</v>
      </c>
      <c r="E128" s="67">
        <f>PUNTUACIONES!E129</f>
        <v>0</v>
      </c>
      <c r="F128" s="67">
        <f>PUNTUACIONES!F129</f>
        <v>0</v>
      </c>
      <c r="G128" s="67">
        <f>PUNTUACIONES!G129</f>
        <v>0</v>
      </c>
      <c r="H128" s="67">
        <f>PUNTUACIONES!H129</f>
        <v>0</v>
      </c>
      <c r="I128" s="67">
        <f>PUNTUACIONES!I129</f>
        <v>0</v>
      </c>
      <c r="J128" s="67">
        <f>PUNTUACIONES!J129</f>
        <v>0</v>
      </c>
      <c r="K128" s="67">
        <f>PUNTUACIONES!K129</f>
        <v>0</v>
      </c>
    </row>
    <row r="129" spans="1:11" ht="19.5" customHeight="1" x14ac:dyDescent="0.25">
      <c r="A129" s="3">
        <v>123</v>
      </c>
      <c r="B129" s="67">
        <f>PUNTUACIONES!A130</f>
        <v>123</v>
      </c>
      <c r="C129" s="67">
        <f>PUNTUACIONES!B130</f>
        <v>0</v>
      </c>
      <c r="D129" s="67">
        <f>PUNTUACIONES!D130</f>
        <v>0</v>
      </c>
      <c r="E129" s="67">
        <f>PUNTUACIONES!E130</f>
        <v>0</v>
      </c>
      <c r="F129" s="67">
        <f>PUNTUACIONES!F130</f>
        <v>0</v>
      </c>
      <c r="G129" s="67">
        <f>PUNTUACIONES!G130</f>
        <v>0</v>
      </c>
      <c r="H129" s="67">
        <f>PUNTUACIONES!H130</f>
        <v>0</v>
      </c>
      <c r="I129" s="67">
        <f>PUNTUACIONES!I130</f>
        <v>0</v>
      </c>
      <c r="J129" s="67">
        <f>PUNTUACIONES!J130</f>
        <v>0</v>
      </c>
      <c r="K129" s="67">
        <f>PUNTUACIONES!K130</f>
        <v>0</v>
      </c>
    </row>
    <row r="130" spans="1:11" ht="19.5" customHeight="1" x14ac:dyDescent="0.25">
      <c r="A130" s="3">
        <v>124</v>
      </c>
      <c r="B130" s="67">
        <f>PUNTUACIONES!A131</f>
        <v>124</v>
      </c>
      <c r="C130" s="67">
        <f>PUNTUACIONES!B131</f>
        <v>0</v>
      </c>
      <c r="D130" s="67">
        <f>PUNTUACIONES!D131</f>
        <v>0</v>
      </c>
      <c r="E130" s="67">
        <f>PUNTUACIONES!E131</f>
        <v>0</v>
      </c>
      <c r="F130" s="67">
        <f>PUNTUACIONES!F131</f>
        <v>0</v>
      </c>
      <c r="G130" s="67">
        <f>PUNTUACIONES!G131</f>
        <v>0</v>
      </c>
      <c r="H130" s="67">
        <f>PUNTUACIONES!H131</f>
        <v>0</v>
      </c>
      <c r="I130" s="67">
        <f>PUNTUACIONES!I131</f>
        <v>0</v>
      </c>
      <c r="J130" s="67">
        <f>PUNTUACIONES!J131</f>
        <v>0</v>
      </c>
      <c r="K130" s="67">
        <f>PUNTUACIONES!K131</f>
        <v>0</v>
      </c>
    </row>
    <row r="131" spans="1:11" ht="19.5" customHeight="1" x14ac:dyDescent="0.25">
      <c r="A131" s="3">
        <v>125</v>
      </c>
      <c r="B131" s="67">
        <f>PUNTUACIONES!A132</f>
        <v>125</v>
      </c>
      <c r="C131" s="67">
        <f>PUNTUACIONES!B132</f>
        <v>0</v>
      </c>
      <c r="D131" s="67">
        <f>PUNTUACIONES!D132</f>
        <v>0</v>
      </c>
      <c r="E131" s="67">
        <f>PUNTUACIONES!E132</f>
        <v>0</v>
      </c>
      <c r="F131" s="67">
        <f>PUNTUACIONES!F132</f>
        <v>0</v>
      </c>
      <c r="G131" s="67">
        <f>PUNTUACIONES!G132</f>
        <v>0</v>
      </c>
      <c r="H131" s="67">
        <f>PUNTUACIONES!H132</f>
        <v>0</v>
      </c>
      <c r="I131" s="67">
        <f>PUNTUACIONES!I132</f>
        <v>0</v>
      </c>
      <c r="J131" s="67">
        <f>PUNTUACIONES!J132</f>
        <v>0</v>
      </c>
      <c r="K131" s="67">
        <f>PUNTUACIONES!K132</f>
        <v>0</v>
      </c>
    </row>
    <row r="132" spans="1:11" ht="19.5" customHeight="1" x14ac:dyDescent="0.25">
      <c r="A132" s="3">
        <v>126</v>
      </c>
      <c r="B132" s="67">
        <f>PUNTUACIONES!A133</f>
        <v>126</v>
      </c>
      <c r="C132" s="67">
        <f>PUNTUACIONES!B133</f>
        <v>0</v>
      </c>
      <c r="D132" s="67">
        <f>PUNTUACIONES!D133</f>
        <v>0</v>
      </c>
      <c r="E132" s="67">
        <f>PUNTUACIONES!E133</f>
        <v>0</v>
      </c>
      <c r="F132" s="67">
        <f>PUNTUACIONES!F133</f>
        <v>0</v>
      </c>
      <c r="G132" s="67">
        <f>PUNTUACIONES!G133</f>
        <v>0</v>
      </c>
      <c r="H132" s="67">
        <f>PUNTUACIONES!H133</f>
        <v>0</v>
      </c>
      <c r="I132" s="67">
        <f>PUNTUACIONES!I133</f>
        <v>0</v>
      </c>
      <c r="J132" s="67">
        <f>PUNTUACIONES!J133</f>
        <v>0</v>
      </c>
      <c r="K132" s="67">
        <f>PUNTUACIONES!K133</f>
        <v>0</v>
      </c>
    </row>
    <row r="133" spans="1:11" ht="19.5" customHeight="1" x14ac:dyDescent="0.25">
      <c r="A133" s="3">
        <v>127</v>
      </c>
      <c r="B133" s="67">
        <f>PUNTUACIONES!A134</f>
        <v>127</v>
      </c>
      <c r="C133" s="67">
        <f>PUNTUACIONES!B134</f>
        <v>0</v>
      </c>
      <c r="D133" s="67">
        <f>PUNTUACIONES!D134</f>
        <v>0</v>
      </c>
      <c r="E133" s="67">
        <f>PUNTUACIONES!E134</f>
        <v>0</v>
      </c>
      <c r="F133" s="67">
        <f>PUNTUACIONES!F134</f>
        <v>0</v>
      </c>
      <c r="G133" s="67">
        <f>PUNTUACIONES!G134</f>
        <v>0</v>
      </c>
      <c r="H133" s="67">
        <f>PUNTUACIONES!H134</f>
        <v>0</v>
      </c>
      <c r="I133" s="67">
        <f>PUNTUACIONES!I134</f>
        <v>0</v>
      </c>
      <c r="J133" s="67">
        <f>PUNTUACIONES!J134</f>
        <v>0</v>
      </c>
      <c r="K133" s="67">
        <f>PUNTUACIONES!K134</f>
        <v>0</v>
      </c>
    </row>
    <row r="134" spans="1:11" ht="19.5" customHeight="1" x14ac:dyDescent="0.25">
      <c r="A134" s="3">
        <v>128</v>
      </c>
      <c r="B134" s="67">
        <f>PUNTUACIONES!A135</f>
        <v>128</v>
      </c>
      <c r="C134" s="67">
        <f>PUNTUACIONES!B135</f>
        <v>0</v>
      </c>
      <c r="D134" s="67">
        <f>PUNTUACIONES!D135</f>
        <v>0</v>
      </c>
      <c r="E134" s="67">
        <f>PUNTUACIONES!E135</f>
        <v>0</v>
      </c>
      <c r="F134" s="67">
        <f>PUNTUACIONES!F135</f>
        <v>0</v>
      </c>
      <c r="G134" s="67">
        <f>PUNTUACIONES!G135</f>
        <v>0</v>
      </c>
      <c r="H134" s="67">
        <f>PUNTUACIONES!H135</f>
        <v>0</v>
      </c>
      <c r="I134" s="67">
        <f>PUNTUACIONES!I135</f>
        <v>0</v>
      </c>
      <c r="J134" s="67">
        <f>PUNTUACIONES!J135</f>
        <v>0</v>
      </c>
      <c r="K134" s="67">
        <f>PUNTUACIONES!K135</f>
        <v>0</v>
      </c>
    </row>
    <row r="135" spans="1:11" ht="19.5" customHeight="1" x14ac:dyDescent="0.25">
      <c r="A135" s="3">
        <v>129</v>
      </c>
      <c r="B135" s="67">
        <f>PUNTUACIONES!A136</f>
        <v>129</v>
      </c>
      <c r="C135" s="67">
        <f>PUNTUACIONES!B136</f>
        <v>0</v>
      </c>
      <c r="D135" s="67">
        <f>PUNTUACIONES!D136</f>
        <v>0</v>
      </c>
      <c r="E135" s="67">
        <f>PUNTUACIONES!E136</f>
        <v>0</v>
      </c>
      <c r="F135" s="67">
        <f>PUNTUACIONES!F136</f>
        <v>0</v>
      </c>
      <c r="G135" s="67">
        <f>PUNTUACIONES!G136</f>
        <v>0</v>
      </c>
      <c r="H135" s="67">
        <f>PUNTUACIONES!H136</f>
        <v>0</v>
      </c>
      <c r="I135" s="67">
        <f>PUNTUACIONES!I136</f>
        <v>0</v>
      </c>
      <c r="J135" s="67">
        <f>PUNTUACIONES!J136</f>
        <v>0</v>
      </c>
      <c r="K135" s="67">
        <f>PUNTUACIONES!K136</f>
        <v>0</v>
      </c>
    </row>
    <row r="136" spans="1:11" ht="19.5" customHeight="1" x14ac:dyDescent="0.25">
      <c r="A136" s="3">
        <v>130</v>
      </c>
      <c r="B136" s="67">
        <f>PUNTUACIONES!A137</f>
        <v>130</v>
      </c>
      <c r="C136" s="67">
        <f>PUNTUACIONES!B137</f>
        <v>0</v>
      </c>
      <c r="D136" s="67">
        <f>PUNTUACIONES!D137</f>
        <v>0</v>
      </c>
      <c r="E136" s="67">
        <f>PUNTUACIONES!E137</f>
        <v>0</v>
      </c>
      <c r="F136" s="67">
        <f>PUNTUACIONES!F137</f>
        <v>0</v>
      </c>
      <c r="G136" s="67">
        <f>PUNTUACIONES!G137</f>
        <v>0</v>
      </c>
      <c r="H136" s="67">
        <f>PUNTUACIONES!H137</f>
        <v>0</v>
      </c>
      <c r="I136" s="67">
        <f>PUNTUACIONES!I137</f>
        <v>0</v>
      </c>
      <c r="J136" s="67">
        <f>PUNTUACIONES!J137</f>
        <v>0</v>
      </c>
      <c r="K136" s="67">
        <f>PUNTUACIONES!K137</f>
        <v>0</v>
      </c>
    </row>
    <row r="137" spans="1:11" ht="19.5" customHeight="1" x14ac:dyDescent="0.25">
      <c r="A137" s="3">
        <v>131</v>
      </c>
      <c r="B137" s="67">
        <f>PUNTUACIONES!A138</f>
        <v>131</v>
      </c>
      <c r="C137" s="67">
        <f>PUNTUACIONES!B138</f>
        <v>0</v>
      </c>
      <c r="D137" s="67">
        <f>PUNTUACIONES!D138</f>
        <v>0</v>
      </c>
      <c r="E137" s="67">
        <f>PUNTUACIONES!E138</f>
        <v>0</v>
      </c>
      <c r="F137" s="67">
        <f>PUNTUACIONES!F138</f>
        <v>0</v>
      </c>
      <c r="G137" s="67">
        <f>PUNTUACIONES!G138</f>
        <v>0</v>
      </c>
      <c r="H137" s="67">
        <f>PUNTUACIONES!H138</f>
        <v>0</v>
      </c>
      <c r="I137" s="67">
        <f>PUNTUACIONES!I138</f>
        <v>0</v>
      </c>
      <c r="J137" s="67">
        <f>PUNTUACIONES!J138</f>
        <v>0</v>
      </c>
      <c r="K137" s="67">
        <f>PUNTUACIONES!K138</f>
        <v>0</v>
      </c>
    </row>
    <row r="138" spans="1:11" ht="19.5" customHeight="1" x14ac:dyDescent="0.25">
      <c r="A138" s="3">
        <v>132</v>
      </c>
      <c r="B138" s="67">
        <f>PUNTUACIONES!A139</f>
        <v>132</v>
      </c>
      <c r="C138" s="67">
        <f>PUNTUACIONES!B139</f>
        <v>0</v>
      </c>
      <c r="D138" s="67">
        <f>PUNTUACIONES!D139</f>
        <v>0</v>
      </c>
      <c r="E138" s="67">
        <f>PUNTUACIONES!E139</f>
        <v>0</v>
      </c>
      <c r="F138" s="67">
        <f>PUNTUACIONES!F139</f>
        <v>0</v>
      </c>
      <c r="G138" s="67">
        <f>PUNTUACIONES!G139</f>
        <v>0</v>
      </c>
      <c r="H138" s="67">
        <f>PUNTUACIONES!H139</f>
        <v>0</v>
      </c>
      <c r="I138" s="67">
        <f>PUNTUACIONES!I139</f>
        <v>0</v>
      </c>
      <c r="J138" s="67">
        <f>PUNTUACIONES!J139</f>
        <v>0</v>
      </c>
      <c r="K138" s="67">
        <f>PUNTUACIONES!K139</f>
        <v>0</v>
      </c>
    </row>
    <row r="139" spans="1:11" ht="19.5" customHeight="1" x14ac:dyDescent="0.25">
      <c r="A139" s="3">
        <v>133</v>
      </c>
      <c r="B139" s="67">
        <f>PUNTUACIONES!A140</f>
        <v>133</v>
      </c>
      <c r="C139" s="67">
        <f>PUNTUACIONES!B140</f>
        <v>0</v>
      </c>
      <c r="D139" s="67">
        <f>PUNTUACIONES!D140</f>
        <v>0</v>
      </c>
      <c r="E139" s="67">
        <f>PUNTUACIONES!E140</f>
        <v>0</v>
      </c>
      <c r="F139" s="67">
        <f>PUNTUACIONES!F140</f>
        <v>0</v>
      </c>
      <c r="G139" s="67">
        <f>PUNTUACIONES!G140</f>
        <v>0</v>
      </c>
      <c r="H139" s="67">
        <f>PUNTUACIONES!H140</f>
        <v>0</v>
      </c>
      <c r="I139" s="67">
        <f>PUNTUACIONES!I140</f>
        <v>0</v>
      </c>
      <c r="J139" s="67">
        <f>PUNTUACIONES!J140</f>
        <v>0</v>
      </c>
      <c r="K139" s="67">
        <f>PUNTUACIONES!K140</f>
        <v>0</v>
      </c>
    </row>
    <row r="140" spans="1:11" ht="19.5" customHeight="1" x14ac:dyDescent="0.25">
      <c r="A140" s="3">
        <v>134</v>
      </c>
      <c r="B140" s="67">
        <f>PUNTUACIONES!A141</f>
        <v>134</v>
      </c>
      <c r="C140" s="67">
        <f>PUNTUACIONES!B141</f>
        <v>0</v>
      </c>
      <c r="D140" s="67">
        <f>PUNTUACIONES!D141</f>
        <v>0</v>
      </c>
      <c r="E140" s="67">
        <f>PUNTUACIONES!E141</f>
        <v>0</v>
      </c>
      <c r="F140" s="67">
        <f>PUNTUACIONES!F141</f>
        <v>0</v>
      </c>
      <c r="G140" s="67">
        <f>PUNTUACIONES!G141</f>
        <v>0</v>
      </c>
      <c r="H140" s="67">
        <f>PUNTUACIONES!H141</f>
        <v>0</v>
      </c>
      <c r="I140" s="67">
        <f>PUNTUACIONES!I141</f>
        <v>0</v>
      </c>
      <c r="J140" s="67">
        <f>PUNTUACIONES!J141</f>
        <v>0</v>
      </c>
      <c r="K140" s="67">
        <f>PUNTUACIONES!K141</f>
        <v>0</v>
      </c>
    </row>
    <row r="141" spans="1:11" ht="19.5" customHeight="1" x14ac:dyDescent="0.25">
      <c r="A141" s="3">
        <v>135</v>
      </c>
      <c r="B141" s="67">
        <f>PUNTUACIONES!A142</f>
        <v>135</v>
      </c>
      <c r="C141" s="67">
        <f>PUNTUACIONES!B142</f>
        <v>0</v>
      </c>
      <c r="D141" s="67">
        <f>PUNTUACIONES!D142</f>
        <v>0</v>
      </c>
      <c r="E141" s="67">
        <f>PUNTUACIONES!E142</f>
        <v>0</v>
      </c>
      <c r="F141" s="67">
        <f>PUNTUACIONES!F142</f>
        <v>0</v>
      </c>
      <c r="G141" s="67">
        <f>PUNTUACIONES!G142</f>
        <v>0</v>
      </c>
      <c r="H141" s="67">
        <f>PUNTUACIONES!H142</f>
        <v>0</v>
      </c>
      <c r="I141" s="67">
        <f>PUNTUACIONES!I142</f>
        <v>0</v>
      </c>
      <c r="J141" s="67">
        <f>PUNTUACIONES!J142</f>
        <v>0</v>
      </c>
      <c r="K141" s="67">
        <f>PUNTUACIONES!K142</f>
        <v>0</v>
      </c>
    </row>
    <row r="142" spans="1:11" ht="19.5" customHeight="1" x14ac:dyDescent="0.25">
      <c r="A142" s="3">
        <v>136</v>
      </c>
      <c r="B142" s="67">
        <f>PUNTUACIONES!A143</f>
        <v>136</v>
      </c>
      <c r="C142" s="67">
        <f>PUNTUACIONES!B143</f>
        <v>0</v>
      </c>
      <c r="D142" s="67">
        <f>PUNTUACIONES!D143</f>
        <v>0</v>
      </c>
      <c r="E142" s="67">
        <f>PUNTUACIONES!E143</f>
        <v>0</v>
      </c>
      <c r="F142" s="67">
        <f>PUNTUACIONES!F143</f>
        <v>0</v>
      </c>
      <c r="G142" s="67">
        <f>PUNTUACIONES!G143</f>
        <v>0</v>
      </c>
      <c r="H142" s="67">
        <f>PUNTUACIONES!H143</f>
        <v>0</v>
      </c>
      <c r="I142" s="67">
        <f>PUNTUACIONES!I143</f>
        <v>0</v>
      </c>
      <c r="J142" s="67">
        <f>PUNTUACIONES!J143</f>
        <v>0</v>
      </c>
      <c r="K142" s="67">
        <f>PUNTUACIONES!K143</f>
        <v>0</v>
      </c>
    </row>
    <row r="143" spans="1:11" ht="19.5" customHeight="1" x14ac:dyDescent="0.25">
      <c r="A143" s="3">
        <v>137</v>
      </c>
      <c r="B143" s="67">
        <f>PUNTUACIONES!A144</f>
        <v>137</v>
      </c>
      <c r="C143" s="67">
        <f>PUNTUACIONES!B144</f>
        <v>0</v>
      </c>
      <c r="D143" s="67">
        <f>PUNTUACIONES!D144</f>
        <v>0</v>
      </c>
      <c r="E143" s="67">
        <f>PUNTUACIONES!E144</f>
        <v>0</v>
      </c>
      <c r="F143" s="67">
        <f>PUNTUACIONES!F144</f>
        <v>0</v>
      </c>
      <c r="G143" s="67">
        <f>PUNTUACIONES!G144</f>
        <v>0</v>
      </c>
      <c r="H143" s="67">
        <f>PUNTUACIONES!H144</f>
        <v>0</v>
      </c>
      <c r="I143" s="67">
        <f>PUNTUACIONES!I144</f>
        <v>0</v>
      </c>
      <c r="J143" s="67">
        <f>PUNTUACIONES!J144</f>
        <v>0</v>
      </c>
      <c r="K143" s="67">
        <f>PUNTUACIONES!K144</f>
        <v>0</v>
      </c>
    </row>
    <row r="144" spans="1:11" ht="19.5" customHeight="1" x14ac:dyDescent="0.25">
      <c r="A144" s="3">
        <v>138</v>
      </c>
      <c r="B144" s="67">
        <f>PUNTUACIONES!A145</f>
        <v>138</v>
      </c>
      <c r="C144" s="67">
        <f>PUNTUACIONES!B145</f>
        <v>0</v>
      </c>
      <c r="D144" s="67">
        <f>PUNTUACIONES!D145</f>
        <v>0</v>
      </c>
      <c r="E144" s="67">
        <f>PUNTUACIONES!E145</f>
        <v>0</v>
      </c>
      <c r="F144" s="67">
        <f>PUNTUACIONES!F145</f>
        <v>0</v>
      </c>
      <c r="G144" s="67">
        <f>PUNTUACIONES!G145</f>
        <v>0</v>
      </c>
      <c r="H144" s="67">
        <f>PUNTUACIONES!H145</f>
        <v>0</v>
      </c>
      <c r="I144" s="67">
        <f>PUNTUACIONES!I145</f>
        <v>0</v>
      </c>
      <c r="J144" s="67">
        <f>PUNTUACIONES!J145</f>
        <v>0</v>
      </c>
      <c r="K144" s="67">
        <f>PUNTUACIONES!K145</f>
        <v>0</v>
      </c>
    </row>
    <row r="145" spans="1:11" ht="19.5" customHeight="1" x14ac:dyDescent="0.25">
      <c r="A145" s="3">
        <v>139</v>
      </c>
      <c r="B145" s="67">
        <f>PUNTUACIONES!A146</f>
        <v>139</v>
      </c>
      <c r="C145" s="67">
        <f>PUNTUACIONES!B146</f>
        <v>0</v>
      </c>
      <c r="D145" s="67">
        <f>PUNTUACIONES!D146</f>
        <v>0</v>
      </c>
      <c r="E145" s="67">
        <f>PUNTUACIONES!E146</f>
        <v>0</v>
      </c>
      <c r="F145" s="67">
        <f>PUNTUACIONES!F146</f>
        <v>0</v>
      </c>
      <c r="G145" s="67">
        <f>PUNTUACIONES!G146</f>
        <v>0</v>
      </c>
      <c r="H145" s="67">
        <f>PUNTUACIONES!H146</f>
        <v>0</v>
      </c>
      <c r="I145" s="67">
        <f>PUNTUACIONES!I146</f>
        <v>0</v>
      </c>
      <c r="J145" s="67">
        <f>PUNTUACIONES!J146</f>
        <v>0</v>
      </c>
      <c r="K145" s="67">
        <f>PUNTUACIONES!K146</f>
        <v>0</v>
      </c>
    </row>
    <row r="146" spans="1:11" ht="19.5" customHeight="1" x14ac:dyDescent="0.25">
      <c r="A146" s="3">
        <v>140</v>
      </c>
      <c r="B146" s="67">
        <f>PUNTUACIONES!A147</f>
        <v>140</v>
      </c>
      <c r="C146" s="67">
        <f>PUNTUACIONES!B147</f>
        <v>0</v>
      </c>
      <c r="D146" s="67">
        <f>PUNTUACIONES!D147</f>
        <v>0</v>
      </c>
      <c r="E146" s="67">
        <f>PUNTUACIONES!E147</f>
        <v>0</v>
      </c>
      <c r="F146" s="67">
        <f>PUNTUACIONES!F147</f>
        <v>0</v>
      </c>
      <c r="G146" s="67">
        <f>PUNTUACIONES!G147</f>
        <v>0</v>
      </c>
      <c r="H146" s="67">
        <f>PUNTUACIONES!H147</f>
        <v>0</v>
      </c>
      <c r="I146" s="67">
        <f>PUNTUACIONES!I147</f>
        <v>0</v>
      </c>
      <c r="J146" s="67">
        <f>PUNTUACIONES!J147</f>
        <v>0</v>
      </c>
      <c r="K146" s="67">
        <f>PUNTUACIONES!K147</f>
        <v>0</v>
      </c>
    </row>
    <row r="147" spans="1:11" ht="19.5" customHeight="1" x14ac:dyDescent="0.25">
      <c r="A147" s="3">
        <v>141</v>
      </c>
      <c r="B147" s="67">
        <f>PUNTUACIONES!A148</f>
        <v>141</v>
      </c>
      <c r="C147" s="67">
        <f>PUNTUACIONES!B148</f>
        <v>0</v>
      </c>
      <c r="D147" s="67">
        <f>PUNTUACIONES!D148</f>
        <v>0</v>
      </c>
      <c r="E147" s="67">
        <f>PUNTUACIONES!E148</f>
        <v>0</v>
      </c>
      <c r="F147" s="67">
        <f>PUNTUACIONES!F148</f>
        <v>0</v>
      </c>
      <c r="G147" s="67">
        <f>PUNTUACIONES!G148</f>
        <v>0</v>
      </c>
      <c r="H147" s="67">
        <f>PUNTUACIONES!H148</f>
        <v>0</v>
      </c>
      <c r="I147" s="67">
        <f>PUNTUACIONES!I148</f>
        <v>0</v>
      </c>
      <c r="J147" s="67">
        <f>PUNTUACIONES!J148</f>
        <v>0</v>
      </c>
      <c r="K147" s="67">
        <f>PUNTUACIONES!K148</f>
        <v>0</v>
      </c>
    </row>
    <row r="148" spans="1:11" ht="19.5" customHeight="1" x14ac:dyDescent="0.25">
      <c r="A148" s="3">
        <v>142</v>
      </c>
      <c r="B148" s="67">
        <f>PUNTUACIONES!A149</f>
        <v>142</v>
      </c>
      <c r="C148" s="67">
        <f>PUNTUACIONES!B149</f>
        <v>0</v>
      </c>
      <c r="D148" s="67">
        <f>PUNTUACIONES!D149</f>
        <v>0</v>
      </c>
      <c r="E148" s="67">
        <f>PUNTUACIONES!E149</f>
        <v>0</v>
      </c>
      <c r="F148" s="67">
        <f>PUNTUACIONES!F149</f>
        <v>0</v>
      </c>
      <c r="G148" s="67">
        <f>PUNTUACIONES!G149</f>
        <v>0</v>
      </c>
      <c r="H148" s="67">
        <f>PUNTUACIONES!H149</f>
        <v>0</v>
      </c>
      <c r="I148" s="67">
        <f>PUNTUACIONES!I149</f>
        <v>0</v>
      </c>
      <c r="J148" s="67">
        <f>PUNTUACIONES!J149</f>
        <v>0</v>
      </c>
      <c r="K148" s="67">
        <f>PUNTUACIONES!K149</f>
        <v>0</v>
      </c>
    </row>
    <row r="149" spans="1:11" ht="19.5" customHeight="1" x14ac:dyDescent="0.25">
      <c r="A149" s="3">
        <v>143</v>
      </c>
      <c r="B149" s="67">
        <f>PUNTUACIONES!A150</f>
        <v>143</v>
      </c>
      <c r="C149" s="67">
        <f>PUNTUACIONES!B150</f>
        <v>0</v>
      </c>
      <c r="D149" s="67">
        <f>PUNTUACIONES!D150</f>
        <v>0</v>
      </c>
      <c r="E149" s="67">
        <f>PUNTUACIONES!E150</f>
        <v>0</v>
      </c>
      <c r="F149" s="67">
        <f>PUNTUACIONES!F150</f>
        <v>0</v>
      </c>
      <c r="G149" s="67">
        <f>PUNTUACIONES!G150</f>
        <v>0</v>
      </c>
      <c r="H149" s="67">
        <f>PUNTUACIONES!H150</f>
        <v>0</v>
      </c>
      <c r="I149" s="67">
        <f>PUNTUACIONES!I150</f>
        <v>0</v>
      </c>
      <c r="J149" s="67">
        <f>PUNTUACIONES!J150</f>
        <v>0</v>
      </c>
      <c r="K149" s="67">
        <f>PUNTUACIONES!K150</f>
        <v>0</v>
      </c>
    </row>
    <row r="150" spans="1:11" ht="19.5" customHeight="1" x14ac:dyDescent="0.25">
      <c r="A150" s="3">
        <v>144</v>
      </c>
      <c r="B150" s="67">
        <f>PUNTUACIONES!A151</f>
        <v>144</v>
      </c>
      <c r="C150" s="67">
        <f>PUNTUACIONES!B151</f>
        <v>0</v>
      </c>
      <c r="D150" s="67">
        <f>PUNTUACIONES!D151</f>
        <v>0</v>
      </c>
      <c r="E150" s="67">
        <f>PUNTUACIONES!E151</f>
        <v>0</v>
      </c>
      <c r="F150" s="67">
        <f>PUNTUACIONES!F151</f>
        <v>0</v>
      </c>
      <c r="G150" s="67">
        <f>PUNTUACIONES!G151</f>
        <v>0</v>
      </c>
      <c r="H150" s="67">
        <f>PUNTUACIONES!H151</f>
        <v>0</v>
      </c>
      <c r="I150" s="67">
        <f>PUNTUACIONES!I151</f>
        <v>0</v>
      </c>
      <c r="J150" s="67">
        <f>PUNTUACIONES!J151</f>
        <v>0</v>
      </c>
      <c r="K150" s="67">
        <f>PUNTUACIONES!K151</f>
        <v>0</v>
      </c>
    </row>
    <row r="151" spans="1:11" ht="19.5" customHeight="1" x14ac:dyDescent="0.25">
      <c r="A151" s="3">
        <v>145</v>
      </c>
      <c r="B151" s="67">
        <f>PUNTUACIONES!A152</f>
        <v>145</v>
      </c>
      <c r="C151" s="67">
        <f>PUNTUACIONES!B152</f>
        <v>0</v>
      </c>
      <c r="D151" s="67">
        <f>PUNTUACIONES!D152</f>
        <v>0</v>
      </c>
      <c r="E151" s="67">
        <f>PUNTUACIONES!E152</f>
        <v>0</v>
      </c>
      <c r="F151" s="67">
        <f>PUNTUACIONES!F152</f>
        <v>0</v>
      </c>
      <c r="G151" s="67">
        <f>PUNTUACIONES!G152</f>
        <v>0</v>
      </c>
      <c r="H151" s="67">
        <f>PUNTUACIONES!H152</f>
        <v>0</v>
      </c>
      <c r="I151" s="67">
        <f>PUNTUACIONES!I152</f>
        <v>0</v>
      </c>
      <c r="J151" s="67">
        <f>PUNTUACIONES!J152</f>
        <v>0</v>
      </c>
      <c r="K151" s="67">
        <f>PUNTUACIONES!K152</f>
        <v>0</v>
      </c>
    </row>
    <row r="152" spans="1:11" ht="19.5" customHeight="1" x14ac:dyDescent="0.25">
      <c r="A152" s="3">
        <v>146</v>
      </c>
      <c r="B152" s="67">
        <f>PUNTUACIONES!A153</f>
        <v>146</v>
      </c>
      <c r="C152" s="67">
        <f>PUNTUACIONES!B153</f>
        <v>0</v>
      </c>
      <c r="D152" s="67">
        <f>PUNTUACIONES!D153</f>
        <v>0</v>
      </c>
      <c r="E152" s="67">
        <f>PUNTUACIONES!E153</f>
        <v>0</v>
      </c>
      <c r="F152" s="67">
        <f>PUNTUACIONES!F153</f>
        <v>0</v>
      </c>
      <c r="G152" s="67">
        <f>PUNTUACIONES!G153</f>
        <v>0</v>
      </c>
      <c r="H152" s="67">
        <f>PUNTUACIONES!H153</f>
        <v>0</v>
      </c>
      <c r="I152" s="67">
        <f>PUNTUACIONES!I153</f>
        <v>0</v>
      </c>
      <c r="J152" s="67">
        <f>PUNTUACIONES!J153</f>
        <v>0</v>
      </c>
      <c r="K152" s="67">
        <f>PUNTUACIONES!K153</f>
        <v>0</v>
      </c>
    </row>
    <row r="153" spans="1:11" ht="19.5" customHeight="1" x14ac:dyDescent="0.25">
      <c r="A153" s="3">
        <v>147</v>
      </c>
      <c r="B153" s="67">
        <f>PUNTUACIONES!A154</f>
        <v>147</v>
      </c>
      <c r="C153" s="67">
        <f>PUNTUACIONES!B154</f>
        <v>0</v>
      </c>
      <c r="D153" s="67">
        <f>PUNTUACIONES!D154</f>
        <v>0</v>
      </c>
      <c r="E153" s="67">
        <f>PUNTUACIONES!E154</f>
        <v>0</v>
      </c>
      <c r="F153" s="67">
        <f>PUNTUACIONES!F154</f>
        <v>0</v>
      </c>
      <c r="G153" s="67">
        <f>PUNTUACIONES!G154</f>
        <v>0</v>
      </c>
      <c r="H153" s="67">
        <f>PUNTUACIONES!H154</f>
        <v>0</v>
      </c>
      <c r="I153" s="67">
        <f>PUNTUACIONES!I154</f>
        <v>0</v>
      </c>
      <c r="J153" s="67">
        <f>PUNTUACIONES!J154</f>
        <v>0</v>
      </c>
      <c r="K153" s="67">
        <f>PUNTUACIONES!K154</f>
        <v>0</v>
      </c>
    </row>
    <row r="154" spans="1:11" ht="19.5" customHeight="1" x14ac:dyDescent="0.25">
      <c r="A154" s="3">
        <v>148</v>
      </c>
      <c r="B154" s="67">
        <f>PUNTUACIONES!A155</f>
        <v>148</v>
      </c>
      <c r="C154" s="67">
        <f>PUNTUACIONES!B155</f>
        <v>0</v>
      </c>
      <c r="D154" s="67">
        <f>PUNTUACIONES!D155</f>
        <v>0</v>
      </c>
      <c r="E154" s="67">
        <f>PUNTUACIONES!E155</f>
        <v>0</v>
      </c>
      <c r="F154" s="67">
        <f>PUNTUACIONES!F155</f>
        <v>0</v>
      </c>
      <c r="G154" s="67">
        <f>PUNTUACIONES!G155</f>
        <v>0</v>
      </c>
      <c r="H154" s="67">
        <f>PUNTUACIONES!H155</f>
        <v>0</v>
      </c>
      <c r="I154" s="67">
        <f>PUNTUACIONES!I155</f>
        <v>0</v>
      </c>
      <c r="J154" s="67">
        <f>PUNTUACIONES!J155</f>
        <v>0</v>
      </c>
      <c r="K154" s="67">
        <f>PUNTUACIONES!K155</f>
        <v>0</v>
      </c>
    </row>
    <row r="155" spans="1:11" ht="19.5" customHeight="1" x14ac:dyDescent="0.25">
      <c r="A155" s="3">
        <v>149</v>
      </c>
      <c r="B155" s="67">
        <f>PUNTUACIONES!A156</f>
        <v>149</v>
      </c>
      <c r="C155" s="67">
        <f>PUNTUACIONES!B156</f>
        <v>0</v>
      </c>
      <c r="D155" s="67">
        <f>PUNTUACIONES!D156</f>
        <v>0</v>
      </c>
      <c r="E155" s="67">
        <f>PUNTUACIONES!E156</f>
        <v>0</v>
      </c>
      <c r="F155" s="67">
        <f>PUNTUACIONES!F156</f>
        <v>0</v>
      </c>
      <c r="G155" s="67">
        <f>PUNTUACIONES!G156</f>
        <v>0</v>
      </c>
      <c r="H155" s="67">
        <f>PUNTUACIONES!H156</f>
        <v>0</v>
      </c>
      <c r="I155" s="67">
        <f>PUNTUACIONES!I156</f>
        <v>0</v>
      </c>
      <c r="J155" s="67">
        <f>PUNTUACIONES!J156</f>
        <v>0</v>
      </c>
      <c r="K155" s="67">
        <f>PUNTUACIONES!K156</f>
        <v>0</v>
      </c>
    </row>
    <row r="156" spans="1:11" ht="19.5" customHeight="1" x14ac:dyDescent="0.25">
      <c r="A156" s="3">
        <v>150</v>
      </c>
      <c r="B156" s="67">
        <f>PUNTUACIONES!A157</f>
        <v>150</v>
      </c>
      <c r="C156" s="67">
        <f>PUNTUACIONES!B157</f>
        <v>0</v>
      </c>
      <c r="D156" s="67">
        <f>PUNTUACIONES!D157</f>
        <v>0</v>
      </c>
      <c r="E156" s="67">
        <f>PUNTUACIONES!E157</f>
        <v>0</v>
      </c>
      <c r="F156" s="67">
        <f>PUNTUACIONES!F157</f>
        <v>0</v>
      </c>
      <c r="G156" s="67">
        <f>PUNTUACIONES!G157</f>
        <v>0</v>
      </c>
      <c r="H156" s="67">
        <f>PUNTUACIONES!H157</f>
        <v>0</v>
      </c>
      <c r="I156" s="67">
        <f>PUNTUACIONES!I157</f>
        <v>0</v>
      </c>
      <c r="J156" s="67">
        <f>PUNTUACIONES!J157</f>
        <v>0</v>
      </c>
      <c r="K156" s="67">
        <f>PUNTUACIONES!K157</f>
        <v>0</v>
      </c>
    </row>
    <row r="157" spans="1:11" ht="19.5" customHeight="1" x14ac:dyDescent="0.25">
      <c r="A157" s="3">
        <v>151</v>
      </c>
      <c r="B157" s="67">
        <f>PUNTUACIONES!A158</f>
        <v>151</v>
      </c>
      <c r="C157" s="67">
        <f>PUNTUACIONES!B158</f>
        <v>0</v>
      </c>
      <c r="D157" s="67">
        <f>PUNTUACIONES!D158</f>
        <v>0</v>
      </c>
      <c r="E157" s="67">
        <f>PUNTUACIONES!E158</f>
        <v>0</v>
      </c>
      <c r="F157" s="67">
        <f>PUNTUACIONES!F158</f>
        <v>0</v>
      </c>
      <c r="G157" s="67">
        <f>PUNTUACIONES!G158</f>
        <v>0</v>
      </c>
      <c r="H157" s="67">
        <f>PUNTUACIONES!H158</f>
        <v>0</v>
      </c>
      <c r="I157" s="67">
        <f>PUNTUACIONES!I158</f>
        <v>0</v>
      </c>
      <c r="J157" s="67">
        <f>PUNTUACIONES!J158</f>
        <v>0</v>
      </c>
      <c r="K157" s="67">
        <f>PUNTUACIONES!K158</f>
        <v>0</v>
      </c>
    </row>
    <row r="158" spans="1:11" ht="19.5" customHeight="1" x14ac:dyDescent="0.25">
      <c r="A158" s="3">
        <v>152</v>
      </c>
      <c r="B158" s="67">
        <f>PUNTUACIONES!A159</f>
        <v>152</v>
      </c>
      <c r="C158" s="67">
        <f>PUNTUACIONES!B159</f>
        <v>0</v>
      </c>
      <c r="D158" s="67">
        <f>PUNTUACIONES!D159</f>
        <v>0</v>
      </c>
      <c r="E158" s="67">
        <f>PUNTUACIONES!E159</f>
        <v>0</v>
      </c>
      <c r="F158" s="67">
        <f>PUNTUACIONES!F159</f>
        <v>0</v>
      </c>
      <c r="G158" s="67">
        <f>PUNTUACIONES!G159</f>
        <v>0</v>
      </c>
      <c r="H158" s="67">
        <f>PUNTUACIONES!H159</f>
        <v>0</v>
      </c>
      <c r="I158" s="67">
        <f>PUNTUACIONES!I159</f>
        <v>0</v>
      </c>
      <c r="J158" s="67">
        <f>PUNTUACIONES!J159</f>
        <v>0</v>
      </c>
      <c r="K158" s="67">
        <f>PUNTUACIONES!K159</f>
        <v>0</v>
      </c>
    </row>
    <row r="159" spans="1:11" ht="19.5" customHeight="1" x14ac:dyDescent="0.25">
      <c r="A159" s="3">
        <v>153</v>
      </c>
      <c r="B159" s="67">
        <f>PUNTUACIONES!A160</f>
        <v>153</v>
      </c>
      <c r="C159" s="67">
        <f>PUNTUACIONES!B160</f>
        <v>0</v>
      </c>
      <c r="D159" s="67">
        <f>PUNTUACIONES!D160</f>
        <v>0</v>
      </c>
      <c r="E159" s="67">
        <f>PUNTUACIONES!E160</f>
        <v>0</v>
      </c>
      <c r="F159" s="67">
        <f>PUNTUACIONES!F160</f>
        <v>0</v>
      </c>
      <c r="G159" s="67">
        <f>PUNTUACIONES!G160</f>
        <v>0</v>
      </c>
      <c r="H159" s="67">
        <f>PUNTUACIONES!H160</f>
        <v>0</v>
      </c>
      <c r="I159" s="67">
        <f>PUNTUACIONES!I160</f>
        <v>0</v>
      </c>
      <c r="J159" s="67">
        <f>PUNTUACIONES!J160</f>
        <v>0</v>
      </c>
      <c r="K159" s="67">
        <f>PUNTUACIONES!K160</f>
        <v>0</v>
      </c>
    </row>
    <row r="160" spans="1:11" ht="19.5" customHeight="1" x14ac:dyDescent="0.25">
      <c r="A160" s="3">
        <v>154</v>
      </c>
      <c r="B160" s="67">
        <f>PUNTUACIONES!A161</f>
        <v>154</v>
      </c>
      <c r="C160" s="67">
        <f>PUNTUACIONES!B161</f>
        <v>0</v>
      </c>
      <c r="D160" s="67">
        <f>PUNTUACIONES!D161</f>
        <v>0</v>
      </c>
      <c r="E160" s="67">
        <f>PUNTUACIONES!E161</f>
        <v>0</v>
      </c>
      <c r="F160" s="67">
        <f>PUNTUACIONES!F161</f>
        <v>0</v>
      </c>
      <c r="G160" s="67">
        <f>PUNTUACIONES!G161</f>
        <v>0</v>
      </c>
      <c r="H160" s="67">
        <f>PUNTUACIONES!H161</f>
        <v>0</v>
      </c>
      <c r="I160" s="67">
        <f>PUNTUACIONES!I161</f>
        <v>0</v>
      </c>
      <c r="J160" s="67">
        <f>PUNTUACIONES!J161</f>
        <v>0</v>
      </c>
      <c r="K160" s="67">
        <f>PUNTUACIONES!K161</f>
        <v>0</v>
      </c>
    </row>
    <row r="161" spans="1:11" ht="19.5" customHeight="1" x14ac:dyDescent="0.25">
      <c r="A161" s="3">
        <v>155</v>
      </c>
      <c r="B161" s="67">
        <f>PUNTUACIONES!A162</f>
        <v>155</v>
      </c>
      <c r="C161" s="67">
        <f>PUNTUACIONES!B162</f>
        <v>0</v>
      </c>
      <c r="D161" s="67">
        <f>PUNTUACIONES!D162</f>
        <v>0</v>
      </c>
      <c r="E161" s="67">
        <f>PUNTUACIONES!E162</f>
        <v>0</v>
      </c>
      <c r="F161" s="67">
        <f>PUNTUACIONES!F162</f>
        <v>0</v>
      </c>
      <c r="G161" s="67">
        <f>PUNTUACIONES!G162</f>
        <v>0</v>
      </c>
      <c r="H161" s="67">
        <f>PUNTUACIONES!H162</f>
        <v>0</v>
      </c>
      <c r="I161" s="67">
        <f>PUNTUACIONES!I162</f>
        <v>0</v>
      </c>
      <c r="J161" s="67">
        <f>PUNTUACIONES!J162</f>
        <v>0</v>
      </c>
      <c r="K161" s="67">
        <f>PUNTUACIONES!K162</f>
        <v>0</v>
      </c>
    </row>
    <row r="162" spans="1:11" ht="19.5" customHeight="1" x14ac:dyDescent="0.25">
      <c r="A162" s="3">
        <v>156</v>
      </c>
      <c r="B162" s="67">
        <f>PUNTUACIONES!A163</f>
        <v>156</v>
      </c>
      <c r="C162" s="67">
        <f>PUNTUACIONES!B163</f>
        <v>0</v>
      </c>
      <c r="D162" s="67">
        <f>PUNTUACIONES!D163</f>
        <v>0</v>
      </c>
      <c r="E162" s="67">
        <f>PUNTUACIONES!E163</f>
        <v>0</v>
      </c>
      <c r="F162" s="67">
        <f>PUNTUACIONES!F163</f>
        <v>0</v>
      </c>
      <c r="G162" s="67">
        <f>PUNTUACIONES!G163</f>
        <v>0</v>
      </c>
      <c r="H162" s="67">
        <f>PUNTUACIONES!H163</f>
        <v>0</v>
      </c>
      <c r="I162" s="67">
        <f>PUNTUACIONES!I163</f>
        <v>0</v>
      </c>
      <c r="J162" s="67">
        <f>PUNTUACIONES!J163</f>
        <v>0</v>
      </c>
      <c r="K162" s="67">
        <f>PUNTUACIONES!K163</f>
        <v>0</v>
      </c>
    </row>
    <row r="163" spans="1:11" ht="19.5" customHeight="1" x14ac:dyDescent="0.25">
      <c r="A163" s="3">
        <v>157</v>
      </c>
      <c r="B163" s="67">
        <f>PUNTUACIONES!A164</f>
        <v>157</v>
      </c>
      <c r="C163" s="67">
        <f>PUNTUACIONES!B164</f>
        <v>0</v>
      </c>
      <c r="D163" s="67">
        <f>PUNTUACIONES!D164</f>
        <v>0</v>
      </c>
      <c r="E163" s="67">
        <f>PUNTUACIONES!E164</f>
        <v>0</v>
      </c>
      <c r="F163" s="67">
        <f>PUNTUACIONES!F164</f>
        <v>0</v>
      </c>
      <c r="G163" s="67">
        <f>PUNTUACIONES!G164</f>
        <v>0</v>
      </c>
      <c r="H163" s="67">
        <f>PUNTUACIONES!H164</f>
        <v>0</v>
      </c>
      <c r="I163" s="67">
        <f>PUNTUACIONES!I164</f>
        <v>0</v>
      </c>
      <c r="J163" s="67">
        <f>PUNTUACIONES!J164</f>
        <v>0</v>
      </c>
      <c r="K163" s="67">
        <f>PUNTUACIONES!K164</f>
        <v>0</v>
      </c>
    </row>
    <row r="164" spans="1:11" ht="19.5" customHeight="1" x14ac:dyDescent="0.25">
      <c r="A164" s="3">
        <v>158</v>
      </c>
      <c r="B164" s="67">
        <f>PUNTUACIONES!A165</f>
        <v>158</v>
      </c>
      <c r="C164" s="67">
        <f>PUNTUACIONES!B165</f>
        <v>0</v>
      </c>
      <c r="D164" s="67">
        <f>PUNTUACIONES!D165</f>
        <v>0</v>
      </c>
      <c r="E164" s="67">
        <f>PUNTUACIONES!E165</f>
        <v>0</v>
      </c>
      <c r="F164" s="67">
        <f>PUNTUACIONES!F165</f>
        <v>0</v>
      </c>
      <c r="G164" s="67">
        <f>PUNTUACIONES!G165</f>
        <v>0</v>
      </c>
      <c r="H164" s="67">
        <f>PUNTUACIONES!H165</f>
        <v>0</v>
      </c>
      <c r="I164" s="67">
        <f>PUNTUACIONES!I165</f>
        <v>0</v>
      </c>
      <c r="J164" s="67">
        <f>PUNTUACIONES!J165</f>
        <v>0</v>
      </c>
      <c r="K164" s="67">
        <f>PUNTUACIONES!K165</f>
        <v>0</v>
      </c>
    </row>
    <row r="165" spans="1:11" ht="19.5" customHeight="1" x14ac:dyDescent="0.25">
      <c r="A165" s="3">
        <v>159</v>
      </c>
      <c r="B165" s="67">
        <f>PUNTUACIONES!A166</f>
        <v>159</v>
      </c>
      <c r="C165" s="67">
        <f>PUNTUACIONES!B166</f>
        <v>0</v>
      </c>
      <c r="D165" s="67">
        <f>PUNTUACIONES!D166</f>
        <v>0</v>
      </c>
      <c r="E165" s="67">
        <f>PUNTUACIONES!E166</f>
        <v>0</v>
      </c>
      <c r="F165" s="67">
        <f>PUNTUACIONES!F166</f>
        <v>0</v>
      </c>
      <c r="G165" s="67">
        <f>PUNTUACIONES!G166</f>
        <v>0</v>
      </c>
      <c r="H165" s="67">
        <f>PUNTUACIONES!H166</f>
        <v>0</v>
      </c>
      <c r="I165" s="67">
        <f>PUNTUACIONES!I166</f>
        <v>0</v>
      </c>
      <c r="J165" s="67">
        <f>PUNTUACIONES!J166</f>
        <v>0</v>
      </c>
      <c r="K165" s="67">
        <f>PUNTUACIONES!K166</f>
        <v>0</v>
      </c>
    </row>
    <row r="166" spans="1:11" ht="19.5" customHeight="1" x14ac:dyDescent="0.25">
      <c r="A166" s="3">
        <v>160</v>
      </c>
      <c r="B166" s="67">
        <f>PUNTUACIONES!A167</f>
        <v>160</v>
      </c>
      <c r="C166" s="67">
        <f>PUNTUACIONES!B167</f>
        <v>0</v>
      </c>
      <c r="D166" s="67">
        <f>PUNTUACIONES!D167</f>
        <v>0</v>
      </c>
      <c r="E166" s="67">
        <f>PUNTUACIONES!E167</f>
        <v>0</v>
      </c>
      <c r="F166" s="67">
        <f>PUNTUACIONES!F167</f>
        <v>0</v>
      </c>
      <c r="G166" s="67">
        <f>PUNTUACIONES!G167</f>
        <v>0</v>
      </c>
      <c r="H166" s="67">
        <f>PUNTUACIONES!H167</f>
        <v>0</v>
      </c>
      <c r="I166" s="67">
        <f>PUNTUACIONES!I167</f>
        <v>0</v>
      </c>
      <c r="J166" s="67">
        <f>PUNTUACIONES!J167</f>
        <v>0</v>
      </c>
      <c r="K166" s="67">
        <f>PUNTUACIONES!K167</f>
        <v>0</v>
      </c>
    </row>
    <row r="167" spans="1:11" ht="19.5" customHeight="1" x14ac:dyDescent="0.25">
      <c r="A167" s="3">
        <v>161</v>
      </c>
      <c r="B167" s="67">
        <f>PUNTUACIONES!A168</f>
        <v>161</v>
      </c>
      <c r="C167" s="67">
        <f>PUNTUACIONES!B168</f>
        <v>0</v>
      </c>
      <c r="D167" s="67">
        <f>PUNTUACIONES!D168</f>
        <v>0</v>
      </c>
      <c r="E167" s="67">
        <f>PUNTUACIONES!E168</f>
        <v>0</v>
      </c>
      <c r="F167" s="67">
        <f>PUNTUACIONES!F168</f>
        <v>0</v>
      </c>
      <c r="G167" s="67">
        <f>PUNTUACIONES!G168</f>
        <v>0</v>
      </c>
      <c r="H167" s="67">
        <f>PUNTUACIONES!H168</f>
        <v>0</v>
      </c>
      <c r="I167" s="67">
        <f>PUNTUACIONES!I168</f>
        <v>0</v>
      </c>
      <c r="J167" s="67">
        <f>PUNTUACIONES!J168</f>
        <v>0</v>
      </c>
      <c r="K167" s="67">
        <f>PUNTUACIONES!K168</f>
        <v>0</v>
      </c>
    </row>
    <row r="168" spans="1:11" ht="19.5" customHeight="1" x14ac:dyDescent="0.25">
      <c r="A168" s="3">
        <v>162</v>
      </c>
      <c r="B168" s="67">
        <f>PUNTUACIONES!A169</f>
        <v>162</v>
      </c>
      <c r="C168" s="67">
        <f>PUNTUACIONES!B169</f>
        <v>0</v>
      </c>
      <c r="D168" s="67">
        <f>PUNTUACIONES!D169</f>
        <v>0</v>
      </c>
      <c r="E168" s="67">
        <f>PUNTUACIONES!E169</f>
        <v>0</v>
      </c>
      <c r="F168" s="67">
        <f>PUNTUACIONES!F169</f>
        <v>0</v>
      </c>
      <c r="G168" s="67">
        <f>PUNTUACIONES!G169</f>
        <v>0</v>
      </c>
      <c r="H168" s="67">
        <f>PUNTUACIONES!H169</f>
        <v>0</v>
      </c>
      <c r="I168" s="67">
        <f>PUNTUACIONES!I169</f>
        <v>0</v>
      </c>
      <c r="J168" s="67">
        <f>PUNTUACIONES!J169</f>
        <v>0</v>
      </c>
      <c r="K168" s="67">
        <f>PUNTUACIONES!K169</f>
        <v>0</v>
      </c>
    </row>
    <row r="169" spans="1:11" ht="19.5" customHeight="1" x14ac:dyDescent="0.25">
      <c r="A169" s="3">
        <v>163</v>
      </c>
      <c r="B169" s="67">
        <f>PUNTUACIONES!A170</f>
        <v>163</v>
      </c>
      <c r="C169" s="67">
        <f>PUNTUACIONES!B170</f>
        <v>0</v>
      </c>
      <c r="D169" s="67">
        <f>PUNTUACIONES!D170</f>
        <v>0</v>
      </c>
      <c r="E169" s="67">
        <f>PUNTUACIONES!E170</f>
        <v>0</v>
      </c>
      <c r="F169" s="67">
        <f>PUNTUACIONES!F170</f>
        <v>0</v>
      </c>
      <c r="G169" s="67">
        <f>PUNTUACIONES!G170</f>
        <v>0</v>
      </c>
      <c r="H169" s="67">
        <f>PUNTUACIONES!H170</f>
        <v>0</v>
      </c>
      <c r="I169" s="67">
        <f>PUNTUACIONES!I170</f>
        <v>0</v>
      </c>
      <c r="J169" s="67">
        <f>PUNTUACIONES!J170</f>
        <v>0</v>
      </c>
      <c r="K169" s="67">
        <f>PUNTUACIONES!K170</f>
        <v>0</v>
      </c>
    </row>
    <row r="170" spans="1:11" ht="19.5" customHeight="1" x14ac:dyDescent="0.25">
      <c r="A170" s="3">
        <v>164</v>
      </c>
      <c r="B170" s="67">
        <f>PUNTUACIONES!A171</f>
        <v>164</v>
      </c>
      <c r="C170" s="67">
        <f>PUNTUACIONES!B171</f>
        <v>0</v>
      </c>
      <c r="D170" s="67">
        <f>PUNTUACIONES!D171</f>
        <v>0</v>
      </c>
      <c r="E170" s="67">
        <f>PUNTUACIONES!E171</f>
        <v>0</v>
      </c>
      <c r="F170" s="67">
        <f>PUNTUACIONES!F171</f>
        <v>0</v>
      </c>
      <c r="G170" s="67">
        <f>PUNTUACIONES!G171</f>
        <v>0</v>
      </c>
      <c r="H170" s="67">
        <f>PUNTUACIONES!H171</f>
        <v>0</v>
      </c>
      <c r="I170" s="67">
        <f>PUNTUACIONES!I171</f>
        <v>0</v>
      </c>
      <c r="J170" s="67">
        <f>PUNTUACIONES!J171</f>
        <v>0</v>
      </c>
      <c r="K170" s="67">
        <f>PUNTUACIONES!K171</f>
        <v>0</v>
      </c>
    </row>
    <row r="171" spans="1:11" ht="19.5" customHeight="1" x14ac:dyDescent="0.25">
      <c r="A171" s="3">
        <v>165</v>
      </c>
      <c r="B171" s="67">
        <f>PUNTUACIONES!A172</f>
        <v>165</v>
      </c>
      <c r="C171" s="67">
        <f>PUNTUACIONES!B172</f>
        <v>0</v>
      </c>
      <c r="D171" s="67">
        <f>PUNTUACIONES!D172</f>
        <v>0</v>
      </c>
      <c r="E171" s="67">
        <f>PUNTUACIONES!E172</f>
        <v>0</v>
      </c>
      <c r="F171" s="67">
        <f>PUNTUACIONES!F172</f>
        <v>0</v>
      </c>
      <c r="G171" s="67">
        <f>PUNTUACIONES!G172</f>
        <v>0</v>
      </c>
      <c r="H171" s="67">
        <f>PUNTUACIONES!H172</f>
        <v>0</v>
      </c>
      <c r="I171" s="67">
        <f>PUNTUACIONES!I172</f>
        <v>0</v>
      </c>
      <c r="J171" s="67">
        <f>PUNTUACIONES!J172</f>
        <v>0</v>
      </c>
      <c r="K171" s="67">
        <f>PUNTUACIONES!K172</f>
        <v>0</v>
      </c>
    </row>
    <row r="172" spans="1:11" ht="19.5" customHeight="1" x14ac:dyDescent="0.25">
      <c r="A172" s="3">
        <v>166</v>
      </c>
      <c r="B172" s="67">
        <f>PUNTUACIONES!A173</f>
        <v>166</v>
      </c>
      <c r="C172" s="67">
        <f>PUNTUACIONES!B173</f>
        <v>0</v>
      </c>
      <c r="D172" s="67">
        <f>PUNTUACIONES!D173</f>
        <v>0</v>
      </c>
      <c r="E172" s="67">
        <f>PUNTUACIONES!E173</f>
        <v>0</v>
      </c>
      <c r="F172" s="67">
        <f>PUNTUACIONES!F173</f>
        <v>0</v>
      </c>
      <c r="G172" s="67">
        <f>PUNTUACIONES!G173</f>
        <v>0</v>
      </c>
      <c r="H172" s="67">
        <f>PUNTUACIONES!H173</f>
        <v>0</v>
      </c>
      <c r="I172" s="67">
        <f>PUNTUACIONES!I173</f>
        <v>0</v>
      </c>
      <c r="J172" s="67">
        <f>PUNTUACIONES!J173</f>
        <v>0</v>
      </c>
      <c r="K172" s="67">
        <f>PUNTUACIONES!K173</f>
        <v>0</v>
      </c>
    </row>
    <row r="173" spans="1:11" ht="19.5" customHeight="1" x14ac:dyDescent="0.25">
      <c r="A173" s="3">
        <v>167</v>
      </c>
      <c r="B173" s="67">
        <f>PUNTUACIONES!A174</f>
        <v>167</v>
      </c>
      <c r="C173" s="67">
        <f>PUNTUACIONES!B174</f>
        <v>0</v>
      </c>
      <c r="D173" s="67">
        <f>PUNTUACIONES!D174</f>
        <v>0</v>
      </c>
      <c r="E173" s="67">
        <f>PUNTUACIONES!E174</f>
        <v>0</v>
      </c>
      <c r="F173" s="67">
        <f>PUNTUACIONES!F174</f>
        <v>0</v>
      </c>
      <c r="G173" s="67">
        <f>PUNTUACIONES!G174</f>
        <v>0</v>
      </c>
      <c r="H173" s="67">
        <f>PUNTUACIONES!H174</f>
        <v>0</v>
      </c>
      <c r="I173" s="67">
        <f>PUNTUACIONES!I174</f>
        <v>0</v>
      </c>
      <c r="J173" s="67">
        <f>PUNTUACIONES!J174</f>
        <v>0</v>
      </c>
      <c r="K173" s="67">
        <f>PUNTUACIONES!K174</f>
        <v>0</v>
      </c>
    </row>
    <row r="174" spans="1:11" ht="19.5" customHeight="1" x14ac:dyDescent="0.25">
      <c r="A174" s="3">
        <v>168</v>
      </c>
      <c r="B174" s="67">
        <f>PUNTUACIONES!A175</f>
        <v>168</v>
      </c>
      <c r="C174" s="67">
        <f>PUNTUACIONES!B175</f>
        <v>0</v>
      </c>
      <c r="D174" s="67">
        <f>PUNTUACIONES!D175</f>
        <v>0</v>
      </c>
      <c r="E174" s="67">
        <f>PUNTUACIONES!E175</f>
        <v>0</v>
      </c>
      <c r="F174" s="67">
        <f>PUNTUACIONES!F175</f>
        <v>0</v>
      </c>
      <c r="G174" s="67">
        <f>PUNTUACIONES!G175</f>
        <v>0</v>
      </c>
      <c r="H174" s="67">
        <f>PUNTUACIONES!H175</f>
        <v>0</v>
      </c>
      <c r="I174" s="67">
        <f>PUNTUACIONES!I175</f>
        <v>0</v>
      </c>
      <c r="J174" s="67">
        <f>PUNTUACIONES!J175</f>
        <v>0</v>
      </c>
      <c r="K174" s="67">
        <f>PUNTUACIONES!K175</f>
        <v>0</v>
      </c>
    </row>
    <row r="175" spans="1:11" ht="19.5" customHeight="1" x14ac:dyDescent="0.25">
      <c r="A175" s="3">
        <v>169</v>
      </c>
      <c r="B175" s="67">
        <f>PUNTUACIONES!A176</f>
        <v>169</v>
      </c>
      <c r="C175" s="67">
        <f>PUNTUACIONES!B176</f>
        <v>0</v>
      </c>
      <c r="D175" s="67">
        <f>PUNTUACIONES!D176</f>
        <v>0</v>
      </c>
      <c r="E175" s="67">
        <f>PUNTUACIONES!E176</f>
        <v>0</v>
      </c>
      <c r="F175" s="67">
        <f>PUNTUACIONES!F176</f>
        <v>0</v>
      </c>
      <c r="G175" s="67">
        <f>PUNTUACIONES!G176</f>
        <v>0</v>
      </c>
      <c r="H175" s="67">
        <f>PUNTUACIONES!H176</f>
        <v>0</v>
      </c>
      <c r="I175" s="67">
        <f>PUNTUACIONES!I176</f>
        <v>0</v>
      </c>
      <c r="J175" s="67">
        <f>PUNTUACIONES!J176</f>
        <v>0</v>
      </c>
      <c r="K175" s="67">
        <f>PUNTUACIONES!K176</f>
        <v>0</v>
      </c>
    </row>
    <row r="176" spans="1:11" ht="19.5" customHeight="1" x14ac:dyDescent="0.25">
      <c r="A176" s="3">
        <v>170</v>
      </c>
      <c r="B176" s="67">
        <f>PUNTUACIONES!A177</f>
        <v>170</v>
      </c>
      <c r="C176" s="67">
        <f>PUNTUACIONES!B177</f>
        <v>0</v>
      </c>
      <c r="D176" s="67">
        <f>PUNTUACIONES!D177</f>
        <v>0</v>
      </c>
      <c r="E176" s="67">
        <f>PUNTUACIONES!E177</f>
        <v>0</v>
      </c>
      <c r="F176" s="67">
        <f>PUNTUACIONES!F177</f>
        <v>0</v>
      </c>
      <c r="G176" s="67">
        <f>PUNTUACIONES!G177</f>
        <v>0</v>
      </c>
      <c r="H176" s="67">
        <f>PUNTUACIONES!H177</f>
        <v>0</v>
      </c>
      <c r="I176" s="67">
        <f>PUNTUACIONES!I177</f>
        <v>0</v>
      </c>
      <c r="J176" s="67">
        <f>PUNTUACIONES!J177</f>
        <v>0</v>
      </c>
      <c r="K176" s="67">
        <f>PUNTUACIONES!K177</f>
        <v>0</v>
      </c>
    </row>
    <row r="177" spans="1:11" ht="19.5" customHeight="1" x14ac:dyDescent="0.25">
      <c r="A177" s="3">
        <v>171</v>
      </c>
      <c r="B177" s="67">
        <f>PUNTUACIONES!A178</f>
        <v>171</v>
      </c>
      <c r="C177" s="67">
        <f>PUNTUACIONES!B178</f>
        <v>0</v>
      </c>
      <c r="D177" s="67">
        <f>PUNTUACIONES!D178</f>
        <v>0</v>
      </c>
      <c r="E177" s="67">
        <f>PUNTUACIONES!E178</f>
        <v>0</v>
      </c>
      <c r="F177" s="67">
        <f>PUNTUACIONES!F178</f>
        <v>0</v>
      </c>
      <c r="G177" s="67">
        <f>PUNTUACIONES!G178</f>
        <v>0</v>
      </c>
      <c r="H177" s="67">
        <f>PUNTUACIONES!H178</f>
        <v>0</v>
      </c>
      <c r="I177" s="67">
        <f>PUNTUACIONES!I178</f>
        <v>0</v>
      </c>
      <c r="J177" s="67">
        <f>PUNTUACIONES!J178</f>
        <v>0</v>
      </c>
      <c r="K177" s="67">
        <f>PUNTUACIONES!K178</f>
        <v>0</v>
      </c>
    </row>
    <row r="178" spans="1:11" ht="19.5" customHeight="1" x14ac:dyDescent="0.25">
      <c r="A178" s="3">
        <v>172</v>
      </c>
      <c r="B178" s="67">
        <f>PUNTUACIONES!A179</f>
        <v>172</v>
      </c>
      <c r="C178" s="67">
        <f>PUNTUACIONES!B179</f>
        <v>0</v>
      </c>
      <c r="D178" s="67">
        <f>PUNTUACIONES!D179</f>
        <v>0</v>
      </c>
      <c r="E178" s="67">
        <f>PUNTUACIONES!E179</f>
        <v>0</v>
      </c>
      <c r="F178" s="67">
        <f>PUNTUACIONES!F179</f>
        <v>0</v>
      </c>
      <c r="G178" s="67">
        <f>PUNTUACIONES!G179</f>
        <v>0</v>
      </c>
      <c r="H178" s="67">
        <f>PUNTUACIONES!H179</f>
        <v>0</v>
      </c>
      <c r="I178" s="67">
        <f>PUNTUACIONES!I179</f>
        <v>0</v>
      </c>
      <c r="J178" s="67">
        <f>PUNTUACIONES!J179</f>
        <v>0</v>
      </c>
      <c r="K178" s="67">
        <f>PUNTUACIONES!K179</f>
        <v>0</v>
      </c>
    </row>
    <row r="179" spans="1:11" ht="19.5" customHeight="1" x14ac:dyDescent="0.25">
      <c r="A179" s="3">
        <v>173</v>
      </c>
      <c r="B179" s="67">
        <f>PUNTUACIONES!A180</f>
        <v>173</v>
      </c>
      <c r="C179" s="67">
        <f>PUNTUACIONES!B180</f>
        <v>0</v>
      </c>
      <c r="D179" s="67">
        <f>PUNTUACIONES!D180</f>
        <v>0</v>
      </c>
      <c r="E179" s="67">
        <f>PUNTUACIONES!E180</f>
        <v>0</v>
      </c>
      <c r="F179" s="67">
        <f>PUNTUACIONES!F180</f>
        <v>0</v>
      </c>
      <c r="G179" s="67">
        <f>PUNTUACIONES!G180</f>
        <v>0</v>
      </c>
      <c r="H179" s="67">
        <f>PUNTUACIONES!H180</f>
        <v>0</v>
      </c>
      <c r="I179" s="67">
        <f>PUNTUACIONES!I180</f>
        <v>0</v>
      </c>
      <c r="J179" s="67">
        <f>PUNTUACIONES!J180</f>
        <v>0</v>
      </c>
      <c r="K179" s="67">
        <f>PUNTUACIONES!K180</f>
        <v>0</v>
      </c>
    </row>
    <row r="180" spans="1:11" ht="19.5" customHeight="1" x14ac:dyDescent="0.25">
      <c r="A180" s="3">
        <v>174</v>
      </c>
      <c r="B180" s="67">
        <f>PUNTUACIONES!A181</f>
        <v>174</v>
      </c>
      <c r="C180" s="67">
        <f>PUNTUACIONES!B181</f>
        <v>0</v>
      </c>
      <c r="D180" s="67">
        <f>PUNTUACIONES!D181</f>
        <v>0</v>
      </c>
      <c r="E180" s="67">
        <f>PUNTUACIONES!E181</f>
        <v>0</v>
      </c>
      <c r="F180" s="67">
        <f>PUNTUACIONES!F181</f>
        <v>0</v>
      </c>
      <c r="G180" s="67">
        <f>PUNTUACIONES!G181</f>
        <v>0</v>
      </c>
      <c r="H180" s="67">
        <f>PUNTUACIONES!H181</f>
        <v>0</v>
      </c>
      <c r="I180" s="67">
        <f>PUNTUACIONES!I181</f>
        <v>0</v>
      </c>
      <c r="J180" s="67">
        <f>PUNTUACIONES!J181</f>
        <v>0</v>
      </c>
      <c r="K180" s="67">
        <f>PUNTUACIONES!K181</f>
        <v>0</v>
      </c>
    </row>
    <row r="181" spans="1:11" ht="19.5" customHeight="1" x14ac:dyDescent="0.25">
      <c r="A181" s="3">
        <v>175</v>
      </c>
      <c r="B181" s="67">
        <f>PUNTUACIONES!A182</f>
        <v>175</v>
      </c>
      <c r="C181" s="67">
        <f>PUNTUACIONES!B182</f>
        <v>0</v>
      </c>
      <c r="D181" s="67">
        <f>PUNTUACIONES!D182</f>
        <v>0</v>
      </c>
      <c r="E181" s="67">
        <f>PUNTUACIONES!E182</f>
        <v>0</v>
      </c>
      <c r="F181" s="67">
        <f>PUNTUACIONES!F182</f>
        <v>0</v>
      </c>
      <c r="G181" s="67">
        <f>PUNTUACIONES!G182</f>
        <v>0</v>
      </c>
      <c r="H181" s="67">
        <f>PUNTUACIONES!H182</f>
        <v>0</v>
      </c>
      <c r="I181" s="67">
        <f>PUNTUACIONES!I182</f>
        <v>0</v>
      </c>
      <c r="J181" s="67">
        <f>PUNTUACIONES!J182</f>
        <v>0</v>
      </c>
      <c r="K181" s="67">
        <f>PUNTUACIONES!K182</f>
        <v>0</v>
      </c>
    </row>
    <row r="182" spans="1:11" ht="19.5" customHeight="1" x14ac:dyDescent="0.25">
      <c r="A182" s="3">
        <v>176</v>
      </c>
      <c r="B182" s="67">
        <f>PUNTUACIONES!A183</f>
        <v>176</v>
      </c>
      <c r="C182" s="67">
        <f>PUNTUACIONES!B183</f>
        <v>0</v>
      </c>
      <c r="D182" s="67">
        <f>PUNTUACIONES!D183</f>
        <v>0</v>
      </c>
      <c r="E182" s="67">
        <f>PUNTUACIONES!E183</f>
        <v>0</v>
      </c>
      <c r="F182" s="67">
        <f>PUNTUACIONES!F183</f>
        <v>0</v>
      </c>
      <c r="G182" s="67">
        <f>PUNTUACIONES!G183</f>
        <v>0</v>
      </c>
      <c r="H182" s="67">
        <f>PUNTUACIONES!H183</f>
        <v>0</v>
      </c>
      <c r="I182" s="67">
        <f>PUNTUACIONES!I183</f>
        <v>0</v>
      </c>
      <c r="J182" s="67">
        <f>PUNTUACIONES!J183</f>
        <v>0</v>
      </c>
      <c r="K182" s="67">
        <f>PUNTUACIONES!K183</f>
        <v>0</v>
      </c>
    </row>
    <row r="183" spans="1:11" ht="19.5" customHeight="1" x14ac:dyDescent="0.25">
      <c r="A183" s="3">
        <v>177</v>
      </c>
      <c r="B183" s="67">
        <f>PUNTUACIONES!A184</f>
        <v>177</v>
      </c>
      <c r="C183" s="67">
        <f>PUNTUACIONES!B184</f>
        <v>0</v>
      </c>
      <c r="D183" s="67">
        <f>PUNTUACIONES!D184</f>
        <v>0</v>
      </c>
      <c r="E183" s="67">
        <f>PUNTUACIONES!E184</f>
        <v>0</v>
      </c>
      <c r="F183" s="67">
        <f>PUNTUACIONES!F184</f>
        <v>0</v>
      </c>
      <c r="G183" s="67">
        <f>PUNTUACIONES!G184</f>
        <v>0</v>
      </c>
      <c r="H183" s="67">
        <f>PUNTUACIONES!H184</f>
        <v>0</v>
      </c>
      <c r="I183" s="67">
        <f>PUNTUACIONES!I184</f>
        <v>0</v>
      </c>
      <c r="J183" s="67">
        <f>PUNTUACIONES!J184</f>
        <v>0</v>
      </c>
      <c r="K183" s="67">
        <f>PUNTUACIONES!K184</f>
        <v>0</v>
      </c>
    </row>
    <row r="184" spans="1:11" ht="19.5" customHeight="1" x14ac:dyDescent="0.25">
      <c r="A184" s="3">
        <v>178</v>
      </c>
      <c r="B184" s="67">
        <f>PUNTUACIONES!A185</f>
        <v>178</v>
      </c>
      <c r="C184" s="67">
        <f>PUNTUACIONES!B185</f>
        <v>0</v>
      </c>
      <c r="D184" s="67">
        <f>PUNTUACIONES!D185</f>
        <v>0</v>
      </c>
      <c r="E184" s="67">
        <f>PUNTUACIONES!E185</f>
        <v>0</v>
      </c>
      <c r="F184" s="67">
        <f>PUNTUACIONES!F185</f>
        <v>0</v>
      </c>
      <c r="G184" s="67">
        <f>PUNTUACIONES!G185</f>
        <v>0</v>
      </c>
      <c r="H184" s="67">
        <f>PUNTUACIONES!H185</f>
        <v>0</v>
      </c>
      <c r="I184" s="67">
        <f>PUNTUACIONES!I185</f>
        <v>0</v>
      </c>
      <c r="J184" s="67">
        <f>PUNTUACIONES!J185</f>
        <v>0</v>
      </c>
      <c r="K184" s="67">
        <f>PUNTUACIONES!K185</f>
        <v>0</v>
      </c>
    </row>
    <row r="185" spans="1:11" ht="19.5" customHeight="1" x14ac:dyDescent="0.25">
      <c r="A185" s="3">
        <v>179</v>
      </c>
      <c r="B185" s="67">
        <f>PUNTUACIONES!A186</f>
        <v>179</v>
      </c>
      <c r="C185" s="67">
        <f>PUNTUACIONES!B186</f>
        <v>0</v>
      </c>
      <c r="D185" s="67">
        <f>PUNTUACIONES!D186</f>
        <v>0</v>
      </c>
      <c r="E185" s="67">
        <f>PUNTUACIONES!E186</f>
        <v>0</v>
      </c>
      <c r="F185" s="67">
        <f>PUNTUACIONES!F186</f>
        <v>0</v>
      </c>
      <c r="G185" s="67">
        <f>PUNTUACIONES!G186</f>
        <v>0</v>
      </c>
      <c r="H185" s="67">
        <f>PUNTUACIONES!H186</f>
        <v>0</v>
      </c>
      <c r="I185" s="67">
        <f>PUNTUACIONES!I186</f>
        <v>0</v>
      </c>
      <c r="J185" s="67">
        <f>PUNTUACIONES!J186</f>
        <v>0</v>
      </c>
      <c r="K185" s="67">
        <f>PUNTUACIONES!K186</f>
        <v>0</v>
      </c>
    </row>
    <row r="186" spans="1:11" ht="19.5" customHeight="1" x14ac:dyDescent="0.25">
      <c r="A186" s="3">
        <v>180</v>
      </c>
      <c r="B186" s="67">
        <f>PUNTUACIONES!A187</f>
        <v>180</v>
      </c>
      <c r="C186" s="67">
        <f>PUNTUACIONES!B187</f>
        <v>0</v>
      </c>
      <c r="D186" s="67">
        <f>PUNTUACIONES!D187</f>
        <v>0</v>
      </c>
      <c r="E186" s="67">
        <f>PUNTUACIONES!E187</f>
        <v>0</v>
      </c>
      <c r="F186" s="67">
        <f>PUNTUACIONES!F187</f>
        <v>0</v>
      </c>
      <c r="G186" s="67">
        <f>PUNTUACIONES!G187</f>
        <v>0</v>
      </c>
      <c r="H186" s="67">
        <f>PUNTUACIONES!H187</f>
        <v>0</v>
      </c>
      <c r="I186" s="67">
        <f>PUNTUACIONES!I187</f>
        <v>0</v>
      </c>
      <c r="J186" s="67">
        <f>PUNTUACIONES!J187</f>
        <v>0</v>
      </c>
      <c r="K186" s="67">
        <f>PUNTUACIONES!K187</f>
        <v>0</v>
      </c>
    </row>
    <row r="187" spans="1:11" ht="18" customHeight="1" x14ac:dyDescent="0.25">
      <c r="A187" s="3">
        <v>181</v>
      </c>
      <c r="B187" s="67">
        <f>PUNTUACIONES!A188</f>
        <v>181</v>
      </c>
      <c r="C187" s="67">
        <f>PUNTUACIONES!B188</f>
        <v>0</v>
      </c>
      <c r="D187" s="67">
        <f>PUNTUACIONES!D188</f>
        <v>0</v>
      </c>
      <c r="E187" s="67">
        <f>PUNTUACIONES!E188</f>
        <v>0</v>
      </c>
      <c r="F187" s="67">
        <f>PUNTUACIONES!F188</f>
        <v>0</v>
      </c>
      <c r="G187" s="67">
        <f>PUNTUACIONES!G188</f>
        <v>0</v>
      </c>
      <c r="H187" s="67">
        <f>PUNTUACIONES!H188</f>
        <v>0</v>
      </c>
      <c r="I187" s="67">
        <f>PUNTUACIONES!I188</f>
        <v>0</v>
      </c>
      <c r="J187" s="67">
        <f>PUNTUACIONES!J188</f>
        <v>0</v>
      </c>
      <c r="K187" s="67">
        <f>PUNTUACIONES!K188</f>
        <v>0</v>
      </c>
    </row>
    <row r="188" spans="1:11" ht="18" customHeight="1" x14ac:dyDescent="0.25">
      <c r="A188" s="3">
        <v>182</v>
      </c>
      <c r="B188" s="67">
        <f>PUNTUACIONES!A189</f>
        <v>182</v>
      </c>
      <c r="C188" s="67">
        <f>PUNTUACIONES!B189</f>
        <v>0</v>
      </c>
      <c r="D188" s="67">
        <f>PUNTUACIONES!D189</f>
        <v>0</v>
      </c>
      <c r="E188" s="67">
        <f>PUNTUACIONES!E189</f>
        <v>0</v>
      </c>
      <c r="F188" s="67">
        <f>PUNTUACIONES!F189</f>
        <v>0</v>
      </c>
      <c r="G188" s="67">
        <f>PUNTUACIONES!G189</f>
        <v>0</v>
      </c>
      <c r="H188" s="67">
        <f>PUNTUACIONES!H189</f>
        <v>0</v>
      </c>
      <c r="I188" s="67">
        <f>PUNTUACIONES!I189</f>
        <v>0</v>
      </c>
      <c r="J188" s="67">
        <f>PUNTUACIONES!J189</f>
        <v>0</v>
      </c>
      <c r="K188" s="67">
        <f>PUNTUACIONES!K189</f>
        <v>0</v>
      </c>
    </row>
    <row r="189" spans="1:11" ht="19.5" customHeight="1" x14ac:dyDescent="0.25">
      <c r="A189" s="3">
        <v>183</v>
      </c>
      <c r="B189" s="67">
        <f>PUNTUACIONES!A190</f>
        <v>183</v>
      </c>
      <c r="C189" s="67">
        <f>PUNTUACIONES!B190</f>
        <v>0</v>
      </c>
      <c r="D189" s="67">
        <f>PUNTUACIONES!D190</f>
        <v>0</v>
      </c>
      <c r="E189" s="67">
        <f>PUNTUACIONES!E190</f>
        <v>0</v>
      </c>
      <c r="F189" s="67">
        <f>PUNTUACIONES!F190</f>
        <v>0</v>
      </c>
      <c r="G189" s="67">
        <f>PUNTUACIONES!G190</f>
        <v>0</v>
      </c>
      <c r="H189" s="67">
        <f>PUNTUACIONES!H190</f>
        <v>0</v>
      </c>
      <c r="I189" s="67">
        <f>PUNTUACIONES!I190</f>
        <v>0</v>
      </c>
      <c r="J189" s="67">
        <f>PUNTUACIONES!J190</f>
        <v>0</v>
      </c>
      <c r="K189" s="67">
        <f>PUNTUACIONES!K190</f>
        <v>0</v>
      </c>
    </row>
    <row r="190" spans="1:11" ht="19.5" customHeight="1" x14ac:dyDescent="0.25">
      <c r="A190" s="3">
        <v>184</v>
      </c>
      <c r="B190" s="67">
        <f>PUNTUACIONES!A191</f>
        <v>184</v>
      </c>
      <c r="C190" s="67">
        <f>PUNTUACIONES!B191</f>
        <v>0</v>
      </c>
      <c r="D190" s="67">
        <f>PUNTUACIONES!D191</f>
        <v>0</v>
      </c>
      <c r="E190" s="67">
        <f>PUNTUACIONES!E191</f>
        <v>0</v>
      </c>
      <c r="F190" s="67">
        <f>PUNTUACIONES!F191</f>
        <v>0</v>
      </c>
      <c r="G190" s="67">
        <f>PUNTUACIONES!G191</f>
        <v>0</v>
      </c>
      <c r="H190" s="67">
        <f>PUNTUACIONES!H191</f>
        <v>0</v>
      </c>
      <c r="I190" s="67">
        <f>PUNTUACIONES!I191</f>
        <v>0</v>
      </c>
      <c r="J190" s="67">
        <f>PUNTUACIONES!J191</f>
        <v>0</v>
      </c>
      <c r="K190" s="67">
        <f>PUNTUACIONES!K191</f>
        <v>0</v>
      </c>
    </row>
    <row r="191" spans="1:11" ht="19.5" customHeight="1" x14ac:dyDescent="0.25">
      <c r="A191" s="3">
        <v>185</v>
      </c>
      <c r="B191" s="67">
        <f>PUNTUACIONES!A192</f>
        <v>185</v>
      </c>
      <c r="C191" s="67">
        <f>PUNTUACIONES!B192</f>
        <v>0</v>
      </c>
      <c r="D191" s="67">
        <f>PUNTUACIONES!D192</f>
        <v>0</v>
      </c>
      <c r="E191" s="67">
        <f>PUNTUACIONES!E192</f>
        <v>0</v>
      </c>
      <c r="F191" s="67">
        <f>PUNTUACIONES!F192</f>
        <v>0</v>
      </c>
      <c r="G191" s="67">
        <f>PUNTUACIONES!G192</f>
        <v>0</v>
      </c>
      <c r="H191" s="67">
        <f>PUNTUACIONES!H192</f>
        <v>0</v>
      </c>
      <c r="I191" s="67">
        <f>PUNTUACIONES!I192</f>
        <v>0</v>
      </c>
      <c r="J191" s="67">
        <f>PUNTUACIONES!J192</f>
        <v>0</v>
      </c>
      <c r="K191" s="67">
        <f>PUNTUACIONES!K192</f>
        <v>0</v>
      </c>
    </row>
    <row r="192" spans="1:11" ht="19.5" customHeight="1" x14ac:dyDescent="0.25">
      <c r="A192" s="3">
        <v>186</v>
      </c>
      <c r="B192" s="67">
        <f>PUNTUACIONES!A193</f>
        <v>186</v>
      </c>
      <c r="C192" s="67">
        <f>PUNTUACIONES!B193</f>
        <v>0</v>
      </c>
      <c r="D192" s="67">
        <f>PUNTUACIONES!D193</f>
        <v>0</v>
      </c>
      <c r="E192" s="67">
        <f>PUNTUACIONES!E193</f>
        <v>0</v>
      </c>
      <c r="F192" s="67">
        <f>PUNTUACIONES!F193</f>
        <v>0</v>
      </c>
      <c r="G192" s="67">
        <f>PUNTUACIONES!G193</f>
        <v>0</v>
      </c>
      <c r="H192" s="67">
        <f>PUNTUACIONES!H193</f>
        <v>0</v>
      </c>
      <c r="I192" s="67">
        <f>PUNTUACIONES!I193</f>
        <v>0</v>
      </c>
      <c r="J192" s="67">
        <f>PUNTUACIONES!J193</f>
        <v>0</v>
      </c>
      <c r="K192" s="67">
        <f>PUNTUACIONES!K193</f>
        <v>0</v>
      </c>
    </row>
    <row r="193" spans="1:11" ht="21" customHeight="1" x14ac:dyDescent="0.25">
      <c r="A193" s="3">
        <v>187</v>
      </c>
      <c r="B193" s="67">
        <f>PUNTUACIONES!A194</f>
        <v>187</v>
      </c>
      <c r="C193" s="67">
        <f>PUNTUACIONES!B194</f>
        <v>0</v>
      </c>
      <c r="D193" s="67">
        <f>PUNTUACIONES!D194</f>
        <v>0</v>
      </c>
      <c r="E193" s="67">
        <f>PUNTUACIONES!E194</f>
        <v>0</v>
      </c>
      <c r="F193" s="67">
        <f>PUNTUACIONES!F194</f>
        <v>0</v>
      </c>
      <c r="G193" s="67">
        <f>PUNTUACIONES!G194</f>
        <v>0</v>
      </c>
      <c r="H193" s="67">
        <f>PUNTUACIONES!H194</f>
        <v>0</v>
      </c>
      <c r="I193" s="67">
        <f>PUNTUACIONES!I194</f>
        <v>0</v>
      </c>
      <c r="J193" s="67">
        <f>PUNTUACIONES!J194</f>
        <v>0</v>
      </c>
      <c r="K193" s="67">
        <f>PUNTUACIONES!K194</f>
        <v>0</v>
      </c>
    </row>
    <row r="194" spans="1:11" ht="20.25" customHeight="1" x14ac:dyDescent="0.25">
      <c r="A194" s="3">
        <v>188</v>
      </c>
      <c r="B194" s="67">
        <f>PUNTUACIONES!A195</f>
        <v>188</v>
      </c>
      <c r="C194" s="67">
        <f>PUNTUACIONES!B195</f>
        <v>0</v>
      </c>
      <c r="D194" s="67">
        <f>PUNTUACIONES!D195</f>
        <v>0</v>
      </c>
      <c r="E194" s="67">
        <f>PUNTUACIONES!E195</f>
        <v>0</v>
      </c>
      <c r="F194" s="67">
        <f>PUNTUACIONES!F195</f>
        <v>0</v>
      </c>
      <c r="G194" s="67">
        <f>PUNTUACIONES!G195</f>
        <v>0</v>
      </c>
      <c r="H194" s="67">
        <f>PUNTUACIONES!H195</f>
        <v>0</v>
      </c>
      <c r="I194" s="67">
        <f>PUNTUACIONES!I195</f>
        <v>0</v>
      </c>
      <c r="J194" s="67">
        <f>PUNTUACIONES!J195</f>
        <v>0</v>
      </c>
      <c r="K194" s="67">
        <f>PUNTUACIONES!K195</f>
        <v>0</v>
      </c>
    </row>
    <row r="195" spans="1:11" ht="20.25" customHeight="1" x14ac:dyDescent="0.25">
      <c r="A195" s="3">
        <v>189</v>
      </c>
      <c r="B195" s="67">
        <f>PUNTUACIONES!A196</f>
        <v>189</v>
      </c>
      <c r="C195" s="67">
        <f>PUNTUACIONES!B196</f>
        <v>0</v>
      </c>
      <c r="D195" s="67">
        <f>PUNTUACIONES!D196</f>
        <v>0</v>
      </c>
      <c r="E195" s="67">
        <f>PUNTUACIONES!E196</f>
        <v>0</v>
      </c>
      <c r="F195" s="67">
        <f>PUNTUACIONES!F196</f>
        <v>0</v>
      </c>
      <c r="G195" s="67">
        <f>PUNTUACIONES!G196</f>
        <v>0</v>
      </c>
      <c r="H195" s="67">
        <f>PUNTUACIONES!H196</f>
        <v>0</v>
      </c>
      <c r="I195" s="67">
        <f>PUNTUACIONES!I196</f>
        <v>0</v>
      </c>
      <c r="J195" s="67">
        <f>PUNTUACIONES!J196</f>
        <v>0</v>
      </c>
      <c r="K195" s="67">
        <f>PUNTUACIONES!K196</f>
        <v>0</v>
      </c>
    </row>
    <row r="196" spans="1:11" ht="18.75" customHeight="1" x14ac:dyDescent="0.25">
      <c r="A196" s="3">
        <v>190</v>
      </c>
      <c r="B196" s="67">
        <f>PUNTUACIONES!A197</f>
        <v>190</v>
      </c>
      <c r="C196" s="67">
        <f>PUNTUACIONES!B197</f>
        <v>0</v>
      </c>
      <c r="D196" s="67">
        <f>PUNTUACIONES!D197</f>
        <v>0</v>
      </c>
      <c r="E196" s="67">
        <f>PUNTUACIONES!E197</f>
        <v>0</v>
      </c>
      <c r="F196" s="67">
        <f>PUNTUACIONES!F197</f>
        <v>0</v>
      </c>
      <c r="G196" s="67">
        <f>PUNTUACIONES!G197</f>
        <v>0</v>
      </c>
      <c r="H196" s="67">
        <f>PUNTUACIONES!H197</f>
        <v>0</v>
      </c>
      <c r="I196" s="67">
        <f>PUNTUACIONES!I197</f>
        <v>0</v>
      </c>
      <c r="J196" s="67">
        <f>PUNTUACIONES!J197</f>
        <v>0</v>
      </c>
      <c r="K196" s="67">
        <f>PUNTUACIONES!K197</f>
        <v>0</v>
      </c>
    </row>
    <row r="197" spans="1:11" ht="18.75" customHeight="1" x14ac:dyDescent="0.25">
      <c r="A197" s="3">
        <v>191</v>
      </c>
      <c r="B197" s="67">
        <f>PUNTUACIONES!A198</f>
        <v>191</v>
      </c>
      <c r="C197" s="67">
        <f>PUNTUACIONES!B198</f>
        <v>0</v>
      </c>
      <c r="D197" s="67">
        <f>PUNTUACIONES!D198</f>
        <v>0</v>
      </c>
      <c r="E197" s="67">
        <f>PUNTUACIONES!E198</f>
        <v>0</v>
      </c>
      <c r="F197" s="67">
        <f>PUNTUACIONES!F198</f>
        <v>0</v>
      </c>
      <c r="G197" s="67">
        <f>PUNTUACIONES!G198</f>
        <v>0</v>
      </c>
      <c r="H197" s="67">
        <f>PUNTUACIONES!H198</f>
        <v>0</v>
      </c>
      <c r="I197" s="67">
        <f>PUNTUACIONES!I198</f>
        <v>0</v>
      </c>
      <c r="J197" s="67">
        <f>PUNTUACIONES!J198</f>
        <v>0</v>
      </c>
      <c r="K197" s="67">
        <f>PUNTUACIONES!K198</f>
        <v>0</v>
      </c>
    </row>
    <row r="198" spans="1:11" ht="18.75" customHeight="1" x14ac:dyDescent="0.25">
      <c r="A198" s="3">
        <v>192</v>
      </c>
      <c r="B198" s="67">
        <f>PUNTUACIONES!A199</f>
        <v>192</v>
      </c>
      <c r="C198" s="67">
        <f>PUNTUACIONES!B199</f>
        <v>0</v>
      </c>
      <c r="D198" s="67">
        <f>PUNTUACIONES!D199</f>
        <v>0</v>
      </c>
      <c r="E198" s="67">
        <f>PUNTUACIONES!E199</f>
        <v>0</v>
      </c>
      <c r="F198" s="67">
        <f>PUNTUACIONES!F199</f>
        <v>0</v>
      </c>
      <c r="G198" s="67">
        <f>PUNTUACIONES!G199</f>
        <v>0</v>
      </c>
      <c r="H198" s="67">
        <f>PUNTUACIONES!H199</f>
        <v>0</v>
      </c>
      <c r="I198" s="67">
        <f>PUNTUACIONES!I199</f>
        <v>0</v>
      </c>
      <c r="J198" s="67">
        <f>PUNTUACIONES!J199</f>
        <v>0</v>
      </c>
      <c r="K198" s="67">
        <f>PUNTUACIONES!K199</f>
        <v>0</v>
      </c>
    </row>
    <row r="199" spans="1:11" ht="18.75" customHeight="1" x14ac:dyDescent="0.25">
      <c r="A199" s="3">
        <v>193</v>
      </c>
      <c r="B199" s="67">
        <f>PUNTUACIONES!A200</f>
        <v>193</v>
      </c>
      <c r="C199" s="67">
        <f>PUNTUACIONES!B200</f>
        <v>0</v>
      </c>
      <c r="D199" s="67">
        <f>PUNTUACIONES!D200</f>
        <v>0</v>
      </c>
      <c r="E199" s="67">
        <f>PUNTUACIONES!E200</f>
        <v>0</v>
      </c>
      <c r="F199" s="67">
        <f>PUNTUACIONES!F200</f>
        <v>0</v>
      </c>
      <c r="G199" s="67">
        <f>PUNTUACIONES!G200</f>
        <v>0</v>
      </c>
      <c r="H199" s="67">
        <f>PUNTUACIONES!H200</f>
        <v>0</v>
      </c>
      <c r="I199" s="67">
        <f>PUNTUACIONES!I200</f>
        <v>0</v>
      </c>
      <c r="J199" s="67">
        <f>PUNTUACIONES!J200</f>
        <v>0</v>
      </c>
      <c r="K199" s="67">
        <f>PUNTUACIONES!K200</f>
        <v>0</v>
      </c>
    </row>
    <row r="200" spans="1:11" ht="18" customHeight="1" x14ac:dyDescent="0.25">
      <c r="A200" s="3">
        <v>194</v>
      </c>
      <c r="B200" s="67">
        <f>PUNTUACIONES!A201</f>
        <v>194</v>
      </c>
      <c r="C200" s="67">
        <f>PUNTUACIONES!B201</f>
        <v>0</v>
      </c>
      <c r="D200" s="67">
        <f>PUNTUACIONES!D201</f>
        <v>0</v>
      </c>
      <c r="E200" s="67">
        <f>PUNTUACIONES!E201</f>
        <v>0</v>
      </c>
      <c r="F200" s="67">
        <f>PUNTUACIONES!F201</f>
        <v>0</v>
      </c>
      <c r="G200" s="67">
        <f>PUNTUACIONES!G201</f>
        <v>0</v>
      </c>
      <c r="H200" s="67">
        <f>PUNTUACIONES!H201</f>
        <v>0</v>
      </c>
      <c r="I200" s="67">
        <f>PUNTUACIONES!I201</f>
        <v>0</v>
      </c>
      <c r="J200" s="67">
        <f>PUNTUACIONES!J201</f>
        <v>0</v>
      </c>
      <c r="K200" s="67">
        <f>PUNTUACIONES!K201</f>
        <v>0</v>
      </c>
    </row>
    <row r="201" spans="1:11" ht="18.75" customHeight="1" x14ac:dyDescent="0.25">
      <c r="A201" s="3">
        <v>195</v>
      </c>
      <c r="B201" s="67">
        <f>PUNTUACIONES!A202</f>
        <v>195</v>
      </c>
      <c r="C201" s="67">
        <f>PUNTUACIONES!B202</f>
        <v>0</v>
      </c>
      <c r="D201" s="67">
        <f>PUNTUACIONES!D202</f>
        <v>0</v>
      </c>
      <c r="E201" s="67">
        <f>PUNTUACIONES!E202</f>
        <v>0</v>
      </c>
      <c r="F201" s="67">
        <f>PUNTUACIONES!F202</f>
        <v>0</v>
      </c>
      <c r="G201" s="67">
        <f>PUNTUACIONES!G202</f>
        <v>0</v>
      </c>
      <c r="H201" s="67">
        <f>PUNTUACIONES!H202</f>
        <v>0</v>
      </c>
      <c r="I201" s="67">
        <f>PUNTUACIONES!I202</f>
        <v>0</v>
      </c>
      <c r="J201" s="67">
        <f>PUNTUACIONES!J202</f>
        <v>0</v>
      </c>
      <c r="K201" s="67">
        <f>PUNTUACIONES!K202</f>
        <v>0</v>
      </c>
    </row>
    <row r="202" spans="1:11" ht="19.5" customHeight="1" x14ac:dyDescent="0.25">
      <c r="A202" s="3">
        <v>196</v>
      </c>
      <c r="B202" s="67">
        <f>PUNTUACIONES!A203</f>
        <v>196</v>
      </c>
      <c r="C202" s="67">
        <f>PUNTUACIONES!B203</f>
        <v>0</v>
      </c>
      <c r="D202" s="67">
        <f>PUNTUACIONES!D203</f>
        <v>0</v>
      </c>
      <c r="E202" s="67">
        <f>PUNTUACIONES!E203</f>
        <v>0</v>
      </c>
      <c r="F202" s="67">
        <f>PUNTUACIONES!F203</f>
        <v>0</v>
      </c>
      <c r="G202" s="67">
        <f>PUNTUACIONES!G203</f>
        <v>0</v>
      </c>
      <c r="H202" s="67">
        <f>PUNTUACIONES!H203</f>
        <v>0</v>
      </c>
      <c r="I202" s="67">
        <f>PUNTUACIONES!I203</f>
        <v>0</v>
      </c>
      <c r="J202" s="67">
        <f>PUNTUACIONES!J203</f>
        <v>0</v>
      </c>
      <c r="K202" s="67">
        <f>PUNTUACIONES!K203</f>
        <v>0</v>
      </c>
    </row>
    <row r="203" spans="1:11" ht="20.25" customHeight="1" x14ac:dyDescent="0.25">
      <c r="A203" s="3">
        <v>197</v>
      </c>
      <c r="B203" s="67">
        <f>PUNTUACIONES!A204</f>
        <v>197</v>
      </c>
      <c r="C203" s="67">
        <f>PUNTUACIONES!B204</f>
        <v>0</v>
      </c>
      <c r="D203" s="67">
        <f>PUNTUACIONES!D204</f>
        <v>0</v>
      </c>
      <c r="E203" s="67">
        <f>PUNTUACIONES!E204</f>
        <v>0</v>
      </c>
      <c r="F203" s="67">
        <f>PUNTUACIONES!F204</f>
        <v>0</v>
      </c>
      <c r="G203" s="67">
        <f>PUNTUACIONES!G204</f>
        <v>0</v>
      </c>
      <c r="H203" s="67">
        <f>PUNTUACIONES!H204</f>
        <v>0</v>
      </c>
      <c r="I203" s="67">
        <f>PUNTUACIONES!I204</f>
        <v>0</v>
      </c>
      <c r="J203" s="67">
        <f>PUNTUACIONES!J204</f>
        <v>0</v>
      </c>
      <c r="K203" s="67">
        <f>PUNTUACIONES!K204</f>
        <v>0</v>
      </c>
    </row>
    <row r="204" spans="1:11" ht="20.25" customHeight="1" x14ac:dyDescent="0.25">
      <c r="A204" s="3">
        <v>198</v>
      </c>
      <c r="B204" s="67">
        <f>PUNTUACIONES!A205</f>
        <v>198</v>
      </c>
      <c r="C204" s="67">
        <f>PUNTUACIONES!B205</f>
        <v>0</v>
      </c>
      <c r="D204" s="67">
        <f>PUNTUACIONES!D205</f>
        <v>0</v>
      </c>
      <c r="E204" s="67">
        <f>PUNTUACIONES!E205</f>
        <v>0</v>
      </c>
      <c r="F204" s="67">
        <f>PUNTUACIONES!F205</f>
        <v>0</v>
      </c>
      <c r="G204" s="67">
        <f>PUNTUACIONES!G205</f>
        <v>0</v>
      </c>
      <c r="H204" s="67">
        <f>PUNTUACIONES!H205</f>
        <v>0</v>
      </c>
      <c r="I204" s="67">
        <f>PUNTUACIONES!I205</f>
        <v>0</v>
      </c>
      <c r="J204" s="67">
        <f>PUNTUACIONES!J205</f>
        <v>0</v>
      </c>
      <c r="K204" s="67">
        <f>PUNTUACIONES!K205</f>
        <v>0</v>
      </c>
    </row>
    <row r="205" spans="1:11" ht="20.25" customHeight="1" x14ac:dyDescent="0.25">
      <c r="A205" s="3">
        <v>199</v>
      </c>
      <c r="B205" s="67">
        <f>PUNTUACIONES!A206</f>
        <v>199</v>
      </c>
      <c r="C205" s="67">
        <f>PUNTUACIONES!B206</f>
        <v>0</v>
      </c>
      <c r="D205" s="67">
        <f>PUNTUACIONES!D206</f>
        <v>0</v>
      </c>
      <c r="E205" s="67">
        <f>PUNTUACIONES!E206</f>
        <v>0</v>
      </c>
      <c r="F205" s="67">
        <f>PUNTUACIONES!F206</f>
        <v>0</v>
      </c>
      <c r="G205" s="67">
        <f>PUNTUACIONES!G206</f>
        <v>0</v>
      </c>
      <c r="H205" s="67">
        <f>PUNTUACIONES!H206</f>
        <v>0</v>
      </c>
      <c r="I205" s="67">
        <f>PUNTUACIONES!I206</f>
        <v>0</v>
      </c>
      <c r="J205" s="67">
        <f>PUNTUACIONES!J206</f>
        <v>0</v>
      </c>
      <c r="K205" s="67">
        <f>PUNTUACIONES!K206</f>
        <v>0</v>
      </c>
    </row>
    <row r="206" spans="1:11" ht="18.75" customHeight="1" x14ac:dyDescent="0.25">
      <c r="A206" s="3">
        <v>200</v>
      </c>
      <c r="B206" s="67">
        <f>PUNTUACIONES!A207</f>
        <v>200</v>
      </c>
      <c r="C206" s="67">
        <f>PUNTUACIONES!B207</f>
        <v>0</v>
      </c>
      <c r="D206" s="67">
        <f>PUNTUACIONES!D207</f>
        <v>0</v>
      </c>
      <c r="E206" s="67">
        <f>PUNTUACIONES!E207</f>
        <v>0</v>
      </c>
      <c r="F206" s="67">
        <f>PUNTUACIONES!F207</f>
        <v>0</v>
      </c>
      <c r="G206" s="67">
        <f>PUNTUACIONES!G207</f>
        <v>0</v>
      </c>
      <c r="H206" s="67">
        <f>PUNTUACIONES!H207</f>
        <v>0</v>
      </c>
      <c r="I206" s="67">
        <f>PUNTUACIONES!I207</f>
        <v>0</v>
      </c>
      <c r="J206" s="67">
        <f>PUNTUACIONES!J207</f>
        <v>0</v>
      </c>
      <c r="K206" s="67">
        <f>PUNTUACIONES!K207</f>
        <v>0</v>
      </c>
    </row>
    <row r="207" spans="1:11" ht="20.25" customHeight="1" x14ac:dyDescent="0.25">
      <c r="A207" s="3">
        <v>201</v>
      </c>
      <c r="B207" s="67">
        <f>PUNTUACIONES!A208</f>
        <v>201</v>
      </c>
      <c r="C207" s="67">
        <f>PUNTUACIONES!B208</f>
        <v>0</v>
      </c>
      <c r="D207" s="67">
        <f>PUNTUACIONES!D208</f>
        <v>0</v>
      </c>
      <c r="E207" s="67">
        <f>PUNTUACIONES!E208</f>
        <v>0</v>
      </c>
      <c r="F207" s="67">
        <f>PUNTUACIONES!F208</f>
        <v>0</v>
      </c>
      <c r="G207" s="67">
        <f>PUNTUACIONES!G208</f>
        <v>0</v>
      </c>
      <c r="H207" s="67">
        <f>PUNTUACIONES!H208</f>
        <v>0</v>
      </c>
      <c r="I207" s="67">
        <f>PUNTUACIONES!I208</f>
        <v>0</v>
      </c>
      <c r="J207" s="67">
        <f>PUNTUACIONES!J208</f>
        <v>0</v>
      </c>
      <c r="K207" s="67">
        <f>PUNTUACIONES!K208</f>
        <v>0</v>
      </c>
    </row>
    <row r="208" spans="1:11" ht="15" customHeight="1" x14ac:dyDescent="0.25">
      <c r="A208" s="3">
        <v>202</v>
      </c>
      <c r="B208" s="67">
        <f>PUNTUACIONES!A209</f>
        <v>202</v>
      </c>
      <c r="C208" s="67">
        <f>PUNTUACIONES!B209</f>
        <v>0</v>
      </c>
      <c r="D208" s="67">
        <f>PUNTUACIONES!D209</f>
        <v>0</v>
      </c>
      <c r="E208" s="67">
        <f>PUNTUACIONES!E209</f>
        <v>0</v>
      </c>
      <c r="F208" s="67">
        <f>PUNTUACIONES!F209</f>
        <v>0</v>
      </c>
      <c r="G208" s="67">
        <f>PUNTUACIONES!G209</f>
        <v>0</v>
      </c>
      <c r="H208" s="67">
        <f>PUNTUACIONES!H209</f>
        <v>0</v>
      </c>
      <c r="I208" s="67">
        <f>PUNTUACIONES!I209</f>
        <v>0</v>
      </c>
      <c r="J208" s="67">
        <f>PUNTUACIONES!J209</f>
        <v>0</v>
      </c>
      <c r="K208" s="67">
        <f>PUNTUACIONES!K209</f>
        <v>0</v>
      </c>
    </row>
    <row r="209" spans="1:11" ht="18" customHeight="1" x14ac:dyDescent="0.25">
      <c r="A209" s="3">
        <v>203</v>
      </c>
      <c r="B209" s="67">
        <f>PUNTUACIONES!A210</f>
        <v>203</v>
      </c>
      <c r="C209" s="67">
        <f>PUNTUACIONES!B210</f>
        <v>0</v>
      </c>
      <c r="D209" s="67">
        <f>PUNTUACIONES!D210</f>
        <v>0</v>
      </c>
      <c r="E209" s="67">
        <f>PUNTUACIONES!E210</f>
        <v>0</v>
      </c>
      <c r="F209" s="67">
        <f>PUNTUACIONES!F210</f>
        <v>0</v>
      </c>
      <c r="G209" s="67">
        <f>PUNTUACIONES!G210</f>
        <v>0</v>
      </c>
      <c r="H209" s="67">
        <f>PUNTUACIONES!H210</f>
        <v>0</v>
      </c>
      <c r="I209" s="67">
        <f>PUNTUACIONES!I210</f>
        <v>0</v>
      </c>
      <c r="J209" s="67">
        <f>PUNTUACIONES!J210</f>
        <v>0</v>
      </c>
      <c r="K209" s="67">
        <f>PUNTUACIONES!K210</f>
        <v>0</v>
      </c>
    </row>
    <row r="210" spans="1:11" ht="18.75" customHeight="1" x14ac:dyDescent="0.25">
      <c r="A210" s="3">
        <v>204</v>
      </c>
      <c r="B210" s="67">
        <f>PUNTUACIONES!A211</f>
        <v>204</v>
      </c>
      <c r="C210" s="67">
        <f>PUNTUACIONES!B211</f>
        <v>0</v>
      </c>
      <c r="D210" s="67">
        <f>PUNTUACIONES!D211</f>
        <v>0</v>
      </c>
      <c r="E210" s="67">
        <f>PUNTUACIONES!E211</f>
        <v>0</v>
      </c>
      <c r="F210" s="67">
        <f>PUNTUACIONES!F211</f>
        <v>0</v>
      </c>
      <c r="G210" s="67">
        <f>PUNTUACIONES!G211</f>
        <v>0</v>
      </c>
      <c r="H210" s="67">
        <f>PUNTUACIONES!H211</f>
        <v>0</v>
      </c>
      <c r="I210" s="67">
        <f>PUNTUACIONES!I211</f>
        <v>0</v>
      </c>
      <c r="J210" s="67">
        <f>PUNTUACIONES!J211</f>
        <v>0</v>
      </c>
      <c r="K210" s="67">
        <f>PUNTUACIONES!K211</f>
        <v>0</v>
      </c>
    </row>
  </sheetData>
  <mergeCells count="4">
    <mergeCell ref="A1:K1"/>
    <mergeCell ref="A3:K3"/>
    <mergeCell ref="A4:K4"/>
    <mergeCell ref="A2:J2"/>
  </mergeCells>
  <conditionalFormatting sqref="E7:K210">
    <cfRule type="cellIs" dxfId="13" priority="1" operator="equal">
      <formula>25</formula>
    </cfRule>
  </conditionalFormatting>
  <pageMargins left="0.25" right="0.15625" top="0.75" bottom="0.75" header="0.3" footer="0.3"/>
  <pageSetup paperSize="9" scale="87" fitToHeight="0" orientation="portrait" r:id="rId1"/>
  <headerFooter alignWithMargins="0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FF0000"/>
  </sheetPr>
  <dimension ref="A3:AF1119"/>
  <sheetViews>
    <sheetView view="pageBreakPreview" topLeftCell="A524" zoomScale="120" zoomScaleNormal="100" zoomScaleSheetLayoutView="120" workbookViewId="0">
      <selection activeCell="A515" sqref="A515:AF545"/>
    </sheetView>
  </sheetViews>
  <sheetFormatPr baseColWidth="10" defaultRowHeight="13.2" x14ac:dyDescent="0.25"/>
  <cols>
    <col min="1" max="1" width="5.6640625" style="26" customWidth="1"/>
    <col min="2" max="2" width="39.33203125" style="26" customWidth="1"/>
    <col min="3" max="27" width="3.109375" customWidth="1"/>
    <col min="28" max="28" width="12.6640625" customWidth="1"/>
    <col min="29" max="31" width="3.109375" customWidth="1"/>
    <col min="32" max="32" width="0.109375" customWidth="1"/>
  </cols>
  <sheetData>
    <row r="3" spans="1:32" ht="24.6" x14ac:dyDescent="0.25">
      <c r="A3" s="144" t="str">
        <f>'INSCRIPCION '!A$1</f>
        <v>TIRADA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</row>
    <row r="4" spans="1:32" ht="19.5" customHeight="1" x14ac:dyDescent="0.4">
      <c r="A4" s="23"/>
      <c r="B4" s="23"/>
    </row>
    <row r="5" spans="1:32" ht="22.5" customHeight="1" x14ac:dyDescent="0.25">
      <c r="A5" s="132" t="str">
        <f>'INSCRIPCION '!A$2</f>
        <v>CAMPO DE TIRO LA ISLA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ht="19.5" customHeight="1" x14ac:dyDescent="0.25">
      <c r="A6" s="143" t="str">
        <f>'INSCRIPCION '!A$3</f>
        <v>XXX PLATOS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</row>
    <row r="7" spans="1:32" ht="22.8" x14ac:dyDescent="0.4">
      <c r="A7" s="24"/>
      <c r="B7" s="24"/>
    </row>
    <row r="8" spans="1:32" ht="17.399999999999999" x14ac:dyDescent="0.3">
      <c r="A8" s="25" t="s">
        <v>9</v>
      </c>
      <c r="B8" s="25"/>
      <c r="J8" s="9" t="s">
        <v>6</v>
      </c>
      <c r="K8" s="9"/>
      <c r="L8" s="9"/>
      <c r="M8" s="9"/>
      <c r="N8" s="9"/>
      <c r="O8" s="22">
        <v>1</v>
      </c>
      <c r="P8" s="22"/>
      <c r="Q8" s="8"/>
      <c r="R8" s="8"/>
      <c r="S8" s="7"/>
      <c r="T8" s="8"/>
      <c r="U8" s="8"/>
      <c r="V8" s="9" t="s">
        <v>7</v>
      </c>
      <c r="W8" s="9"/>
      <c r="X8" s="9"/>
      <c r="Y8" s="9"/>
      <c r="Z8" s="22">
        <v>1</v>
      </c>
      <c r="AA8" s="22"/>
    </row>
    <row r="9" spans="1:32" ht="13.8" thickBot="1" x14ac:dyDescent="0.3"/>
    <row r="10" spans="1:32" ht="15.6" thickBot="1" x14ac:dyDescent="0.3">
      <c r="A10" s="27" t="s">
        <v>0</v>
      </c>
      <c r="B10" s="27" t="s">
        <v>8</v>
      </c>
      <c r="C10" s="47">
        <v>1</v>
      </c>
      <c r="D10" s="48">
        <v>2</v>
      </c>
      <c r="E10" s="48">
        <v>3</v>
      </c>
      <c r="F10" s="48">
        <v>4</v>
      </c>
      <c r="G10" s="49">
        <v>5</v>
      </c>
      <c r="H10" s="47">
        <v>6</v>
      </c>
      <c r="I10" s="48">
        <v>7</v>
      </c>
      <c r="J10" s="48">
        <v>8</v>
      </c>
      <c r="K10" s="48">
        <v>9</v>
      </c>
      <c r="L10" s="49">
        <v>10</v>
      </c>
      <c r="M10" s="47">
        <v>11</v>
      </c>
      <c r="N10" s="48">
        <v>12</v>
      </c>
      <c r="O10" s="48">
        <v>13</v>
      </c>
      <c r="P10" s="48">
        <v>14</v>
      </c>
      <c r="Q10" s="49">
        <v>15</v>
      </c>
      <c r="R10" s="47">
        <v>16</v>
      </c>
      <c r="S10" s="48">
        <v>17</v>
      </c>
      <c r="T10" s="48">
        <v>18</v>
      </c>
      <c r="U10" s="48">
        <v>19</v>
      </c>
      <c r="V10" s="49">
        <v>20</v>
      </c>
      <c r="W10" s="47">
        <v>21</v>
      </c>
      <c r="X10" s="48">
        <v>22</v>
      </c>
      <c r="Y10" s="48">
        <v>23</v>
      </c>
      <c r="Z10" s="48">
        <v>24</v>
      </c>
      <c r="AA10" s="49">
        <v>25</v>
      </c>
      <c r="AB10" s="30" t="s">
        <v>1</v>
      </c>
    </row>
    <row r="11" spans="1:32" ht="15.75" customHeight="1" thickTop="1" thickBot="1" x14ac:dyDescent="0.3">
      <c r="A11" s="139">
        <v>1</v>
      </c>
      <c r="B11" s="136">
        <f>ESCUADRAS!C7</f>
        <v>0</v>
      </c>
      <c r="C11" s="129"/>
      <c r="D11" s="114"/>
      <c r="E11" s="114"/>
      <c r="F11" s="114"/>
      <c r="G11" s="117"/>
      <c r="H11" s="111"/>
      <c r="I11" s="105"/>
      <c r="J11" s="105"/>
      <c r="K11" s="105"/>
      <c r="L11" s="108"/>
      <c r="M11" s="111"/>
      <c r="N11" s="105"/>
      <c r="O11" s="105"/>
      <c r="P11" s="105"/>
      <c r="Q11" s="108"/>
      <c r="R11" s="111"/>
      <c r="S11" s="105"/>
      <c r="T11" s="105"/>
      <c r="U11" s="105"/>
      <c r="V11" s="108"/>
      <c r="W11" s="111"/>
      <c r="X11" s="105"/>
      <c r="Y11" s="105"/>
      <c r="Z11" s="105"/>
      <c r="AA11" s="108"/>
      <c r="AB11" s="133"/>
    </row>
    <row r="12" spans="1:32" ht="15.75" customHeight="1" thickTop="1" thickBot="1" x14ac:dyDescent="0.3">
      <c r="A12" s="139"/>
      <c r="B12" s="137"/>
      <c r="C12" s="130"/>
      <c r="D12" s="115"/>
      <c r="E12" s="115"/>
      <c r="F12" s="115"/>
      <c r="G12" s="118"/>
      <c r="H12" s="112"/>
      <c r="I12" s="106"/>
      <c r="J12" s="106"/>
      <c r="K12" s="106"/>
      <c r="L12" s="109"/>
      <c r="M12" s="112"/>
      <c r="N12" s="106"/>
      <c r="O12" s="106"/>
      <c r="P12" s="106"/>
      <c r="Q12" s="109"/>
      <c r="R12" s="112"/>
      <c r="S12" s="106"/>
      <c r="T12" s="106"/>
      <c r="U12" s="106"/>
      <c r="V12" s="109"/>
      <c r="W12" s="112"/>
      <c r="X12" s="106"/>
      <c r="Y12" s="106"/>
      <c r="Z12" s="106"/>
      <c r="AA12" s="109"/>
      <c r="AB12" s="134"/>
    </row>
    <row r="13" spans="1:32" ht="15.75" customHeight="1" thickTop="1" thickBot="1" x14ac:dyDescent="0.3">
      <c r="A13" s="139"/>
      <c r="B13" s="138"/>
      <c r="C13" s="131"/>
      <c r="D13" s="116"/>
      <c r="E13" s="116"/>
      <c r="F13" s="116"/>
      <c r="G13" s="119"/>
      <c r="H13" s="113"/>
      <c r="I13" s="107"/>
      <c r="J13" s="107"/>
      <c r="K13" s="107"/>
      <c r="L13" s="110"/>
      <c r="M13" s="113"/>
      <c r="N13" s="107"/>
      <c r="O13" s="107"/>
      <c r="P13" s="107"/>
      <c r="Q13" s="110"/>
      <c r="R13" s="113"/>
      <c r="S13" s="107"/>
      <c r="T13" s="107"/>
      <c r="U13" s="107"/>
      <c r="V13" s="110"/>
      <c r="W13" s="113"/>
      <c r="X13" s="107"/>
      <c r="Y13" s="107"/>
      <c r="Z13" s="107"/>
      <c r="AA13" s="110"/>
      <c r="AB13" s="135"/>
    </row>
    <row r="14" spans="1:32" ht="15.75" customHeight="1" thickTop="1" x14ac:dyDescent="0.25">
      <c r="A14" s="140">
        <f>ESCUADRAS!B8</f>
        <v>2</v>
      </c>
      <c r="B14" s="136">
        <f>ESCUADRAS!C8</f>
        <v>0</v>
      </c>
      <c r="C14" s="93"/>
      <c r="D14" s="123"/>
      <c r="E14" s="123"/>
      <c r="F14" s="123"/>
      <c r="G14" s="126"/>
      <c r="H14" s="102"/>
      <c r="I14" s="96"/>
      <c r="J14" s="96"/>
      <c r="K14" s="96"/>
      <c r="L14" s="99"/>
      <c r="M14" s="102"/>
      <c r="N14" s="96"/>
      <c r="O14" s="96"/>
      <c r="P14" s="96"/>
      <c r="Q14" s="99"/>
      <c r="R14" s="102"/>
      <c r="S14" s="96"/>
      <c r="T14" s="96"/>
      <c r="U14" s="96"/>
      <c r="V14" s="99"/>
      <c r="W14" s="111"/>
      <c r="X14" s="105"/>
      <c r="Y14" s="105"/>
      <c r="Z14" s="105"/>
      <c r="AA14" s="108"/>
      <c r="AB14" s="133"/>
    </row>
    <row r="15" spans="1:32" ht="15.75" customHeight="1" x14ac:dyDescent="0.25">
      <c r="A15" s="141"/>
      <c r="B15" s="137"/>
      <c r="C15" s="94"/>
      <c r="D15" s="124"/>
      <c r="E15" s="124"/>
      <c r="F15" s="124"/>
      <c r="G15" s="127"/>
      <c r="H15" s="103"/>
      <c r="I15" s="97"/>
      <c r="J15" s="97"/>
      <c r="K15" s="97"/>
      <c r="L15" s="100"/>
      <c r="M15" s="103"/>
      <c r="N15" s="97"/>
      <c r="O15" s="97"/>
      <c r="P15" s="97"/>
      <c r="Q15" s="100"/>
      <c r="R15" s="103"/>
      <c r="S15" s="97"/>
      <c r="T15" s="97"/>
      <c r="U15" s="97"/>
      <c r="V15" s="100"/>
      <c r="W15" s="112"/>
      <c r="X15" s="106"/>
      <c r="Y15" s="106"/>
      <c r="Z15" s="106"/>
      <c r="AA15" s="109"/>
      <c r="AB15" s="134"/>
    </row>
    <row r="16" spans="1:32" ht="15.75" customHeight="1" thickBot="1" x14ac:dyDescent="0.3">
      <c r="A16" s="142"/>
      <c r="B16" s="138"/>
      <c r="C16" s="95"/>
      <c r="D16" s="125"/>
      <c r="E16" s="125"/>
      <c r="F16" s="125"/>
      <c r="G16" s="128"/>
      <c r="H16" s="104"/>
      <c r="I16" s="98"/>
      <c r="J16" s="98"/>
      <c r="K16" s="98"/>
      <c r="L16" s="101"/>
      <c r="M16" s="104"/>
      <c r="N16" s="98"/>
      <c r="O16" s="98"/>
      <c r="P16" s="98"/>
      <c r="Q16" s="101"/>
      <c r="R16" s="104"/>
      <c r="S16" s="98"/>
      <c r="T16" s="98"/>
      <c r="U16" s="98"/>
      <c r="V16" s="101"/>
      <c r="W16" s="113"/>
      <c r="X16" s="107"/>
      <c r="Y16" s="107"/>
      <c r="Z16" s="107"/>
      <c r="AA16" s="110"/>
      <c r="AB16" s="135"/>
    </row>
    <row r="17" spans="1:28" ht="15.75" customHeight="1" thickTop="1" thickBot="1" x14ac:dyDescent="0.3">
      <c r="A17" s="139">
        <f>ESCUADRAS!B9</f>
        <v>3</v>
      </c>
      <c r="B17" s="136">
        <f>ESCUADRAS!C9</f>
        <v>0</v>
      </c>
      <c r="C17" s="93"/>
      <c r="D17" s="123"/>
      <c r="E17" s="123"/>
      <c r="F17" s="123"/>
      <c r="G17" s="126"/>
      <c r="H17" s="102"/>
      <c r="I17" s="96"/>
      <c r="J17" s="96"/>
      <c r="K17" s="96"/>
      <c r="L17" s="99"/>
      <c r="M17" s="102"/>
      <c r="N17" s="96"/>
      <c r="O17" s="96"/>
      <c r="P17" s="96"/>
      <c r="Q17" s="99"/>
      <c r="R17" s="111"/>
      <c r="S17" s="105"/>
      <c r="T17" s="105"/>
      <c r="U17" s="105"/>
      <c r="V17" s="108"/>
      <c r="W17" s="102"/>
      <c r="X17" s="96"/>
      <c r="Y17" s="96"/>
      <c r="Z17" s="96"/>
      <c r="AA17" s="99"/>
      <c r="AB17" s="133"/>
    </row>
    <row r="18" spans="1:28" ht="15.75" customHeight="1" thickTop="1" thickBot="1" x14ac:dyDescent="0.3">
      <c r="A18" s="139"/>
      <c r="B18" s="137"/>
      <c r="C18" s="94"/>
      <c r="D18" s="124"/>
      <c r="E18" s="124"/>
      <c r="F18" s="124"/>
      <c r="G18" s="127"/>
      <c r="H18" s="103"/>
      <c r="I18" s="97"/>
      <c r="J18" s="97"/>
      <c r="K18" s="97"/>
      <c r="L18" s="100"/>
      <c r="M18" s="103"/>
      <c r="N18" s="97"/>
      <c r="O18" s="97"/>
      <c r="P18" s="97"/>
      <c r="Q18" s="100"/>
      <c r="R18" s="112"/>
      <c r="S18" s="106"/>
      <c r="T18" s="106"/>
      <c r="U18" s="106"/>
      <c r="V18" s="109"/>
      <c r="W18" s="103"/>
      <c r="X18" s="97"/>
      <c r="Y18" s="97"/>
      <c r="Z18" s="97"/>
      <c r="AA18" s="100"/>
      <c r="AB18" s="134"/>
    </row>
    <row r="19" spans="1:28" ht="15.75" customHeight="1" thickTop="1" thickBot="1" x14ac:dyDescent="0.3">
      <c r="A19" s="139"/>
      <c r="B19" s="138"/>
      <c r="C19" s="95"/>
      <c r="D19" s="125"/>
      <c r="E19" s="125"/>
      <c r="F19" s="125"/>
      <c r="G19" s="128"/>
      <c r="H19" s="104"/>
      <c r="I19" s="98"/>
      <c r="J19" s="98"/>
      <c r="K19" s="98"/>
      <c r="L19" s="101"/>
      <c r="M19" s="104"/>
      <c r="N19" s="98"/>
      <c r="O19" s="98"/>
      <c r="P19" s="98"/>
      <c r="Q19" s="101"/>
      <c r="R19" s="113"/>
      <c r="S19" s="107"/>
      <c r="T19" s="107"/>
      <c r="U19" s="107"/>
      <c r="V19" s="110"/>
      <c r="W19" s="104"/>
      <c r="X19" s="98"/>
      <c r="Y19" s="98"/>
      <c r="Z19" s="98"/>
      <c r="AA19" s="101"/>
      <c r="AB19" s="135"/>
    </row>
    <row r="20" spans="1:28" ht="15.75" customHeight="1" thickTop="1" x14ac:dyDescent="0.25">
      <c r="A20" s="140">
        <f>ESCUADRAS!B10</f>
        <v>4</v>
      </c>
      <c r="B20" s="136">
        <f>ESCUADRAS!C10</f>
        <v>0</v>
      </c>
      <c r="C20" s="93"/>
      <c r="D20" s="123"/>
      <c r="E20" s="123"/>
      <c r="F20" s="123"/>
      <c r="G20" s="126"/>
      <c r="H20" s="102"/>
      <c r="I20" s="96"/>
      <c r="J20" s="96"/>
      <c r="K20" s="96"/>
      <c r="L20" s="99"/>
      <c r="M20" s="111"/>
      <c r="N20" s="105"/>
      <c r="O20" s="105"/>
      <c r="P20" s="105"/>
      <c r="Q20" s="108"/>
      <c r="R20" s="102"/>
      <c r="S20" s="96"/>
      <c r="T20" s="96"/>
      <c r="U20" s="96"/>
      <c r="V20" s="99"/>
      <c r="W20" s="102"/>
      <c r="X20" s="96"/>
      <c r="Y20" s="96"/>
      <c r="Z20" s="96"/>
      <c r="AA20" s="99"/>
      <c r="AB20" s="133"/>
    </row>
    <row r="21" spans="1:28" ht="15.75" customHeight="1" x14ac:dyDescent="0.25">
      <c r="A21" s="141"/>
      <c r="B21" s="137"/>
      <c r="C21" s="94"/>
      <c r="D21" s="124"/>
      <c r="E21" s="124"/>
      <c r="F21" s="124"/>
      <c r="G21" s="127"/>
      <c r="H21" s="103"/>
      <c r="I21" s="97"/>
      <c r="J21" s="97"/>
      <c r="K21" s="97"/>
      <c r="L21" s="100"/>
      <c r="M21" s="112"/>
      <c r="N21" s="106"/>
      <c r="O21" s="106"/>
      <c r="P21" s="106"/>
      <c r="Q21" s="109"/>
      <c r="R21" s="103"/>
      <c r="S21" s="97"/>
      <c r="T21" s="97"/>
      <c r="U21" s="97"/>
      <c r="V21" s="100"/>
      <c r="W21" s="103"/>
      <c r="X21" s="97"/>
      <c r="Y21" s="97"/>
      <c r="Z21" s="97"/>
      <c r="AA21" s="100"/>
      <c r="AB21" s="134"/>
    </row>
    <row r="22" spans="1:28" ht="15.75" customHeight="1" thickBot="1" x14ac:dyDescent="0.3">
      <c r="A22" s="142"/>
      <c r="B22" s="138"/>
      <c r="C22" s="95"/>
      <c r="D22" s="125"/>
      <c r="E22" s="125"/>
      <c r="F22" s="125"/>
      <c r="G22" s="128"/>
      <c r="H22" s="104"/>
      <c r="I22" s="98"/>
      <c r="J22" s="98"/>
      <c r="K22" s="98"/>
      <c r="L22" s="101"/>
      <c r="M22" s="113"/>
      <c r="N22" s="107"/>
      <c r="O22" s="107"/>
      <c r="P22" s="107"/>
      <c r="Q22" s="110"/>
      <c r="R22" s="104"/>
      <c r="S22" s="98"/>
      <c r="T22" s="98"/>
      <c r="U22" s="98"/>
      <c r="V22" s="101"/>
      <c r="W22" s="104"/>
      <c r="X22" s="98"/>
      <c r="Y22" s="98"/>
      <c r="Z22" s="98"/>
      <c r="AA22" s="101"/>
      <c r="AB22" s="135"/>
    </row>
    <row r="23" spans="1:28" ht="15.75" customHeight="1" thickTop="1" thickBot="1" x14ac:dyDescent="0.3">
      <c r="A23" s="139">
        <f>ESCUADRAS!B11</f>
        <v>5</v>
      </c>
      <c r="B23" s="136">
        <f>ESCUADRAS!C11</f>
        <v>0</v>
      </c>
      <c r="C23" s="93"/>
      <c r="D23" s="123"/>
      <c r="E23" s="123"/>
      <c r="F23" s="123"/>
      <c r="G23" s="126"/>
      <c r="H23" s="111"/>
      <c r="I23" s="105"/>
      <c r="J23" s="105"/>
      <c r="K23" s="105"/>
      <c r="L23" s="108"/>
      <c r="M23" s="102"/>
      <c r="N23" s="96"/>
      <c r="O23" s="96"/>
      <c r="P23" s="96"/>
      <c r="Q23" s="99"/>
      <c r="R23" s="102"/>
      <c r="S23" s="96"/>
      <c r="T23" s="96"/>
      <c r="U23" s="96"/>
      <c r="V23" s="99"/>
      <c r="W23" s="102"/>
      <c r="X23" s="96"/>
      <c r="Y23" s="96"/>
      <c r="Z23" s="96"/>
      <c r="AA23" s="99"/>
      <c r="AB23" s="133"/>
    </row>
    <row r="24" spans="1:28" ht="15.75" customHeight="1" thickTop="1" thickBot="1" x14ac:dyDescent="0.3">
      <c r="A24" s="139"/>
      <c r="B24" s="137"/>
      <c r="C24" s="94"/>
      <c r="D24" s="124"/>
      <c r="E24" s="124"/>
      <c r="F24" s="124"/>
      <c r="G24" s="127"/>
      <c r="H24" s="112"/>
      <c r="I24" s="106"/>
      <c r="J24" s="106"/>
      <c r="K24" s="106"/>
      <c r="L24" s="109"/>
      <c r="M24" s="103"/>
      <c r="N24" s="97"/>
      <c r="O24" s="97"/>
      <c r="P24" s="97"/>
      <c r="Q24" s="100"/>
      <c r="R24" s="103"/>
      <c r="S24" s="97"/>
      <c r="T24" s="97"/>
      <c r="U24" s="97"/>
      <c r="V24" s="100"/>
      <c r="W24" s="103"/>
      <c r="X24" s="97"/>
      <c r="Y24" s="97"/>
      <c r="Z24" s="97"/>
      <c r="AA24" s="100"/>
      <c r="AB24" s="134"/>
    </row>
    <row r="25" spans="1:28" ht="15.75" customHeight="1" thickTop="1" thickBot="1" x14ac:dyDescent="0.3">
      <c r="A25" s="139"/>
      <c r="B25" s="138"/>
      <c r="C25" s="95"/>
      <c r="D25" s="125"/>
      <c r="E25" s="125"/>
      <c r="F25" s="125"/>
      <c r="G25" s="128"/>
      <c r="H25" s="113"/>
      <c r="I25" s="107"/>
      <c r="J25" s="107"/>
      <c r="K25" s="107"/>
      <c r="L25" s="110"/>
      <c r="M25" s="104"/>
      <c r="N25" s="98"/>
      <c r="O25" s="98"/>
      <c r="P25" s="98"/>
      <c r="Q25" s="101"/>
      <c r="R25" s="104"/>
      <c r="S25" s="98"/>
      <c r="T25" s="98"/>
      <c r="U25" s="98"/>
      <c r="V25" s="101"/>
      <c r="W25" s="104"/>
      <c r="X25" s="98"/>
      <c r="Y25" s="98"/>
      <c r="Z25" s="98"/>
      <c r="AA25" s="101"/>
      <c r="AB25" s="135"/>
    </row>
    <row r="26" spans="1:28" ht="15.75" customHeight="1" thickTop="1" x14ac:dyDescent="0.25">
      <c r="A26" s="140">
        <f>ESCUADRAS!B12</f>
        <v>6</v>
      </c>
      <c r="B26" s="136">
        <f>ESCUADRAS!C12</f>
        <v>0</v>
      </c>
      <c r="C26" s="111"/>
      <c r="D26" s="105"/>
      <c r="E26" s="105"/>
      <c r="F26" s="105"/>
      <c r="G26" s="108"/>
      <c r="H26" s="122"/>
      <c r="I26" s="120"/>
      <c r="J26" s="120"/>
      <c r="K26" s="120"/>
      <c r="L26" s="121"/>
      <c r="M26" s="122"/>
      <c r="N26" s="120"/>
      <c r="O26" s="120"/>
      <c r="P26" s="120"/>
      <c r="Q26" s="121"/>
      <c r="R26" s="122"/>
      <c r="S26" s="120"/>
      <c r="T26" s="120"/>
      <c r="U26" s="120"/>
      <c r="V26" s="121"/>
      <c r="W26" s="122"/>
      <c r="X26" s="120"/>
      <c r="Y26" s="120"/>
      <c r="Z26" s="120"/>
      <c r="AA26" s="121"/>
      <c r="AB26" s="133"/>
    </row>
    <row r="27" spans="1:28" ht="15.75" customHeight="1" x14ac:dyDescent="0.25">
      <c r="A27" s="141"/>
      <c r="B27" s="137"/>
      <c r="C27" s="112"/>
      <c r="D27" s="106"/>
      <c r="E27" s="106"/>
      <c r="F27" s="106"/>
      <c r="G27" s="109"/>
      <c r="H27" s="103"/>
      <c r="I27" s="97"/>
      <c r="J27" s="97"/>
      <c r="K27" s="97"/>
      <c r="L27" s="100"/>
      <c r="M27" s="103"/>
      <c r="N27" s="97"/>
      <c r="O27" s="97"/>
      <c r="P27" s="97"/>
      <c r="Q27" s="100"/>
      <c r="R27" s="103"/>
      <c r="S27" s="97"/>
      <c r="T27" s="97"/>
      <c r="U27" s="97"/>
      <c r="V27" s="100"/>
      <c r="W27" s="103"/>
      <c r="X27" s="97"/>
      <c r="Y27" s="97"/>
      <c r="Z27" s="97"/>
      <c r="AA27" s="100"/>
      <c r="AB27" s="134"/>
    </row>
    <row r="28" spans="1:28" ht="15.75" customHeight="1" thickBot="1" x14ac:dyDescent="0.3">
      <c r="A28" s="142"/>
      <c r="B28" s="138"/>
      <c r="C28" s="113"/>
      <c r="D28" s="107"/>
      <c r="E28" s="107"/>
      <c r="F28" s="107"/>
      <c r="G28" s="110"/>
      <c r="H28" s="104"/>
      <c r="I28" s="98"/>
      <c r="J28" s="98"/>
      <c r="K28" s="98"/>
      <c r="L28" s="101"/>
      <c r="M28" s="104"/>
      <c r="N28" s="98"/>
      <c r="O28" s="98"/>
      <c r="P28" s="98"/>
      <c r="Q28" s="101"/>
      <c r="R28" s="104"/>
      <c r="S28" s="98"/>
      <c r="T28" s="98"/>
      <c r="U28" s="98"/>
      <c r="V28" s="101"/>
      <c r="W28" s="104"/>
      <c r="X28" s="98"/>
      <c r="Y28" s="98"/>
      <c r="Z28" s="98"/>
      <c r="AA28" s="101"/>
      <c r="AB28" s="135"/>
    </row>
    <row r="29" spans="1:28" ht="15" x14ac:dyDescent="0.25">
      <c r="A29" s="28"/>
    </row>
    <row r="30" spans="1:28" ht="15" x14ac:dyDescent="0.25">
      <c r="A30" s="28"/>
      <c r="B30" s="26" t="s">
        <v>35</v>
      </c>
      <c r="E30" s="21" t="s">
        <v>41</v>
      </c>
      <c r="I30" s="21" t="s">
        <v>42</v>
      </c>
      <c r="M30" s="21" t="s">
        <v>43</v>
      </c>
      <c r="Q30" s="21" t="s">
        <v>44</v>
      </c>
      <c r="U30" s="21" t="s">
        <v>45</v>
      </c>
      <c r="Y30" s="21" t="s">
        <v>46</v>
      </c>
    </row>
    <row r="31" spans="1:28" ht="15" x14ac:dyDescent="0.25">
      <c r="A31" s="28"/>
    </row>
    <row r="32" spans="1:28" ht="9.75" customHeight="1" x14ac:dyDescent="0.25">
      <c r="A32" s="28"/>
    </row>
    <row r="34" spans="1:32" ht="24.6" x14ac:dyDescent="0.25">
      <c r="A34" s="144" t="str">
        <f>'INSCRIPCION '!A$1</f>
        <v>TIRADA</v>
      </c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</row>
    <row r="35" spans="1:32" ht="19.5" customHeight="1" x14ac:dyDescent="0.4">
      <c r="A35" s="23"/>
      <c r="B35" s="23"/>
    </row>
    <row r="36" spans="1:32" ht="23.25" customHeight="1" x14ac:dyDescent="0.25">
      <c r="A36" s="132" t="str">
        <f>'INSCRIPCION '!A$2</f>
        <v>CAMPO DE TIRO LA ISLA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</row>
    <row r="37" spans="1:32" ht="19.5" customHeight="1" x14ac:dyDescent="0.25">
      <c r="A37" s="143" t="str">
        <f>'INSCRIPCION '!A$3</f>
        <v>XXX PLATOS</v>
      </c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</row>
    <row r="38" spans="1:32" ht="22.8" x14ac:dyDescent="0.4">
      <c r="A38" s="24"/>
      <c r="B38" s="24"/>
    </row>
    <row r="39" spans="1:32" ht="17.399999999999999" x14ac:dyDescent="0.3">
      <c r="A39" s="25" t="s">
        <v>10</v>
      </c>
      <c r="B39" s="25"/>
      <c r="J39" s="9" t="s">
        <v>6</v>
      </c>
      <c r="K39" s="9"/>
      <c r="L39" s="9"/>
      <c r="M39" s="9"/>
      <c r="N39" s="9"/>
      <c r="O39" s="22">
        <v>2</v>
      </c>
      <c r="P39" s="22"/>
      <c r="Q39" s="8"/>
      <c r="R39" s="8"/>
      <c r="S39" s="7"/>
      <c r="T39" s="8"/>
      <c r="U39" s="8"/>
      <c r="V39" s="9" t="s">
        <v>7</v>
      </c>
      <c r="W39" s="9"/>
      <c r="X39" s="9"/>
      <c r="Y39" s="9"/>
      <c r="Z39" s="22">
        <v>1</v>
      </c>
      <c r="AA39" s="22"/>
    </row>
    <row r="40" spans="1:32" ht="13.8" thickBot="1" x14ac:dyDescent="0.3"/>
    <row r="41" spans="1:32" ht="15.6" thickBot="1" x14ac:dyDescent="0.3">
      <c r="A41" s="27" t="s">
        <v>0</v>
      </c>
      <c r="B41" s="27" t="s">
        <v>8</v>
      </c>
      <c r="C41" s="47">
        <v>1</v>
      </c>
      <c r="D41" s="48">
        <v>2</v>
      </c>
      <c r="E41" s="48">
        <v>3</v>
      </c>
      <c r="F41" s="48">
        <v>4</v>
      </c>
      <c r="G41" s="49">
        <v>5</v>
      </c>
      <c r="H41" s="47">
        <v>6</v>
      </c>
      <c r="I41" s="48">
        <v>7</v>
      </c>
      <c r="J41" s="48">
        <v>8</v>
      </c>
      <c r="K41" s="48">
        <v>9</v>
      </c>
      <c r="L41" s="49">
        <v>10</v>
      </c>
      <c r="M41" s="47">
        <v>11</v>
      </c>
      <c r="N41" s="48">
        <v>12</v>
      </c>
      <c r="O41" s="48">
        <v>13</v>
      </c>
      <c r="P41" s="48">
        <v>14</v>
      </c>
      <c r="Q41" s="49">
        <v>15</v>
      </c>
      <c r="R41" s="47">
        <v>16</v>
      </c>
      <c r="S41" s="48">
        <v>17</v>
      </c>
      <c r="T41" s="48">
        <v>18</v>
      </c>
      <c r="U41" s="48">
        <v>19</v>
      </c>
      <c r="V41" s="49">
        <v>20</v>
      </c>
      <c r="W41" s="47">
        <v>21</v>
      </c>
      <c r="X41" s="48">
        <v>22</v>
      </c>
      <c r="Y41" s="48">
        <v>23</v>
      </c>
      <c r="Z41" s="48">
        <v>24</v>
      </c>
      <c r="AA41" s="49">
        <v>25</v>
      </c>
      <c r="AB41" s="30" t="s">
        <v>1</v>
      </c>
    </row>
    <row r="42" spans="1:32" ht="15.75" customHeight="1" thickTop="1" thickBot="1" x14ac:dyDescent="0.3">
      <c r="A42" s="139">
        <f>ESCUADRAS!B13</f>
        <v>7</v>
      </c>
      <c r="B42" s="136">
        <f>ESCUADRAS!C13</f>
        <v>0</v>
      </c>
      <c r="C42" s="129"/>
      <c r="D42" s="114"/>
      <c r="E42" s="114"/>
      <c r="F42" s="114"/>
      <c r="G42" s="117"/>
      <c r="H42" s="111"/>
      <c r="I42" s="105"/>
      <c r="J42" s="105"/>
      <c r="K42" s="105"/>
      <c r="L42" s="108"/>
      <c r="M42" s="111"/>
      <c r="N42" s="105"/>
      <c r="O42" s="105"/>
      <c r="P42" s="105"/>
      <c r="Q42" s="108"/>
      <c r="R42" s="111"/>
      <c r="S42" s="105"/>
      <c r="T42" s="105"/>
      <c r="U42" s="105"/>
      <c r="V42" s="108"/>
      <c r="W42" s="111"/>
      <c r="X42" s="105"/>
      <c r="Y42" s="105"/>
      <c r="Z42" s="105"/>
      <c r="AA42" s="108"/>
      <c r="AB42" s="133"/>
    </row>
    <row r="43" spans="1:32" ht="15.75" customHeight="1" thickTop="1" thickBot="1" x14ac:dyDescent="0.3">
      <c r="A43" s="139"/>
      <c r="B43" s="137"/>
      <c r="C43" s="130"/>
      <c r="D43" s="115"/>
      <c r="E43" s="115"/>
      <c r="F43" s="115"/>
      <c r="G43" s="118"/>
      <c r="H43" s="112"/>
      <c r="I43" s="106"/>
      <c r="J43" s="106"/>
      <c r="K43" s="106"/>
      <c r="L43" s="109"/>
      <c r="M43" s="112"/>
      <c r="N43" s="106"/>
      <c r="O43" s="106"/>
      <c r="P43" s="106"/>
      <c r="Q43" s="109"/>
      <c r="R43" s="112"/>
      <c r="S43" s="106"/>
      <c r="T43" s="106"/>
      <c r="U43" s="106"/>
      <c r="V43" s="109"/>
      <c r="W43" s="112"/>
      <c r="X43" s="106"/>
      <c r="Y43" s="106"/>
      <c r="Z43" s="106"/>
      <c r="AA43" s="109"/>
      <c r="AB43" s="134"/>
    </row>
    <row r="44" spans="1:32" ht="15.75" customHeight="1" thickTop="1" thickBot="1" x14ac:dyDescent="0.3">
      <c r="A44" s="139"/>
      <c r="B44" s="138"/>
      <c r="C44" s="131"/>
      <c r="D44" s="116"/>
      <c r="E44" s="116"/>
      <c r="F44" s="116"/>
      <c r="G44" s="119"/>
      <c r="H44" s="113"/>
      <c r="I44" s="107"/>
      <c r="J44" s="107"/>
      <c r="K44" s="107"/>
      <c r="L44" s="110"/>
      <c r="M44" s="113"/>
      <c r="N44" s="107"/>
      <c r="O44" s="107"/>
      <c r="P44" s="107"/>
      <c r="Q44" s="110"/>
      <c r="R44" s="113"/>
      <c r="S44" s="107"/>
      <c r="T44" s="107"/>
      <c r="U44" s="107"/>
      <c r="V44" s="110"/>
      <c r="W44" s="113"/>
      <c r="X44" s="107"/>
      <c r="Y44" s="107"/>
      <c r="Z44" s="107"/>
      <c r="AA44" s="110"/>
      <c r="AB44" s="135"/>
    </row>
    <row r="45" spans="1:32" ht="15.75" customHeight="1" thickTop="1" x14ac:dyDescent="0.25">
      <c r="A45" s="140">
        <f>ESCUADRAS!B14</f>
        <v>8</v>
      </c>
      <c r="B45" s="136">
        <f>ESCUADRAS!C14</f>
        <v>0</v>
      </c>
      <c r="C45" s="93"/>
      <c r="D45" s="123"/>
      <c r="E45" s="123"/>
      <c r="F45" s="123"/>
      <c r="G45" s="126"/>
      <c r="H45" s="102"/>
      <c r="I45" s="96"/>
      <c r="J45" s="96"/>
      <c r="K45" s="96"/>
      <c r="L45" s="99"/>
      <c r="M45" s="102"/>
      <c r="N45" s="96"/>
      <c r="O45" s="96"/>
      <c r="P45" s="96"/>
      <c r="Q45" s="99"/>
      <c r="R45" s="102"/>
      <c r="S45" s="96"/>
      <c r="T45" s="96"/>
      <c r="U45" s="96"/>
      <c r="V45" s="99"/>
      <c r="W45" s="111"/>
      <c r="X45" s="105"/>
      <c r="Y45" s="105"/>
      <c r="Z45" s="105"/>
      <c r="AA45" s="108"/>
      <c r="AB45" s="133"/>
    </row>
    <row r="46" spans="1:32" ht="15.75" customHeight="1" x14ac:dyDescent="0.25">
      <c r="A46" s="141"/>
      <c r="B46" s="137"/>
      <c r="C46" s="94"/>
      <c r="D46" s="124"/>
      <c r="E46" s="124"/>
      <c r="F46" s="124"/>
      <c r="G46" s="127"/>
      <c r="H46" s="103"/>
      <c r="I46" s="97"/>
      <c r="J46" s="97"/>
      <c r="K46" s="97"/>
      <c r="L46" s="100"/>
      <c r="M46" s="103"/>
      <c r="N46" s="97"/>
      <c r="O46" s="97"/>
      <c r="P46" s="97"/>
      <c r="Q46" s="100"/>
      <c r="R46" s="103"/>
      <c r="S46" s="97"/>
      <c r="T46" s="97"/>
      <c r="U46" s="97"/>
      <c r="V46" s="100"/>
      <c r="W46" s="112"/>
      <c r="X46" s="106"/>
      <c r="Y46" s="106"/>
      <c r="Z46" s="106"/>
      <c r="AA46" s="109"/>
      <c r="AB46" s="134"/>
    </row>
    <row r="47" spans="1:32" ht="15.75" customHeight="1" thickBot="1" x14ac:dyDescent="0.3">
      <c r="A47" s="142"/>
      <c r="B47" s="138"/>
      <c r="C47" s="95"/>
      <c r="D47" s="125"/>
      <c r="E47" s="125"/>
      <c r="F47" s="125"/>
      <c r="G47" s="128"/>
      <c r="H47" s="104"/>
      <c r="I47" s="98"/>
      <c r="J47" s="98"/>
      <c r="K47" s="98"/>
      <c r="L47" s="101"/>
      <c r="M47" s="104"/>
      <c r="N47" s="98"/>
      <c r="O47" s="98"/>
      <c r="P47" s="98"/>
      <c r="Q47" s="101"/>
      <c r="R47" s="104"/>
      <c r="S47" s="98"/>
      <c r="T47" s="98"/>
      <c r="U47" s="98"/>
      <c r="V47" s="101"/>
      <c r="W47" s="113"/>
      <c r="X47" s="107"/>
      <c r="Y47" s="107"/>
      <c r="Z47" s="107"/>
      <c r="AA47" s="110"/>
      <c r="AB47" s="135"/>
    </row>
    <row r="48" spans="1:32" ht="15.75" customHeight="1" thickTop="1" thickBot="1" x14ac:dyDescent="0.3">
      <c r="A48" s="139">
        <f>ESCUADRAS!B15</f>
        <v>9</v>
      </c>
      <c r="B48" s="136">
        <f>ESCUADRAS!C15</f>
        <v>0</v>
      </c>
      <c r="C48" s="93"/>
      <c r="D48" s="123"/>
      <c r="E48" s="123"/>
      <c r="F48" s="123"/>
      <c r="G48" s="126"/>
      <c r="H48" s="102"/>
      <c r="I48" s="96"/>
      <c r="J48" s="96"/>
      <c r="K48" s="96"/>
      <c r="L48" s="99"/>
      <c r="M48" s="102"/>
      <c r="N48" s="96"/>
      <c r="O48" s="96"/>
      <c r="P48" s="96"/>
      <c r="Q48" s="99"/>
      <c r="R48" s="111"/>
      <c r="S48" s="105"/>
      <c r="T48" s="105"/>
      <c r="U48" s="105"/>
      <c r="V48" s="108"/>
      <c r="W48" s="102"/>
      <c r="X48" s="96"/>
      <c r="Y48" s="96"/>
      <c r="Z48" s="96"/>
      <c r="AA48" s="99"/>
      <c r="AB48" s="133"/>
    </row>
    <row r="49" spans="1:28" ht="15.75" customHeight="1" thickTop="1" thickBot="1" x14ac:dyDescent="0.3">
      <c r="A49" s="139"/>
      <c r="B49" s="137"/>
      <c r="C49" s="94"/>
      <c r="D49" s="124"/>
      <c r="E49" s="124"/>
      <c r="F49" s="124"/>
      <c r="G49" s="127"/>
      <c r="H49" s="103"/>
      <c r="I49" s="97"/>
      <c r="J49" s="97"/>
      <c r="K49" s="97"/>
      <c r="L49" s="100"/>
      <c r="M49" s="103"/>
      <c r="N49" s="97"/>
      <c r="O49" s="97"/>
      <c r="P49" s="97"/>
      <c r="Q49" s="100"/>
      <c r="R49" s="112"/>
      <c r="S49" s="106"/>
      <c r="T49" s="106"/>
      <c r="U49" s="106"/>
      <c r="V49" s="109"/>
      <c r="W49" s="103"/>
      <c r="X49" s="97"/>
      <c r="Y49" s="97"/>
      <c r="Z49" s="97"/>
      <c r="AA49" s="100"/>
      <c r="AB49" s="134"/>
    </row>
    <row r="50" spans="1:28" ht="15.75" customHeight="1" thickTop="1" thickBot="1" x14ac:dyDescent="0.3">
      <c r="A50" s="139"/>
      <c r="B50" s="138"/>
      <c r="C50" s="95"/>
      <c r="D50" s="125"/>
      <c r="E50" s="125"/>
      <c r="F50" s="125"/>
      <c r="G50" s="128"/>
      <c r="H50" s="104"/>
      <c r="I50" s="98"/>
      <c r="J50" s="98"/>
      <c r="K50" s="98"/>
      <c r="L50" s="101"/>
      <c r="M50" s="104"/>
      <c r="N50" s="98"/>
      <c r="O50" s="98"/>
      <c r="P50" s="98"/>
      <c r="Q50" s="101"/>
      <c r="R50" s="113"/>
      <c r="S50" s="107"/>
      <c r="T50" s="107"/>
      <c r="U50" s="107"/>
      <c r="V50" s="110"/>
      <c r="W50" s="104"/>
      <c r="X50" s="98"/>
      <c r="Y50" s="98"/>
      <c r="Z50" s="98"/>
      <c r="AA50" s="101"/>
      <c r="AB50" s="135"/>
    </row>
    <row r="51" spans="1:28" ht="15.75" customHeight="1" thickTop="1" x14ac:dyDescent="0.25">
      <c r="A51" s="140">
        <f>ESCUADRAS!B16</f>
        <v>10</v>
      </c>
      <c r="B51" s="136">
        <f>ESCUADRAS!C16</f>
        <v>0</v>
      </c>
      <c r="C51" s="93"/>
      <c r="D51" s="123"/>
      <c r="E51" s="123"/>
      <c r="F51" s="123"/>
      <c r="G51" s="126"/>
      <c r="H51" s="102"/>
      <c r="I51" s="96"/>
      <c r="J51" s="96"/>
      <c r="K51" s="96"/>
      <c r="L51" s="99"/>
      <c r="M51" s="111"/>
      <c r="N51" s="105"/>
      <c r="O51" s="105"/>
      <c r="P51" s="105"/>
      <c r="Q51" s="108"/>
      <c r="R51" s="102"/>
      <c r="S51" s="96"/>
      <c r="T51" s="96"/>
      <c r="U51" s="96"/>
      <c r="V51" s="99"/>
      <c r="W51" s="102"/>
      <c r="X51" s="96"/>
      <c r="Y51" s="96"/>
      <c r="Z51" s="96"/>
      <c r="AA51" s="99"/>
      <c r="AB51" s="133"/>
    </row>
    <row r="52" spans="1:28" ht="15.75" customHeight="1" x14ac:dyDescent="0.25">
      <c r="A52" s="141"/>
      <c r="B52" s="137"/>
      <c r="C52" s="94"/>
      <c r="D52" s="124"/>
      <c r="E52" s="124"/>
      <c r="F52" s="124"/>
      <c r="G52" s="127"/>
      <c r="H52" s="103"/>
      <c r="I52" s="97"/>
      <c r="J52" s="97"/>
      <c r="K52" s="97"/>
      <c r="L52" s="100"/>
      <c r="M52" s="112"/>
      <c r="N52" s="106"/>
      <c r="O52" s="106"/>
      <c r="P52" s="106"/>
      <c r="Q52" s="109"/>
      <c r="R52" s="103"/>
      <c r="S52" s="97"/>
      <c r="T52" s="97"/>
      <c r="U52" s="97"/>
      <c r="V52" s="100"/>
      <c r="W52" s="103"/>
      <c r="X52" s="97"/>
      <c r="Y52" s="97"/>
      <c r="Z52" s="97"/>
      <c r="AA52" s="100"/>
      <c r="AB52" s="134"/>
    </row>
    <row r="53" spans="1:28" ht="15.75" customHeight="1" thickBot="1" x14ac:dyDescent="0.3">
      <c r="A53" s="142"/>
      <c r="B53" s="138"/>
      <c r="C53" s="95"/>
      <c r="D53" s="125"/>
      <c r="E53" s="125"/>
      <c r="F53" s="125"/>
      <c r="G53" s="128"/>
      <c r="H53" s="104"/>
      <c r="I53" s="98"/>
      <c r="J53" s="98"/>
      <c r="K53" s="98"/>
      <c r="L53" s="101"/>
      <c r="M53" s="113"/>
      <c r="N53" s="107"/>
      <c r="O53" s="107"/>
      <c r="P53" s="107"/>
      <c r="Q53" s="110"/>
      <c r="R53" s="104"/>
      <c r="S53" s="98"/>
      <c r="T53" s="98"/>
      <c r="U53" s="98"/>
      <c r="V53" s="101"/>
      <c r="W53" s="104"/>
      <c r="X53" s="98"/>
      <c r="Y53" s="98"/>
      <c r="Z53" s="98"/>
      <c r="AA53" s="101"/>
      <c r="AB53" s="135"/>
    </row>
    <row r="54" spans="1:28" ht="15.75" customHeight="1" thickTop="1" thickBot="1" x14ac:dyDescent="0.3">
      <c r="A54" s="139">
        <f>ESCUADRAS!B17</f>
        <v>11</v>
      </c>
      <c r="B54" s="136">
        <f>ESCUADRAS!C17</f>
        <v>0</v>
      </c>
      <c r="C54" s="93"/>
      <c r="D54" s="123"/>
      <c r="E54" s="123"/>
      <c r="F54" s="123"/>
      <c r="G54" s="126"/>
      <c r="H54" s="111"/>
      <c r="I54" s="105"/>
      <c r="J54" s="105"/>
      <c r="K54" s="105"/>
      <c r="L54" s="108"/>
      <c r="M54" s="102"/>
      <c r="N54" s="96"/>
      <c r="O54" s="96"/>
      <c r="P54" s="96"/>
      <c r="Q54" s="99"/>
      <c r="R54" s="102"/>
      <c r="S54" s="96"/>
      <c r="T54" s="96"/>
      <c r="U54" s="96"/>
      <c r="V54" s="99"/>
      <c r="W54" s="102"/>
      <c r="X54" s="96"/>
      <c r="Y54" s="96"/>
      <c r="Z54" s="96"/>
      <c r="AA54" s="99"/>
      <c r="AB54" s="133"/>
    </row>
    <row r="55" spans="1:28" ht="15.75" customHeight="1" thickTop="1" thickBot="1" x14ac:dyDescent="0.3">
      <c r="A55" s="139"/>
      <c r="B55" s="137"/>
      <c r="C55" s="94"/>
      <c r="D55" s="124"/>
      <c r="E55" s="124"/>
      <c r="F55" s="124"/>
      <c r="G55" s="127"/>
      <c r="H55" s="112"/>
      <c r="I55" s="106"/>
      <c r="J55" s="106"/>
      <c r="K55" s="106"/>
      <c r="L55" s="109"/>
      <c r="M55" s="103"/>
      <c r="N55" s="97"/>
      <c r="O55" s="97"/>
      <c r="P55" s="97"/>
      <c r="Q55" s="100"/>
      <c r="R55" s="103"/>
      <c r="S55" s="97"/>
      <c r="T55" s="97"/>
      <c r="U55" s="97"/>
      <c r="V55" s="100"/>
      <c r="W55" s="103"/>
      <c r="X55" s="97"/>
      <c r="Y55" s="97"/>
      <c r="Z55" s="97"/>
      <c r="AA55" s="100"/>
      <c r="AB55" s="134"/>
    </row>
    <row r="56" spans="1:28" ht="15.75" customHeight="1" thickTop="1" thickBot="1" x14ac:dyDescent="0.3">
      <c r="A56" s="139"/>
      <c r="B56" s="138"/>
      <c r="C56" s="95"/>
      <c r="D56" s="125"/>
      <c r="E56" s="125"/>
      <c r="F56" s="125"/>
      <c r="G56" s="128"/>
      <c r="H56" s="113"/>
      <c r="I56" s="107"/>
      <c r="J56" s="107"/>
      <c r="K56" s="107"/>
      <c r="L56" s="110"/>
      <c r="M56" s="104"/>
      <c r="N56" s="98"/>
      <c r="O56" s="98"/>
      <c r="P56" s="98"/>
      <c r="Q56" s="101"/>
      <c r="R56" s="104"/>
      <c r="S56" s="98"/>
      <c r="T56" s="98"/>
      <c r="U56" s="98"/>
      <c r="V56" s="101"/>
      <c r="W56" s="104"/>
      <c r="X56" s="98"/>
      <c r="Y56" s="98"/>
      <c r="Z56" s="98"/>
      <c r="AA56" s="101"/>
      <c r="AB56" s="135"/>
    </row>
    <row r="57" spans="1:28" ht="15.75" customHeight="1" thickTop="1" x14ac:dyDescent="0.25">
      <c r="A57" s="140">
        <f>ESCUADRAS!B18</f>
        <v>12</v>
      </c>
      <c r="B57" s="136">
        <f>ESCUADRAS!C18</f>
        <v>0</v>
      </c>
      <c r="C57" s="111"/>
      <c r="D57" s="105"/>
      <c r="E57" s="105"/>
      <c r="F57" s="105"/>
      <c r="G57" s="108"/>
      <c r="H57" s="122"/>
      <c r="I57" s="120"/>
      <c r="J57" s="120"/>
      <c r="K57" s="120"/>
      <c r="L57" s="121"/>
      <c r="M57" s="122"/>
      <c r="N57" s="120"/>
      <c r="O57" s="120"/>
      <c r="P57" s="120"/>
      <c r="Q57" s="121"/>
      <c r="R57" s="122"/>
      <c r="S57" s="120"/>
      <c r="T57" s="120"/>
      <c r="U57" s="120"/>
      <c r="V57" s="121"/>
      <c r="W57" s="122"/>
      <c r="X57" s="120"/>
      <c r="Y57" s="120"/>
      <c r="Z57" s="120"/>
      <c r="AA57" s="121"/>
      <c r="AB57" s="133"/>
    </row>
    <row r="58" spans="1:28" ht="15.75" customHeight="1" x14ac:dyDescent="0.25">
      <c r="A58" s="141"/>
      <c r="B58" s="137"/>
      <c r="C58" s="112"/>
      <c r="D58" s="106"/>
      <c r="E58" s="106"/>
      <c r="F58" s="106"/>
      <c r="G58" s="109"/>
      <c r="H58" s="103"/>
      <c r="I58" s="97"/>
      <c r="J58" s="97"/>
      <c r="K58" s="97"/>
      <c r="L58" s="100"/>
      <c r="M58" s="103"/>
      <c r="N58" s="97"/>
      <c r="O58" s="97"/>
      <c r="P58" s="97"/>
      <c r="Q58" s="100"/>
      <c r="R58" s="103"/>
      <c r="S58" s="97"/>
      <c r="T58" s="97"/>
      <c r="U58" s="97"/>
      <c r="V58" s="100"/>
      <c r="W58" s="103"/>
      <c r="X58" s="97"/>
      <c r="Y58" s="97"/>
      <c r="Z58" s="97"/>
      <c r="AA58" s="100"/>
      <c r="AB58" s="134"/>
    </row>
    <row r="59" spans="1:28" ht="15.75" customHeight="1" thickBot="1" x14ac:dyDescent="0.3">
      <c r="A59" s="142"/>
      <c r="B59" s="138"/>
      <c r="C59" s="113"/>
      <c r="D59" s="107"/>
      <c r="E59" s="107"/>
      <c r="F59" s="107"/>
      <c r="G59" s="110"/>
      <c r="H59" s="104"/>
      <c r="I59" s="98"/>
      <c r="J59" s="98"/>
      <c r="K59" s="98"/>
      <c r="L59" s="101"/>
      <c r="M59" s="104"/>
      <c r="N59" s="98"/>
      <c r="O59" s="98"/>
      <c r="P59" s="98"/>
      <c r="Q59" s="101"/>
      <c r="R59" s="104"/>
      <c r="S59" s="98"/>
      <c r="T59" s="98"/>
      <c r="U59" s="98"/>
      <c r="V59" s="101"/>
      <c r="W59" s="104"/>
      <c r="X59" s="98"/>
      <c r="Y59" s="98"/>
      <c r="Z59" s="98"/>
      <c r="AA59" s="101"/>
      <c r="AB59" s="135"/>
    </row>
    <row r="60" spans="1:28" ht="15" x14ac:dyDescent="0.25">
      <c r="A60" s="28"/>
    </row>
    <row r="61" spans="1:28" ht="15" x14ac:dyDescent="0.25">
      <c r="A61" s="28"/>
      <c r="B61" s="26" t="s">
        <v>35</v>
      </c>
      <c r="E61" s="21" t="s">
        <v>41</v>
      </c>
      <c r="I61" s="21" t="s">
        <v>42</v>
      </c>
      <c r="M61" s="21" t="s">
        <v>43</v>
      </c>
      <c r="Q61" s="21" t="s">
        <v>44</v>
      </c>
      <c r="U61" s="21" t="s">
        <v>45</v>
      </c>
      <c r="Y61" s="21" t="s">
        <v>46</v>
      </c>
    </row>
    <row r="62" spans="1:28" ht="15" x14ac:dyDescent="0.25">
      <c r="A62" s="28"/>
    </row>
    <row r="63" spans="1:28" ht="9.75" customHeight="1" x14ac:dyDescent="0.25"/>
    <row r="66" spans="1:32" ht="24.6" x14ac:dyDescent="0.25">
      <c r="A66" s="144" t="str">
        <f>'INSCRIPCION '!A$1</f>
        <v>TIRADA</v>
      </c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</row>
    <row r="67" spans="1:32" ht="19.5" customHeight="1" x14ac:dyDescent="0.4">
      <c r="A67" s="23"/>
      <c r="B67" s="23"/>
    </row>
    <row r="68" spans="1:32" ht="22.5" customHeight="1" x14ac:dyDescent="0.25">
      <c r="A68" s="132" t="str">
        <f>'INSCRIPCION '!A$2</f>
        <v>CAMPO DE TIRO LA ISLA</v>
      </c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</row>
    <row r="69" spans="1:32" ht="19.5" customHeight="1" x14ac:dyDescent="0.25">
      <c r="A69" s="143" t="str">
        <f>'INSCRIPCION '!A$3</f>
        <v>XXX PLATOS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</row>
    <row r="70" spans="1:32" ht="22.8" x14ac:dyDescent="0.4">
      <c r="A70" s="24"/>
      <c r="B70" s="24"/>
    </row>
    <row r="71" spans="1:32" ht="17.399999999999999" x14ac:dyDescent="0.3">
      <c r="A71" s="25" t="s">
        <v>11</v>
      </c>
      <c r="B71" s="25"/>
      <c r="J71" s="9" t="s">
        <v>6</v>
      </c>
      <c r="K71" s="9"/>
      <c r="L71" s="9"/>
      <c r="M71" s="9"/>
      <c r="N71" s="9"/>
      <c r="O71" s="22">
        <v>3</v>
      </c>
      <c r="P71" s="22"/>
      <c r="Q71" s="8"/>
      <c r="R71" s="8"/>
      <c r="S71" s="7"/>
      <c r="T71" s="8"/>
      <c r="U71" s="8"/>
      <c r="V71" s="9" t="s">
        <v>7</v>
      </c>
      <c r="W71" s="9"/>
      <c r="X71" s="9"/>
      <c r="Y71" s="9"/>
      <c r="Z71" s="22">
        <v>1</v>
      </c>
      <c r="AA71" s="22"/>
    </row>
    <row r="72" spans="1:32" ht="13.8" thickBot="1" x14ac:dyDescent="0.3"/>
    <row r="73" spans="1:32" ht="15.6" thickBot="1" x14ac:dyDescent="0.3">
      <c r="A73" s="27" t="s">
        <v>0</v>
      </c>
      <c r="B73" s="27" t="s">
        <v>8</v>
      </c>
      <c r="C73" s="47">
        <v>1</v>
      </c>
      <c r="D73" s="48">
        <v>2</v>
      </c>
      <c r="E73" s="48">
        <v>3</v>
      </c>
      <c r="F73" s="48">
        <v>4</v>
      </c>
      <c r="G73" s="49">
        <v>5</v>
      </c>
      <c r="H73" s="47">
        <v>6</v>
      </c>
      <c r="I73" s="48">
        <v>7</v>
      </c>
      <c r="J73" s="48">
        <v>8</v>
      </c>
      <c r="K73" s="48">
        <v>9</v>
      </c>
      <c r="L73" s="49">
        <v>10</v>
      </c>
      <c r="M73" s="47">
        <v>11</v>
      </c>
      <c r="N73" s="48">
        <v>12</v>
      </c>
      <c r="O73" s="48">
        <v>13</v>
      </c>
      <c r="P73" s="48">
        <v>14</v>
      </c>
      <c r="Q73" s="49">
        <v>15</v>
      </c>
      <c r="R73" s="47">
        <v>16</v>
      </c>
      <c r="S73" s="48">
        <v>17</v>
      </c>
      <c r="T73" s="48">
        <v>18</v>
      </c>
      <c r="U73" s="48">
        <v>19</v>
      </c>
      <c r="V73" s="49">
        <v>20</v>
      </c>
      <c r="W73" s="47">
        <v>21</v>
      </c>
      <c r="X73" s="48">
        <v>22</v>
      </c>
      <c r="Y73" s="48">
        <v>23</v>
      </c>
      <c r="Z73" s="48">
        <v>24</v>
      </c>
      <c r="AA73" s="49">
        <v>25</v>
      </c>
      <c r="AB73" s="30" t="s">
        <v>1</v>
      </c>
    </row>
    <row r="74" spans="1:32" ht="15.75" customHeight="1" thickTop="1" thickBot="1" x14ac:dyDescent="0.3">
      <c r="A74" s="139">
        <f>ESCUADRAS!B19</f>
        <v>13</v>
      </c>
      <c r="B74" s="136">
        <f>ESCUADRAS!C19</f>
        <v>0</v>
      </c>
      <c r="C74" s="129"/>
      <c r="D74" s="114"/>
      <c r="E74" s="114"/>
      <c r="F74" s="114"/>
      <c r="G74" s="117"/>
      <c r="H74" s="111"/>
      <c r="I74" s="105"/>
      <c r="J74" s="105"/>
      <c r="K74" s="105"/>
      <c r="L74" s="108"/>
      <c r="M74" s="111"/>
      <c r="N74" s="105"/>
      <c r="O74" s="105"/>
      <c r="P74" s="105"/>
      <c r="Q74" s="108"/>
      <c r="R74" s="111"/>
      <c r="S74" s="105"/>
      <c r="T74" s="105"/>
      <c r="U74" s="105"/>
      <c r="V74" s="108"/>
      <c r="W74" s="111"/>
      <c r="X74" s="105"/>
      <c r="Y74" s="105"/>
      <c r="Z74" s="105"/>
      <c r="AA74" s="108"/>
      <c r="AB74" s="133"/>
    </row>
    <row r="75" spans="1:32" ht="15.75" customHeight="1" thickTop="1" thickBot="1" x14ac:dyDescent="0.3">
      <c r="A75" s="139"/>
      <c r="B75" s="137"/>
      <c r="C75" s="130"/>
      <c r="D75" s="115"/>
      <c r="E75" s="115"/>
      <c r="F75" s="115"/>
      <c r="G75" s="118"/>
      <c r="H75" s="112"/>
      <c r="I75" s="106"/>
      <c r="J75" s="106"/>
      <c r="K75" s="106"/>
      <c r="L75" s="109"/>
      <c r="M75" s="112"/>
      <c r="N75" s="106"/>
      <c r="O75" s="106"/>
      <c r="P75" s="106"/>
      <c r="Q75" s="109"/>
      <c r="R75" s="112"/>
      <c r="S75" s="106"/>
      <c r="T75" s="106"/>
      <c r="U75" s="106"/>
      <c r="V75" s="109"/>
      <c r="W75" s="112"/>
      <c r="X75" s="106"/>
      <c r="Y75" s="106"/>
      <c r="Z75" s="106"/>
      <c r="AA75" s="109"/>
      <c r="AB75" s="134"/>
    </row>
    <row r="76" spans="1:32" ht="15.75" customHeight="1" thickTop="1" thickBot="1" x14ac:dyDescent="0.3">
      <c r="A76" s="139"/>
      <c r="B76" s="138"/>
      <c r="C76" s="131"/>
      <c r="D76" s="116"/>
      <c r="E76" s="116"/>
      <c r="F76" s="116"/>
      <c r="G76" s="119"/>
      <c r="H76" s="113"/>
      <c r="I76" s="107"/>
      <c r="J76" s="107"/>
      <c r="K76" s="107"/>
      <c r="L76" s="110"/>
      <c r="M76" s="113"/>
      <c r="N76" s="107"/>
      <c r="O76" s="107"/>
      <c r="P76" s="107"/>
      <c r="Q76" s="110"/>
      <c r="R76" s="113"/>
      <c r="S76" s="107"/>
      <c r="T76" s="107"/>
      <c r="U76" s="107"/>
      <c r="V76" s="110"/>
      <c r="W76" s="113"/>
      <c r="X76" s="107"/>
      <c r="Y76" s="107"/>
      <c r="Z76" s="107"/>
      <c r="AA76" s="110"/>
      <c r="AB76" s="135"/>
    </row>
    <row r="77" spans="1:32" ht="15.75" customHeight="1" thickTop="1" x14ac:dyDescent="0.25">
      <c r="A77" s="140">
        <f>ESCUADRAS!B20</f>
        <v>14</v>
      </c>
      <c r="B77" s="136">
        <f>ESCUADRAS!C20</f>
        <v>0</v>
      </c>
      <c r="C77" s="93"/>
      <c r="D77" s="123"/>
      <c r="E77" s="123"/>
      <c r="F77" s="123"/>
      <c r="G77" s="126"/>
      <c r="H77" s="102"/>
      <c r="I77" s="96"/>
      <c r="J77" s="96"/>
      <c r="K77" s="96"/>
      <c r="L77" s="99"/>
      <c r="M77" s="102"/>
      <c r="N77" s="96"/>
      <c r="O77" s="96"/>
      <c r="P77" s="96"/>
      <c r="Q77" s="99"/>
      <c r="R77" s="102"/>
      <c r="S77" s="96"/>
      <c r="T77" s="96"/>
      <c r="U77" s="96"/>
      <c r="V77" s="99"/>
      <c r="W77" s="111"/>
      <c r="X77" s="105"/>
      <c r="Y77" s="105"/>
      <c r="Z77" s="105"/>
      <c r="AA77" s="108"/>
      <c r="AB77" s="133"/>
    </row>
    <row r="78" spans="1:32" ht="15.75" customHeight="1" x14ac:dyDescent="0.25">
      <c r="A78" s="141"/>
      <c r="B78" s="137"/>
      <c r="C78" s="94"/>
      <c r="D78" s="124"/>
      <c r="E78" s="124"/>
      <c r="F78" s="124"/>
      <c r="G78" s="127"/>
      <c r="H78" s="103"/>
      <c r="I78" s="97"/>
      <c r="J78" s="97"/>
      <c r="K78" s="97"/>
      <c r="L78" s="100"/>
      <c r="M78" s="103"/>
      <c r="N78" s="97"/>
      <c r="O78" s="97"/>
      <c r="P78" s="97"/>
      <c r="Q78" s="100"/>
      <c r="R78" s="103"/>
      <c r="S78" s="97"/>
      <c r="T78" s="97"/>
      <c r="U78" s="97"/>
      <c r="V78" s="100"/>
      <c r="W78" s="112"/>
      <c r="X78" s="106"/>
      <c r="Y78" s="106"/>
      <c r="Z78" s="106"/>
      <c r="AA78" s="109"/>
      <c r="AB78" s="134"/>
    </row>
    <row r="79" spans="1:32" ht="15.75" customHeight="1" thickBot="1" x14ac:dyDescent="0.3">
      <c r="A79" s="142"/>
      <c r="B79" s="138"/>
      <c r="C79" s="95"/>
      <c r="D79" s="125"/>
      <c r="E79" s="125"/>
      <c r="F79" s="125"/>
      <c r="G79" s="128"/>
      <c r="H79" s="104"/>
      <c r="I79" s="98"/>
      <c r="J79" s="98"/>
      <c r="K79" s="98"/>
      <c r="L79" s="101"/>
      <c r="M79" s="104"/>
      <c r="N79" s="98"/>
      <c r="O79" s="98"/>
      <c r="P79" s="98"/>
      <c r="Q79" s="101"/>
      <c r="R79" s="104"/>
      <c r="S79" s="98"/>
      <c r="T79" s="98"/>
      <c r="U79" s="98"/>
      <c r="V79" s="101"/>
      <c r="W79" s="113"/>
      <c r="X79" s="107"/>
      <c r="Y79" s="107"/>
      <c r="Z79" s="107"/>
      <c r="AA79" s="110"/>
      <c r="AB79" s="135"/>
    </row>
    <row r="80" spans="1:32" ht="15.75" customHeight="1" thickTop="1" thickBot="1" x14ac:dyDescent="0.3">
      <c r="A80" s="139">
        <f>ESCUADRAS!B21</f>
        <v>15</v>
      </c>
      <c r="B80" s="136">
        <f>ESCUADRAS!C21</f>
        <v>0</v>
      </c>
      <c r="C80" s="93"/>
      <c r="D80" s="123"/>
      <c r="E80" s="123"/>
      <c r="F80" s="123"/>
      <c r="G80" s="126"/>
      <c r="H80" s="102"/>
      <c r="I80" s="96"/>
      <c r="J80" s="96"/>
      <c r="K80" s="96"/>
      <c r="L80" s="99"/>
      <c r="M80" s="102"/>
      <c r="N80" s="96"/>
      <c r="O80" s="96"/>
      <c r="P80" s="96"/>
      <c r="Q80" s="99"/>
      <c r="R80" s="111"/>
      <c r="S80" s="105"/>
      <c r="T80" s="105"/>
      <c r="U80" s="105"/>
      <c r="V80" s="108"/>
      <c r="W80" s="102"/>
      <c r="X80" s="96"/>
      <c r="Y80" s="96"/>
      <c r="Z80" s="96"/>
      <c r="AA80" s="99"/>
      <c r="AB80" s="133"/>
    </row>
    <row r="81" spans="1:28" ht="15.75" customHeight="1" thickTop="1" thickBot="1" x14ac:dyDescent="0.3">
      <c r="A81" s="139"/>
      <c r="B81" s="137"/>
      <c r="C81" s="94"/>
      <c r="D81" s="124"/>
      <c r="E81" s="124"/>
      <c r="F81" s="124"/>
      <c r="G81" s="127"/>
      <c r="H81" s="103"/>
      <c r="I81" s="97"/>
      <c r="J81" s="97"/>
      <c r="K81" s="97"/>
      <c r="L81" s="100"/>
      <c r="M81" s="103"/>
      <c r="N81" s="97"/>
      <c r="O81" s="97"/>
      <c r="P81" s="97"/>
      <c r="Q81" s="100"/>
      <c r="R81" s="112"/>
      <c r="S81" s="106"/>
      <c r="T81" s="106"/>
      <c r="U81" s="106"/>
      <c r="V81" s="109"/>
      <c r="W81" s="103"/>
      <c r="X81" s="97"/>
      <c r="Y81" s="97"/>
      <c r="Z81" s="97"/>
      <c r="AA81" s="100"/>
      <c r="AB81" s="134"/>
    </row>
    <row r="82" spans="1:28" ht="15.75" customHeight="1" thickTop="1" thickBot="1" x14ac:dyDescent="0.3">
      <c r="A82" s="139"/>
      <c r="B82" s="138"/>
      <c r="C82" s="95"/>
      <c r="D82" s="125"/>
      <c r="E82" s="125"/>
      <c r="F82" s="125"/>
      <c r="G82" s="128"/>
      <c r="H82" s="104"/>
      <c r="I82" s="98"/>
      <c r="J82" s="98"/>
      <c r="K82" s="98"/>
      <c r="L82" s="101"/>
      <c r="M82" s="104"/>
      <c r="N82" s="98"/>
      <c r="O82" s="98"/>
      <c r="P82" s="98"/>
      <c r="Q82" s="101"/>
      <c r="R82" s="113"/>
      <c r="S82" s="107"/>
      <c r="T82" s="107"/>
      <c r="U82" s="107"/>
      <c r="V82" s="110"/>
      <c r="W82" s="104"/>
      <c r="X82" s="98"/>
      <c r="Y82" s="98"/>
      <c r="Z82" s="98"/>
      <c r="AA82" s="101"/>
      <c r="AB82" s="135"/>
    </row>
    <row r="83" spans="1:28" ht="15.75" customHeight="1" thickTop="1" x14ac:dyDescent="0.25">
      <c r="A83" s="140">
        <f>ESCUADRAS!B22</f>
        <v>16</v>
      </c>
      <c r="B83" s="136">
        <f>ESCUADRAS!C22</f>
        <v>0</v>
      </c>
      <c r="C83" s="93"/>
      <c r="D83" s="123"/>
      <c r="E83" s="123"/>
      <c r="F83" s="123"/>
      <c r="G83" s="126"/>
      <c r="H83" s="102"/>
      <c r="I83" s="96"/>
      <c r="J83" s="96"/>
      <c r="K83" s="96"/>
      <c r="L83" s="99"/>
      <c r="M83" s="111"/>
      <c r="N83" s="105"/>
      <c r="O83" s="105"/>
      <c r="P83" s="105"/>
      <c r="Q83" s="108"/>
      <c r="R83" s="102"/>
      <c r="S83" s="96"/>
      <c r="T83" s="96"/>
      <c r="U83" s="96"/>
      <c r="V83" s="99"/>
      <c r="W83" s="102"/>
      <c r="X83" s="96"/>
      <c r="Y83" s="96"/>
      <c r="Z83" s="96"/>
      <c r="AA83" s="99"/>
      <c r="AB83" s="133"/>
    </row>
    <row r="84" spans="1:28" ht="15.75" customHeight="1" x14ac:dyDescent="0.25">
      <c r="A84" s="141"/>
      <c r="B84" s="137"/>
      <c r="C84" s="94"/>
      <c r="D84" s="124"/>
      <c r="E84" s="124"/>
      <c r="F84" s="124"/>
      <c r="G84" s="127"/>
      <c r="H84" s="103"/>
      <c r="I84" s="97"/>
      <c r="J84" s="97"/>
      <c r="K84" s="97"/>
      <c r="L84" s="100"/>
      <c r="M84" s="112"/>
      <c r="N84" s="106"/>
      <c r="O84" s="106"/>
      <c r="P84" s="106"/>
      <c r="Q84" s="109"/>
      <c r="R84" s="103"/>
      <c r="S84" s="97"/>
      <c r="T84" s="97"/>
      <c r="U84" s="97"/>
      <c r="V84" s="100"/>
      <c r="W84" s="103"/>
      <c r="X84" s="97"/>
      <c r="Y84" s="97"/>
      <c r="Z84" s="97"/>
      <c r="AA84" s="100"/>
      <c r="AB84" s="134"/>
    </row>
    <row r="85" spans="1:28" ht="15.75" customHeight="1" thickBot="1" x14ac:dyDescent="0.3">
      <c r="A85" s="142"/>
      <c r="B85" s="138"/>
      <c r="C85" s="95"/>
      <c r="D85" s="125"/>
      <c r="E85" s="125"/>
      <c r="F85" s="125"/>
      <c r="G85" s="128"/>
      <c r="H85" s="104"/>
      <c r="I85" s="98"/>
      <c r="J85" s="98"/>
      <c r="K85" s="98"/>
      <c r="L85" s="101"/>
      <c r="M85" s="113"/>
      <c r="N85" s="107"/>
      <c r="O85" s="107"/>
      <c r="P85" s="107"/>
      <c r="Q85" s="110"/>
      <c r="R85" s="104"/>
      <c r="S85" s="98"/>
      <c r="T85" s="98"/>
      <c r="U85" s="98"/>
      <c r="V85" s="101"/>
      <c r="W85" s="104"/>
      <c r="X85" s="98"/>
      <c r="Y85" s="98"/>
      <c r="Z85" s="98"/>
      <c r="AA85" s="101"/>
      <c r="AB85" s="135"/>
    </row>
    <row r="86" spans="1:28" ht="15.75" customHeight="1" thickTop="1" thickBot="1" x14ac:dyDescent="0.3">
      <c r="A86" s="139">
        <f>ESCUADRAS!B23</f>
        <v>17</v>
      </c>
      <c r="B86" s="136">
        <f>ESCUADRAS!C23</f>
        <v>0</v>
      </c>
      <c r="C86" s="93"/>
      <c r="D86" s="123"/>
      <c r="E86" s="123"/>
      <c r="F86" s="123"/>
      <c r="G86" s="126"/>
      <c r="H86" s="111"/>
      <c r="I86" s="105"/>
      <c r="J86" s="105"/>
      <c r="K86" s="105"/>
      <c r="L86" s="108"/>
      <c r="M86" s="102"/>
      <c r="N86" s="96"/>
      <c r="O86" s="96"/>
      <c r="P86" s="96"/>
      <c r="Q86" s="99"/>
      <c r="R86" s="102"/>
      <c r="S86" s="96"/>
      <c r="T86" s="96"/>
      <c r="U86" s="96"/>
      <c r="V86" s="99"/>
      <c r="W86" s="102"/>
      <c r="X86" s="96"/>
      <c r="Y86" s="96"/>
      <c r="Z86" s="96"/>
      <c r="AA86" s="99"/>
      <c r="AB86" s="133"/>
    </row>
    <row r="87" spans="1:28" ht="15.75" customHeight="1" thickTop="1" thickBot="1" x14ac:dyDescent="0.3">
      <c r="A87" s="139"/>
      <c r="B87" s="137"/>
      <c r="C87" s="94"/>
      <c r="D87" s="124"/>
      <c r="E87" s="124"/>
      <c r="F87" s="124"/>
      <c r="G87" s="127"/>
      <c r="H87" s="112"/>
      <c r="I87" s="106"/>
      <c r="J87" s="106"/>
      <c r="K87" s="106"/>
      <c r="L87" s="109"/>
      <c r="M87" s="103"/>
      <c r="N87" s="97"/>
      <c r="O87" s="97"/>
      <c r="P87" s="97"/>
      <c r="Q87" s="100"/>
      <c r="R87" s="103"/>
      <c r="S87" s="97"/>
      <c r="T87" s="97"/>
      <c r="U87" s="97"/>
      <c r="V87" s="100"/>
      <c r="W87" s="103"/>
      <c r="X87" s="97"/>
      <c r="Y87" s="97"/>
      <c r="Z87" s="97"/>
      <c r="AA87" s="100"/>
      <c r="AB87" s="134"/>
    </row>
    <row r="88" spans="1:28" ht="15.75" customHeight="1" thickTop="1" thickBot="1" x14ac:dyDescent="0.3">
      <c r="A88" s="139"/>
      <c r="B88" s="138"/>
      <c r="C88" s="95"/>
      <c r="D88" s="125"/>
      <c r="E88" s="125"/>
      <c r="F88" s="125"/>
      <c r="G88" s="128"/>
      <c r="H88" s="113"/>
      <c r="I88" s="107"/>
      <c r="J88" s="107"/>
      <c r="K88" s="107"/>
      <c r="L88" s="110"/>
      <c r="M88" s="104"/>
      <c r="N88" s="98"/>
      <c r="O88" s="98"/>
      <c r="P88" s="98"/>
      <c r="Q88" s="101"/>
      <c r="R88" s="104"/>
      <c r="S88" s="98"/>
      <c r="T88" s="98"/>
      <c r="U88" s="98"/>
      <c r="V88" s="101"/>
      <c r="W88" s="104"/>
      <c r="X88" s="98"/>
      <c r="Y88" s="98"/>
      <c r="Z88" s="98"/>
      <c r="AA88" s="101"/>
      <c r="AB88" s="135"/>
    </row>
    <row r="89" spans="1:28" ht="15.75" customHeight="1" thickTop="1" x14ac:dyDescent="0.25">
      <c r="A89" s="140">
        <f>ESCUADRAS!B24</f>
        <v>18</v>
      </c>
      <c r="B89" s="136">
        <f>ESCUADRAS!C24</f>
        <v>0</v>
      </c>
      <c r="C89" s="111"/>
      <c r="D89" s="105"/>
      <c r="E89" s="105"/>
      <c r="F89" s="105"/>
      <c r="G89" s="108"/>
      <c r="H89" s="122"/>
      <c r="I89" s="120"/>
      <c r="J89" s="120"/>
      <c r="K89" s="120"/>
      <c r="L89" s="121"/>
      <c r="M89" s="122"/>
      <c r="N89" s="120"/>
      <c r="O89" s="120"/>
      <c r="P89" s="120"/>
      <c r="Q89" s="121"/>
      <c r="R89" s="122"/>
      <c r="S89" s="120"/>
      <c r="T89" s="120"/>
      <c r="U89" s="120"/>
      <c r="V89" s="121"/>
      <c r="W89" s="122"/>
      <c r="X89" s="120"/>
      <c r="Y89" s="120"/>
      <c r="Z89" s="120"/>
      <c r="AA89" s="121"/>
      <c r="AB89" s="133"/>
    </row>
    <row r="90" spans="1:28" ht="15.75" customHeight="1" x14ac:dyDescent="0.25">
      <c r="A90" s="141"/>
      <c r="B90" s="137"/>
      <c r="C90" s="112"/>
      <c r="D90" s="106"/>
      <c r="E90" s="106"/>
      <c r="F90" s="106"/>
      <c r="G90" s="109"/>
      <c r="H90" s="103"/>
      <c r="I90" s="97"/>
      <c r="J90" s="97"/>
      <c r="K90" s="97"/>
      <c r="L90" s="100"/>
      <c r="M90" s="103"/>
      <c r="N90" s="97"/>
      <c r="O90" s="97"/>
      <c r="P90" s="97"/>
      <c r="Q90" s="100"/>
      <c r="R90" s="103"/>
      <c r="S90" s="97"/>
      <c r="T90" s="97"/>
      <c r="U90" s="97"/>
      <c r="V90" s="100"/>
      <c r="W90" s="103"/>
      <c r="X90" s="97"/>
      <c r="Y90" s="97"/>
      <c r="Z90" s="97"/>
      <c r="AA90" s="100"/>
      <c r="AB90" s="134"/>
    </row>
    <row r="91" spans="1:28" ht="15.75" customHeight="1" thickBot="1" x14ac:dyDescent="0.3">
      <c r="A91" s="142"/>
      <c r="B91" s="138"/>
      <c r="C91" s="113"/>
      <c r="D91" s="107"/>
      <c r="E91" s="107"/>
      <c r="F91" s="107"/>
      <c r="G91" s="110"/>
      <c r="H91" s="104"/>
      <c r="I91" s="98"/>
      <c r="J91" s="98"/>
      <c r="K91" s="98"/>
      <c r="L91" s="101"/>
      <c r="M91" s="104"/>
      <c r="N91" s="98"/>
      <c r="O91" s="98"/>
      <c r="P91" s="98"/>
      <c r="Q91" s="101"/>
      <c r="R91" s="104"/>
      <c r="S91" s="98"/>
      <c r="T91" s="98"/>
      <c r="U91" s="98"/>
      <c r="V91" s="101"/>
      <c r="W91" s="104"/>
      <c r="X91" s="98"/>
      <c r="Y91" s="98"/>
      <c r="Z91" s="98"/>
      <c r="AA91" s="101"/>
      <c r="AB91" s="135"/>
    </row>
    <row r="92" spans="1:28" ht="15" x14ac:dyDescent="0.25">
      <c r="A92" s="28"/>
    </row>
    <row r="93" spans="1:28" ht="15" x14ac:dyDescent="0.25">
      <c r="A93" s="28"/>
      <c r="B93" s="26" t="s">
        <v>35</v>
      </c>
      <c r="E93" s="21" t="s">
        <v>41</v>
      </c>
      <c r="I93" s="21" t="s">
        <v>42</v>
      </c>
      <c r="M93" s="21" t="s">
        <v>43</v>
      </c>
      <c r="Q93" s="21" t="s">
        <v>44</v>
      </c>
      <c r="U93" s="21" t="s">
        <v>45</v>
      </c>
      <c r="Y93" s="21" t="s">
        <v>46</v>
      </c>
    </row>
    <row r="94" spans="1:28" ht="15" x14ac:dyDescent="0.25">
      <c r="A94" s="28"/>
    </row>
    <row r="95" spans="1:28" ht="10.5" customHeight="1" x14ac:dyDescent="0.25"/>
    <row r="98" spans="1:32" ht="24.6" x14ac:dyDescent="0.25">
      <c r="A98" s="144" t="str">
        <f>'INSCRIPCION '!A$1</f>
        <v>TIRADA</v>
      </c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</row>
    <row r="99" spans="1:32" ht="19.5" customHeight="1" x14ac:dyDescent="0.4">
      <c r="A99" s="23"/>
      <c r="B99" s="23"/>
    </row>
    <row r="100" spans="1:32" ht="22.5" customHeight="1" x14ac:dyDescent="0.25">
      <c r="A100" s="132" t="str">
        <f>'INSCRIPCION '!A$2</f>
        <v>CAMPO DE TIRO LA ISLA</v>
      </c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</row>
    <row r="101" spans="1:32" ht="19.5" customHeight="1" x14ac:dyDescent="0.25">
      <c r="A101" s="143" t="str">
        <f>'INSCRIPCION '!A$3</f>
        <v>XXX PLATOS</v>
      </c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</row>
    <row r="102" spans="1:32" ht="22.8" x14ac:dyDescent="0.4">
      <c r="A102" s="24"/>
      <c r="B102" s="24"/>
    </row>
    <row r="103" spans="1:32" ht="17.399999999999999" x14ac:dyDescent="0.3">
      <c r="A103" s="25" t="s">
        <v>12</v>
      </c>
      <c r="B103" s="25"/>
      <c r="J103" s="9" t="s">
        <v>6</v>
      </c>
      <c r="K103" s="9"/>
      <c r="L103" s="9"/>
      <c r="M103" s="9"/>
      <c r="N103" s="9"/>
      <c r="O103" s="22">
        <v>4</v>
      </c>
      <c r="P103" s="22"/>
      <c r="Q103" s="8"/>
      <c r="R103" s="8"/>
      <c r="S103" s="7"/>
      <c r="T103" s="8"/>
      <c r="U103" s="8"/>
      <c r="V103" s="9" t="s">
        <v>7</v>
      </c>
      <c r="W103" s="9"/>
      <c r="X103" s="9"/>
      <c r="Y103" s="9"/>
      <c r="Z103" s="22">
        <v>1</v>
      </c>
      <c r="AA103" s="22"/>
    </row>
    <row r="104" spans="1:32" ht="13.8" thickBot="1" x14ac:dyDescent="0.3"/>
    <row r="105" spans="1:32" ht="15.6" thickBot="1" x14ac:dyDescent="0.3">
      <c r="A105" s="27" t="s">
        <v>0</v>
      </c>
      <c r="B105" s="27" t="s">
        <v>8</v>
      </c>
      <c r="C105" s="47">
        <v>1</v>
      </c>
      <c r="D105" s="48">
        <v>2</v>
      </c>
      <c r="E105" s="48">
        <v>3</v>
      </c>
      <c r="F105" s="48">
        <v>4</v>
      </c>
      <c r="G105" s="49">
        <v>5</v>
      </c>
      <c r="H105" s="47">
        <v>6</v>
      </c>
      <c r="I105" s="48">
        <v>7</v>
      </c>
      <c r="J105" s="48">
        <v>8</v>
      </c>
      <c r="K105" s="48">
        <v>9</v>
      </c>
      <c r="L105" s="49">
        <v>10</v>
      </c>
      <c r="M105" s="47">
        <v>11</v>
      </c>
      <c r="N105" s="48">
        <v>12</v>
      </c>
      <c r="O105" s="48">
        <v>13</v>
      </c>
      <c r="P105" s="48">
        <v>14</v>
      </c>
      <c r="Q105" s="49">
        <v>15</v>
      </c>
      <c r="R105" s="47">
        <v>16</v>
      </c>
      <c r="S105" s="48">
        <v>17</v>
      </c>
      <c r="T105" s="48">
        <v>18</v>
      </c>
      <c r="U105" s="48">
        <v>19</v>
      </c>
      <c r="V105" s="49">
        <v>20</v>
      </c>
      <c r="W105" s="47">
        <v>21</v>
      </c>
      <c r="X105" s="48">
        <v>22</v>
      </c>
      <c r="Y105" s="48">
        <v>23</v>
      </c>
      <c r="Z105" s="48">
        <v>24</v>
      </c>
      <c r="AA105" s="49">
        <v>25</v>
      </c>
      <c r="AB105" s="30" t="s">
        <v>1</v>
      </c>
    </row>
    <row r="106" spans="1:32" ht="15.75" customHeight="1" thickTop="1" thickBot="1" x14ac:dyDescent="0.3">
      <c r="A106" s="139">
        <f>ESCUADRAS!B25</f>
        <v>19</v>
      </c>
      <c r="B106" s="136">
        <f>ESCUADRAS!C25</f>
        <v>0</v>
      </c>
      <c r="C106" s="129"/>
      <c r="D106" s="114"/>
      <c r="E106" s="114"/>
      <c r="F106" s="114"/>
      <c r="G106" s="117"/>
      <c r="H106" s="111"/>
      <c r="I106" s="105"/>
      <c r="J106" s="105"/>
      <c r="K106" s="105"/>
      <c r="L106" s="108"/>
      <c r="M106" s="111"/>
      <c r="N106" s="105"/>
      <c r="O106" s="105"/>
      <c r="P106" s="105"/>
      <c r="Q106" s="108"/>
      <c r="R106" s="111"/>
      <c r="S106" s="105"/>
      <c r="T106" s="105"/>
      <c r="U106" s="105"/>
      <c r="V106" s="108"/>
      <c r="W106" s="111"/>
      <c r="X106" s="105"/>
      <c r="Y106" s="105"/>
      <c r="Z106" s="105"/>
      <c r="AA106" s="108"/>
      <c r="AB106" s="133"/>
    </row>
    <row r="107" spans="1:32" ht="15.75" customHeight="1" thickTop="1" thickBot="1" x14ac:dyDescent="0.3">
      <c r="A107" s="139"/>
      <c r="B107" s="137"/>
      <c r="C107" s="130"/>
      <c r="D107" s="115"/>
      <c r="E107" s="115"/>
      <c r="F107" s="115"/>
      <c r="G107" s="118"/>
      <c r="H107" s="112"/>
      <c r="I107" s="106"/>
      <c r="J107" s="106"/>
      <c r="K107" s="106"/>
      <c r="L107" s="109"/>
      <c r="M107" s="112"/>
      <c r="N107" s="106"/>
      <c r="O107" s="106"/>
      <c r="P107" s="106"/>
      <c r="Q107" s="109"/>
      <c r="R107" s="112"/>
      <c r="S107" s="106"/>
      <c r="T107" s="106"/>
      <c r="U107" s="106"/>
      <c r="V107" s="109"/>
      <c r="W107" s="112"/>
      <c r="X107" s="106"/>
      <c r="Y107" s="106"/>
      <c r="Z107" s="106"/>
      <c r="AA107" s="109"/>
      <c r="AB107" s="134"/>
    </row>
    <row r="108" spans="1:32" ht="15.75" customHeight="1" thickTop="1" thickBot="1" x14ac:dyDescent="0.3">
      <c r="A108" s="139"/>
      <c r="B108" s="138"/>
      <c r="C108" s="131"/>
      <c r="D108" s="116"/>
      <c r="E108" s="116"/>
      <c r="F108" s="116"/>
      <c r="G108" s="119"/>
      <c r="H108" s="113"/>
      <c r="I108" s="107"/>
      <c r="J108" s="107"/>
      <c r="K108" s="107"/>
      <c r="L108" s="110"/>
      <c r="M108" s="113"/>
      <c r="N108" s="107"/>
      <c r="O108" s="107"/>
      <c r="P108" s="107"/>
      <c r="Q108" s="110"/>
      <c r="R108" s="113"/>
      <c r="S108" s="107"/>
      <c r="T108" s="107"/>
      <c r="U108" s="107"/>
      <c r="V108" s="110"/>
      <c r="W108" s="113"/>
      <c r="X108" s="107"/>
      <c r="Y108" s="107"/>
      <c r="Z108" s="107"/>
      <c r="AA108" s="110"/>
      <c r="AB108" s="135"/>
    </row>
    <row r="109" spans="1:32" ht="15.75" customHeight="1" thickTop="1" x14ac:dyDescent="0.25">
      <c r="A109" s="140">
        <f>ESCUADRAS!B26</f>
        <v>20</v>
      </c>
      <c r="B109" s="136">
        <f>ESCUADRAS!C26</f>
        <v>0</v>
      </c>
      <c r="C109" s="93"/>
      <c r="D109" s="123"/>
      <c r="E109" s="123"/>
      <c r="F109" s="123"/>
      <c r="G109" s="126"/>
      <c r="H109" s="102"/>
      <c r="I109" s="96"/>
      <c r="J109" s="96"/>
      <c r="K109" s="96"/>
      <c r="L109" s="99"/>
      <c r="M109" s="102"/>
      <c r="N109" s="96"/>
      <c r="O109" s="96"/>
      <c r="P109" s="96"/>
      <c r="Q109" s="99"/>
      <c r="R109" s="102"/>
      <c r="S109" s="96"/>
      <c r="T109" s="96"/>
      <c r="U109" s="96"/>
      <c r="V109" s="99"/>
      <c r="W109" s="111"/>
      <c r="X109" s="105"/>
      <c r="Y109" s="105"/>
      <c r="Z109" s="105"/>
      <c r="AA109" s="108"/>
      <c r="AB109" s="133"/>
    </row>
    <row r="110" spans="1:32" ht="15.75" customHeight="1" x14ac:dyDescent="0.25">
      <c r="A110" s="141"/>
      <c r="B110" s="137"/>
      <c r="C110" s="94"/>
      <c r="D110" s="124"/>
      <c r="E110" s="124"/>
      <c r="F110" s="124"/>
      <c r="G110" s="127"/>
      <c r="H110" s="103"/>
      <c r="I110" s="97"/>
      <c r="J110" s="97"/>
      <c r="K110" s="97"/>
      <c r="L110" s="100"/>
      <c r="M110" s="103"/>
      <c r="N110" s="97"/>
      <c r="O110" s="97"/>
      <c r="P110" s="97"/>
      <c r="Q110" s="100"/>
      <c r="R110" s="103"/>
      <c r="S110" s="97"/>
      <c r="T110" s="97"/>
      <c r="U110" s="97"/>
      <c r="V110" s="100"/>
      <c r="W110" s="112"/>
      <c r="X110" s="106"/>
      <c r="Y110" s="106"/>
      <c r="Z110" s="106"/>
      <c r="AA110" s="109"/>
      <c r="AB110" s="134"/>
    </row>
    <row r="111" spans="1:32" ht="15.75" customHeight="1" thickBot="1" x14ac:dyDescent="0.3">
      <c r="A111" s="142"/>
      <c r="B111" s="138"/>
      <c r="C111" s="95"/>
      <c r="D111" s="125"/>
      <c r="E111" s="125"/>
      <c r="F111" s="125"/>
      <c r="G111" s="128"/>
      <c r="H111" s="104"/>
      <c r="I111" s="98"/>
      <c r="J111" s="98"/>
      <c r="K111" s="98"/>
      <c r="L111" s="101"/>
      <c r="M111" s="104"/>
      <c r="N111" s="98"/>
      <c r="O111" s="98"/>
      <c r="P111" s="98"/>
      <c r="Q111" s="101"/>
      <c r="R111" s="104"/>
      <c r="S111" s="98"/>
      <c r="T111" s="98"/>
      <c r="U111" s="98"/>
      <c r="V111" s="101"/>
      <c r="W111" s="113"/>
      <c r="X111" s="107"/>
      <c r="Y111" s="107"/>
      <c r="Z111" s="107"/>
      <c r="AA111" s="110"/>
      <c r="AB111" s="135"/>
    </row>
    <row r="112" spans="1:32" ht="15.75" customHeight="1" thickTop="1" thickBot="1" x14ac:dyDescent="0.3">
      <c r="A112" s="139">
        <f>ESCUADRAS!B27</f>
        <v>21</v>
      </c>
      <c r="B112" s="136">
        <f>ESCUADRAS!C27</f>
        <v>0</v>
      </c>
      <c r="C112" s="93"/>
      <c r="D112" s="123"/>
      <c r="E112" s="123"/>
      <c r="F112" s="123"/>
      <c r="G112" s="126"/>
      <c r="H112" s="102"/>
      <c r="I112" s="96"/>
      <c r="J112" s="96"/>
      <c r="K112" s="96"/>
      <c r="L112" s="99"/>
      <c r="M112" s="102"/>
      <c r="N112" s="96"/>
      <c r="O112" s="96"/>
      <c r="P112" s="96"/>
      <c r="Q112" s="99"/>
      <c r="R112" s="111"/>
      <c r="S112" s="105"/>
      <c r="T112" s="105"/>
      <c r="U112" s="105"/>
      <c r="V112" s="108"/>
      <c r="W112" s="102"/>
      <c r="X112" s="96"/>
      <c r="Y112" s="96"/>
      <c r="Z112" s="96"/>
      <c r="AA112" s="99"/>
      <c r="AB112" s="133"/>
    </row>
    <row r="113" spans="1:28" ht="15.75" customHeight="1" thickTop="1" thickBot="1" x14ac:dyDescent="0.3">
      <c r="A113" s="139"/>
      <c r="B113" s="137"/>
      <c r="C113" s="94"/>
      <c r="D113" s="124"/>
      <c r="E113" s="124"/>
      <c r="F113" s="124"/>
      <c r="G113" s="127"/>
      <c r="H113" s="103"/>
      <c r="I113" s="97"/>
      <c r="J113" s="97"/>
      <c r="K113" s="97"/>
      <c r="L113" s="100"/>
      <c r="M113" s="103"/>
      <c r="N113" s="97"/>
      <c r="O113" s="97"/>
      <c r="P113" s="97"/>
      <c r="Q113" s="100"/>
      <c r="R113" s="112"/>
      <c r="S113" s="106"/>
      <c r="T113" s="106"/>
      <c r="U113" s="106"/>
      <c r="V113" s="109"/>
      <c r="W113" s="103"/>
      <c r="X113" s="97"/>
      <c r="Y113" s="97"/>
      <c r="Z113" s="97"/>
      <c r="AA113" s="100"/>
      <c r="AB113" s="134"/>
    </row>
    <row r="114" spans="1:28" ht="15.75" customHeight="1" thickTop="1" thickBot="1" x14ac:dyDescent="0.3">
      <c r="A114" s="139"/>
      <c r="B114" s="138"/>
      <c r="C114" s="95"/>
      <c r="D114" s="125"/>
      <c r="E114" s="125"/>
      <c r="F114" s="125"/>
      <c r="G114" s="128"/>
      <c r="H114" s="104"/>
      <c r="I114" s="98"/>
      <c r="J114" s="98"/>
      <c r="K114" s="98"/>
      <c r="L114" s="101"/>
      <c r="M114" s="104"/>
      <c r="N114" s="98"/>
      <c r="O114" s="98"/>
      <c r="P114" s="98"/>
      <c r="Q114" s="101"/>
      <c r="R114" s="113"/>
      <c r="S114" s="107"/>
      <c r="T114" s="107"/>
      <c r="U114" s="107"/>
      <c r="V114" s="110"/>
      <c r="W114" s="104"/>
      <c r="X114" s="98"/>
      <c r="Y114" s="98"/>
      <c r="Z114" s="98"/>
      <c r="AA114" s="101"/>
      <c r="AB114" s="135"/>
    </row>
    <row r="115" spans="1:28" ht="15.75" customHeight="1" thickTop="1" x14ac:dyDescent="0.25">
      <c r="A115" s="140">
        <f>ESCUADRAS!B28</f>
        <v>22</v>
      </c>
      <c r="B115" s="136">
        <f>ESCUADRAS!C28</f>
        <v>0</v>
      </c>
      <c r="C115" s="93"/>
      <c r="D115" s="123"/>
      <c r="E115" s="123"/>
      <c r="F115" s="123"/>
      <c r="G115" s="126"/>
      <c r="H115" s="102"/>
      <c r="I115" s="96"/>
      <c r="J115" s="96"/>
      <c r="K115" s="96"/>
      <c r="L115" s="99"/>
      <c r="M115" s="111"/>
      <c r="N115" s="105"/>
      <c r="O115" s="105"/>
      <c r="P115" s="105"/>
      <c r="Q115" s="108"/>
      <c r="R115" s="102"/>
      <c r="S115" s="96"/>
      <c r="T115" s="96"/>
      <c r="U115" s="96"/>
      <c r="V115" s="99"/>
      <c r="W115" s="102"/>
      <c r="X115" s="96"/>
      <c r="Y115" s="96"/>
      <c r="Z115" s="96"/>
      <c r="AA115" s="99"/>
      <c r="AB115" s="133"/>
    </row>
    <row r="116" spans="1:28" ht="15.75" customHeight="1" x14ac:dyDescent="0.25">
      <c r="A116" s="141"/>
      <c r="B116" s="137"/>
      <c r="C116" s="94"/>
      <c r="D116" s="124"/>
      <c r="E116" s="124"/>
      <c r="F116" s="124"/>
      <c r="G116" s="127"/>
      <c r="H116" s="103"/>
      <c r="I116" s="97"/>
      <c r="J116" s="97"/>
      <c r="K116" s="97"/>
      <c r="L116" s="100"/>
      <c r="M116" s="112"/>
      <c r="N116" s="106"/>
      <c r="O116" s="106"/>
      <c r="P116" s="106"/>
      <c r="Q116" s="109"/>
      <c r="R116" s="103"/>
      <c r="S116" s="97"/>
      <c r="T116" s="97"/>
      <c r="U116" s="97"/>
      <c r="V116" s="100"/>
      <c r="W116" s="103"/>
      <c r="X116" s="97"/>
      <c r="Y116" s="97"/>
      <c r="Z116" s="97"/>
      <c r="AA116" s="100"/>
      <c r="AB116" s="134"/>
    </row>
    <row r="117" spans="1:28" ht="15.75" customHeight="1" thickBot="1" x14ac:dyDescent="0.3">
      <c r="A117" s="142"/>
      <c r="B117" s="138"/>
      <c r="C117" s="95"/>
      <c r="D117" s="125"/>
      <c r="E117" s="125"/>
      <c r="F117" s="125"/>
      <c r="G117" s="128"/>
      <c r="H117" s="104"/>
      <c r="I117" s="98"/>
      <c r="J117" s="98"/>
      <c r="K117" s="98"/>
      <c r="L117" s="101"/>
      <c r="M117" s="113"/>
      <c r="N117" s="107"/>
      <c r="O117" s="107"/>
      <c r="P117" s="107"/>
      <c r="Q117" s="110"/>
      <c r="R117" s="104"/>
      <c r="S117" s="98"/>
      <c r="T117" s="98"/>
      <c r="U117" s="98"/>
      <c r="V117" s="101"/>
      <c r="W117" s="104"/>
      <c r="X117" s="98"/>
      <c r="Y117" s="98"/>
      <c r="Z117" s="98"/>
      <c r="AA117" s="101"/>
      <c r="AB117" s="135"/>
    </row>
    <row r="118" spans="1:28" ht="15.75" customHeight="1" thickTop="1" thickBot="1" x14ac:dyDescent="0.3">
      <c r="A118" s="139">
        <f>ESCUADRAS!B29</f>
        <v>23</v>
      </c>
      <c r="B118" s="136">
        <f>ESCUADRAS!C29</f>
        <v>0</v>
      </c>
      <c r="C118" s="93"/>
      <c r="D118" s="123"/>
      <c r="E118" s="123"/>
      <c r="F118" s="123"/>
      <c r="G118" s="126"/>
      <c r="H118" s="111"/>
      <c r="I118" s="105"/>
      <c r="J118" s="105"/>
      <c r="K118" s="105"/>
      <c r="L118" s="108"/>
      <c r="M118" s="102"/>
      <c r="N118" s="96"/>
      <c r="O118" s="96"/>
      <c r="P118" s="96"/>
      <c r="Q118" s="99"/>
      <c r="R118" s="102"/>
      <c r="S118" s="96"/>
      <c r="T118" s="96"/>
      <c r="U118" s="96"/>
      <c r="V118" s="99"/>
      <c r="W118" s="102"/>
      <c r="X118" s="96"/>
      <c r="Y118" s="96"/>
      <c r="Z118" s="96"/>
      <c r="AA118" s="99"/>
      <c r="AB118" s="133"/>
    </row>
    <row r="119" spans="1:28" ht="15.75" customHeight="1" thickTop="1" thickBot="1" x14ac:dyDescent="0.3">
      <c r="A119" s="139"/>
      <c r="B119" s="137"/>
      <c r="C119" s="94"/>
      <c r="D119" s="124"/>
      <c r="E119" s="124"/>
      <c r="F119" s="124"/>
      <c r="G119" s="127"/>
      <c r="H119" s="112"/>
      <c r="I119" s="106"/>
      <c r="J119" s="106"/>
      <c r="K119" s="106"/>
      <c r="L119" s="109"/>
      <c r="M119" s="103"/>
      <c r="N119" s="97"/>
      <c r="O119" s="97"/>
      <c r="P119" s="97"/>
      <c r="Q119" s="100"/>
      <c r="R119" s="103"/>
      <c r="S119" s="97"/>
      <c r="T119" s="97"/>
      <c r="U119" s="97"/>
      <c r="V119" s="100"/>
      <c r="W119" s="103"/>
      <c r="X119" s="97"/>
      <c r="Y119" s="97"/>
      <c r="Z119" s="97"/>
      <c r="AA119" s="100"/>
      <c r="AB119" s="134"/>
    </row>
    <row r="120" spans="1:28" ht="15.75" customHeight="1" thickTop="1" thickBot="1" x14ac:dyDescent="0.3">
      <c r="A120" s="139"/>
      <c r="B120" s="138"/>
      <c r="C120" s="95"/>
      <c r="D120" s="125"/>
      <c r="E120" s="125"/>
      <c r="F120" s="125"/>
      <c r="G120" s="128"/>
      <c r="H120" s="113"/>
      <c r="I120" s="107"/>
      <c r="J120" s="107"/>
      <c r="K120" s="107"/>
      <c r="L120" s="110"/>
      <c r="M120" s="104"/>
      <c r="N120" s="98"/>
      <c r="O120" s="98"/>
      <c r="P120" s="98"/>
      <c r="Q120" s="101"/>
      <c r="R120" s="104"/>
      <c r="S120" s="98"/>
      <c r="T120" s="98"/>
      <c r="U120" s="98"/>
      <c r="V120" s="101"/>
      <c r="W120" s="104"/>
      <c r="X120" s="98"/>
      <c r="Y120" s="98"/>
      <c r="Z120" s="98"/>
      <c r="AA120" s="101"/>
      <c r="AB120" s="135"/>
    </row>
    <row r="121" spans="1:28" ht="15.75" customHeight="1" thickTop="1" x14ac:dyDescent="0.25">
      <c r="A121" s="140">
        <f>ESCUADRAS!B30</f>
        <v>24</v>
      </c>
      <c r="B121" s="136">
        <f>ESCUADRAS!C30</f>
        <v>0</v>
      </c>
      <c r="C121" s="111"/>
      <c r="D121" s="105"/>
      <c r="E121" s="105"/>
      <c r="F121" s="105"/>
      <c r="G121" s="108"/>
      <c r="H121" s="122"/>
      <c r="I121" s="120"/>
      <c r="J121" s="120"/>
      <c r="K121" s="120"/>
      <c r="L121" s="121"/>
      <c r="M121" s="122"/>
      <c r="N121" s="120"/>
      <c r="O121" s="120"/>
      <c r="P121" s="120"/>
      <c r="Q121" s="121"/>
      <c r="R121" s="122"/>
      <c r="S121" s="120"/>
      <c r="T121" s="120"/>
      <c r="U121" s="120"/>
      <c r="V121" s="121"/>
      <c r="W121" s="122"/>
      <c r="X121" s="120"/>
      <c r="Y121" s="120"/>
      <c r="Z121" s="120"/>
      <c r="AA121" s="121"/>
      <c r="AB121" s="133"/>
    </row>
    <row r="122" spans="1:28" ht="15.75" customHeight="1" x14ac:dyDescent="0.25">
      <c r="A122" s="141"/>
      <c r="B122" s="137"/>
      <c r="C122" s="112"/>
      <c r="D122" s="106"/>
      <c r="E122" s="106"/>
      <c r="F122" s="106"/>
      <c r="G122" s="109"/>
      <c r="H122" s="103"/>
      <c r="I122" s="97"/>
      <c r="J122" s="97"/>
      <c r="K122" s="97"/>
      <c r="L122" s="100"/>
      <c r="M122" s="103"/>
      <c r="N122" s="97"/>
      <c r="O122" s="97"/>
      <c r="P122" s="97"/>
      <c r="Q122" s="100"/>
      <c r="R122" s="103"/>
      <c r="S122" s="97"/>
      <c r="T122" s="97"/>
      <c r="U122" s="97"/>
      <c r="V122" s="100"/>
      <c r="W122" s="103"/>
      <c r="X122" s="97"/>
      <c r="Y122" s="97"/>
      <c r="Z122" s="97"/>
      <c r="AA122" s="100"/>
      <c r="AB122" s="134"/>
    </row>
    <row r="123" spans="1:28" ht="15.75" customHeight="1" thickBot="1" x14ac:dyDescent="0.3">
      <c r="A123" s="142"/>
      <c r="B123" s="138"/>
      <c r="C123" s="113"/>
      <c r="D123" s="107"/>
      <c r="E123" s="107"/>
      <c r="F123" s="107"/>
      <c r="G123" s="110"/>
      <c r="H123" s="104"/>
      <c r="I123" s="98"/>
      <c r="J123" s="98"/>
      <c r="K123" s="98"/>
      <c r="L123" s="101"/>
      <c r="M123" s="104"/>
      <c r="N123" s="98"/>
      <c r="O123" s="98"/>
      <c r="P123" s="98"/>
      <c r="Q123" s="101"/>
      <c r="R123" s="104"/>
      <c r="S123" s="98"/>
      <c r="T123" s="98"/>
      <c r="U123" s="98"/>
      <c r="V123" s="101"/>
      <c r="W123" s="104"/>
      <c r="X123" s="98"/>
      <c r="Y123" s="98"/>
      <c r="Z123" s="98"/>
      <c r="AA123" s="101"/>
      <c r="AB123" s="135"/>
    </row>
    <row r="124" spans="1:28" ht="15" x14ac:dyDescent="0.25">
      <c r="A124" s="28"/>
    </row>
    <row r="125" spans="1:28" ht="15" x14ac:dyDescent="0.25">
      <c r="A125" s="28"/>
      <c r="B125" s="26" t="s">
        <v>35</v>
      </c>
      <c r="E125" s="21" t="s">
        <v>41</v>
      </c>
      <c r="I125" s="21" t="s">
        <v>42</v>
      </c>
      <c r="M125" s="21" t="s">
        <v>43</v>
      </c>
      <c r="Q125" s="21" t="s">
        <v>44</v>
      </c>
      <c r="U125" s="21" t="s">
        <v>45</v>
      </c>
      <c r="Y125" s="21" t="s">
        <v>46</v>
      </c>
    </row>
    <row r="126" spans="1:28" ht="15" x14ac:dyDescent="0.25">
      <c r="A126" s="28"/>
    </row>
    <row r="128" spans="1:28" ht="10.5" customHeight="1" x14ac:dyDescent="0.25"/>
    <row r="130" spans="1:32" ht="24.6" x14ac:dyDescent="0.25">
      <c r="A130" s="144" t="str">
        <f>'INSCRIPCION '!A$1</f>
        <v>TIRADA</v>
      </c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</row>
    <row r="131" spans="1:32" ht="19.5" customHeight="1" x14ac:dyDescent="0.4">
      <c r="A131" s="23"/>
      <c r="B131" s="23"/>
    </row>
    <row r="132" spans="1:32" ht="21.75" customHeight="1" x14ac:dyDescent="0.25">
      <c r="A132" s="132" t="str">
        <f>'INSCRIPCION '!A$2</f>
        <v>CAMPO DE TIRO LA ISLA</v>
      </c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</row>
    <row r="133" spans="1:32" ht="19.5" customHeight="1" x14ac:dyDescent="0.25">
      <c r="A133" s="143" t="str">
        <f>'INSCRIPCION '!A$3</f>
        <v>XXX PLATOS</v>
      </c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</row>
    <row r="134" spans="1:32" ht="22.8" x14ac:dyDescent="0.4">
      <c r="A134" s="24"/>
      <c r="B134" s="24"/>
    </row>
    <row r="135" spans="1:32" ht="17.399999999999999" x14ac:dyDescent="0.3">
      <c r="A135" s="25" t="s">
        <v>13</v>
      </c>
      <c r="B135" s="25"/>
      <c r="J135" s="9" t="s">
        <v>6</v>
      </c>
      <c r="K135" s="9"/>
      <c r="L135" s="9"/>
      <c r="M135" s="9"/>
      <c r="N135" s="9"/>
      <c r="O135" s="22">
        <v>1</v>
      </c>
      <c r="P135" s="22"/>
      <c r="Q135" s="8"/>
      <c r="R135" s="8"/>
      <c r="S135" s="7"/>
      <c r="T135" s="8"/>
      <c r="U135" s="8"/>
      <c r="V135" s="9" t="s">
        <v>7</v>
      </c>
      <c r="W135" s="9"/>
      <c r="X135" s="9"/>
      <c r="Y135" s="9"/>
      <c r="Z135" s="22">
        <v>1</v>
      </c>
      <c r="AA135" s="22"/>
    </row>
    <row r="136" spans="1:32" ht="13.8" thickBot="1" x14ac:dyDescent="0.3"/>
    <row r="137" spans="1:32" ht="15.6" thickBot="1" x14ac:dyDescent="0.3">
      <c r="A137" s="27" t="s">
        <v>0</v>
      </c>
      <c r="B137" s="27" t="s">
        <v>8</v>
      </c>
      <c r="C137" s="47">
        <v>1</v>
      </c>
      <c r="D137" s="48">
        <v>2</v>
      </c>
      <c r="E137" s="48">
        <v>3</v>
      </c>
      <c r="F137" s="48">
        <v>4</v>
      </c>
      <c r="G137" s="49">
        <v>5</v>
      </c>
      <c r="H137" s="47">
        <v>6</v>
      </c>
      <c r="I137" s="48">
        <v>7</v>
      </c>
      <c r="J137" s="48">
        <v>8</v>
      </c>
      <c r="K137" s="48">
        <v>9</v>
      </c>
      <c r="L137" s="49">
        <v>10</v>
      </c>
      <c r="M137" s="47">
        <v>11</v>
      </c>
      <c r="N137" s="48">
        <v>12</v>
      </c>
      <c r="O137" s="48">
        <v>13</v>
      </c>
      <c r="P137" s="48">
        <v>14</v>
      </c>
      <c r="Q137" s="49">
        <v>15</v>
      </c>
      <c r="R137" s="47">
        <v>16</v>
      </c>
      <c r="S137" s="48">
        <v>17</v>
      </c>
      <c r="T137" s="48">
        <v>18</v>
      </c>
      <c r="U137" s="48">
        <v>19</v>
      </c>
      <c r="V137" s="49">
        <v>20</v>
      </c>
      <c r="W137" s="47">
        <v>21</v>
      </c>
      <c r="X137" s="48">
        <v>22</v>
      </c>
      <c r="Y137" s="48">
        <v>23</v>
      </c>
      <c r="Z137" s="48">
        <v>24</v>
      </c>
      <c r="AA137" s="49">
        <v>25</v>
      </c>
      <c r="AB137" s="30" t="s">
        <v>1</v>
      </c>
    </row>
    <row r="138" spans="1:32" ht="15.75" customHeight="1" thickTop="1" thickBot="1" x14ac:dyDescent="0.3">
      <c r="A138" s="139">
        <f>ESCUADRAS!B31</f>
        <v>25</v>
      </c>
      <c r="B138" s="136">
        <f>ESCUADRAS!C31</f>
        <v>0</v>
      </c>
      <c r="C138" s="129"/>
      <c r="D138" s="114"/>
      <c r="E138" s="114"/>
      <c r="F138" s="114"/>
      <c r="G138" s="117"/>
      <c r="H138" s="111"/>
      <c r="I138" s="105"/>
      <c r="J138" s="105"/>
      <c r="K138" s="105"/>
      <c r="L138" s="108"/>
      <c r="M138" s="111"/>
      <c r="N138" s="105"/>
      <c r="O138" s="105"/>
      <c r="P138" s="105"/>
      <c r="Q138" s="108"/>
      <c r="R138" s="111"/>
      <c r="S138" s="105"/>
      <c r="T138" s="105"/>
      <c r="U138" s="105"/>
      <c r="V138" s="108"/>
      <c r="W138" s="111"/>
      <c r="X138" s="105"/>
      <c r="Y138" s="105"/>
      <c r="Z138" s="105"/>
      <c r="AA138" s="108"/>
      <c r="AB138" s="133"/>
    </row>
    <row r="139" spans="1:32" ht="15.75" customHeight="1" thickTop="1" thickBot="1" x14ac:dyDescent="0.3">
      <c r="A139" s="139"/>
      <c r="B139" s="137"/>
      <c r="C139" s="130"/>
      <c r="D139" s="115"/>
      <c r="E139" s="115"/>
      <c r="F139" s="115"/>
      <c r="G139" s="118"/>
      <c r="H139" s="112"/>
      <c r="I139" s="106"/>
      <c r="J139" s="106"/>
      <c r="K139" s="106"/>
      <c r="L139" s="109"/>
      <c r="M139" s="112"/>
      <c r="N139" s="106"/>
      <c r="O139" s="106"/>
      <c r="P139" s="106"/>
      <c r="Q139" s="109"/>
      <c r="R139" s="112"/>
      <c r="S139" s="106"/>
      <c r="T139" s="106"/>
      <c r="U139" s="106"/>
      <c r="V139" s="109"/>
      <c r="W139" s="112"/>
      <c r="X139" s="106"/>
      <c r="Y139" s="106"/>
      <c r="Z139" s="106"/>
      <c r="AA139" s="109"/>
      <c r="AB139" s="134"/>
    </row>
    <row r="140" spans="1:32" ht="15.75" customHeight="1" thickTop="1" thickBot="1" x14ac:dyDescent="0.3">
      <c r="A140" s="139"/>
      <c r="B140" s="138"/>
      <c r="C140" s="131"/>
      <c r="D140" s="116"/>
      <c r="E140" s="116"/>
      <c r="F140" s="116"/>
      <c r="G140" s="119"/>
      <c r="H140" s="113"/>
      <c r="I140" s="107"/>
      <c r="J140" s="107"/>
      <c r="K140" s="107"/>
      <c r="L140" s="110"/>
      <c r="M140" s="113"/>
      <c r="N140" s="107"/>
      <c r="O140" s="107"/>
      <c r="P140" s="107"/>
      <c r="Q140" s="110"/>
      <c r="R140" s="113"/>
      <c r="S140" s="107"/>
      <c r="T140" s="107"/>
      <c r="U140" s="107"/>
      <c r="V140" s="110"/>
      <c r="W140" s="113"/>
      <c r="X140" s="107"/>
      <c r="Y140" s="107"/>
      <c r="Z140" s="107"/>
      <c r="AA140" s="110"/>
      <c r="AB140" s="135"/>
    </row>
    <row r="141" spans="1:32" ht="15.75" customHeight="1" thickTop="1" x14ac:dyDescent="0.25">
      <c r="A141" s="140">
        <f>ESCUADRAS!B32</f>
        <v>26</v>
      </c>
      <c r="B141" s="136">
        <f>ESCUADRAS!C32</f>
        <v>0</v>
      </c>
      <c r="C141" s="93"/>
      <c r="D141" s="123"/>
      <c r="E141" s="123"/>
      <c r="F141" s="123"/>
      <c r="G141" s="126"/>
      <c r="H141" s="102"/>
      <c r="I141" s="96"/>
      <c r="J141" s="96"/>
      <c r="K141" s="96"/>
      <c r="L141" s="99"/>
      <c r="M141" s="102"/>
      <c r="N141" s="96"/>
      <c r="O141" s="96"/>
      <c r="P141" s="96"/>
      <c r="Q141" s="99"/>
      <c r="R141" s="102"/>
      <c r="S141" s="96"/>
      <c r="T141" s="96"/>
      <c r="U141" s="96"/>
      <c r="V141" s="99"/>
      <c r="W141" s="111"/>
      <c r="X141" s="105"/>
      <c r="Y141" s="105"/>
      <c r="Z141" s="105"/>
      <c r="AA141" s="108"/>
      <c r="AB141" s="133"/>
    </row>
    <row r="142" spans="1:32" ht="15.75" customHeight="1" x14ac:dyDescent="0.25">
      <c r="A142" s="141"/>
      <c r="B142" s="137"/>
      <c r="C142" s="94"/>
      <c r="D142" s="124"/>
      <c r="E142" s="124"/>
      <c r="F142" s="124"/>
      <c r="G142" s="127"/>
      <c r="H142" s="103"/>
      <c r="I142" s="97"/>
      <c r="J142" s="97"/>
      <c r="K142" s="97"/>
      <c r="L142" s="100"/>
      <c r="M142" s="103"/>
      <c r="N142" s="97"/>
      <c r="O142" s="97"/>
      <c r="P142" s="97"/>
      <c r="Q142" s="100"/>
      <c r="R142" s="103"/>
      <c r="S142" s="97"/>
      <c r="T142" s="97"/>
      <c r="U142" s="97"/>
      <c r="V142" s="100"/>
      <c r="W142" s="112"/>
      <c r="X142" s="106"/>
      <c r="Y142" s="106"/>
      <c r="Z142" s="106"/>
      <c r="AA142" s="109"/>
      <c r="AB142" s="134"/>
    </row>
    <row r="143" spans="1:32" ht="15.75" customHeight="1" thickBot="1" x14ac:dyDescent="0.3">
      <c r="A143" s="142"/>
      <c r="B143" s="138"/>
      <c r="C143" s="95"/>
      <c r="D143" s="125"/>
      <c r="E143" s="125"/>
      <c r="F143" s="125"/>
      <c r="G143" s="128"/>
      <c r="H143" s="104"/>
      <c r="I143" s="98"/>
      <c r="J143" s="98"/>
      <c r="K143" s="98"/>
      <c r="L143" s="101"/>
      <c r="M143" s="104"/>
      <c r="N143" s="98"/>
      <c r="O143" s="98"/>
      <c r="P143" s="98"/>
      <c r="Q143" s="101"/>
      <c r="R143" s="104"/>
      <c r="S143" s="98"/>
      <c r="T143" s="98"/>
      <c r="U143" s="98"/>
      <c r="V143" s="101"/>
      <c r="W143" s="113"/>
      <c r="X143" s="107"/>
      <c r="Y143" s="107"/>
      <c r="Z143" s="107"/>
      <c r="AA143" s="110"/>
      <c r="AB143" s="135"/>
    </row>
    <row r="144" spans="1:32" ht="15.75" customHeight="1" thickTop="1" thickBot="1" x14ac:dyDescent="0.3">
      <c r="A144" s="139">
        <f>ESCUADRAS!B33</f>
        <v>27</v>
      </c>
      <c r="B144" s="136">
        <f>ESCUADRAS!C33</f>
        <v>0</v>
      </c>
      <c r="C144" s="93"/>
      <c r="D144" s="123"/>
      <c r="E144" s="123"/>
      <c r="F144" s="123"/>
      <c r="G144" s="126"/>
      <c r="H144" s="102"/>
      <c r="I144" s="96"/>
      <c r="J144" s="96"/>
      <c r="K144" s="96"/>
      <c r="L144" s="99"/>
      <c r="M144" s="102"/>
      <c r="N144" s="96"/>
      <c r="O144" s="96"/>
      <c r="P144" s="96"/>
      <c r="Q144" s="99"/>
      <c r="R144" s="111"/>
      <c r="S144" s="105"/>
      <c r="T144" s="105"/>
      <c r="U144" s="105"/>
      <c r="V144" s="108"/>
      <c r="W144" s="102"/>
      <c r="X144" s="96"/>
      <c r="Y144" s="96"/>
      <c r="Z144" s="96"/>
      <c r="AA144" s="99"/>
      <c r="AB144" s="133"/>
    </row>
    <row r="145" spans="1:28" ht="15.75" customHeight="1" thickTop="1" thickBot="1" x14ac:dyDescent="0.3">
      <c r="A145" s="139"/>
      <c r="B145" s="137"/>
      <c r="C145" s="94"/>
      <c r="D145" s="124"/>
      <c r="E145" s="124"/>
      <c r="F145" s="124"/>
      <c r="G145" s="127"/>
      <c r="H145" s="103"/>
      <c r="I145" s="97"/>
      <c r="J145" s="97"/>
      <c r="K145" s="97"/>
      <c r="L145" s="100"/>
      <c r="M145" s="103"/>
      <c r="N145" s="97"/>
      <c r="O145" s="97"/>
      <c r="P145" s="97"/>
      <c r="Q145" s="100"/>
      <c r="R145" s="112"/>
      <c r="S145" s="106"/>
      <c r="T145" s="106"/>
      <c r="U145" s="106"/>
      <c r="V145" s="109"/>
      <c r="W145" s="103"/>
      <c r="X145" s="97"/>
      <c r="Y145" s="97"/>
      <c r="Z145" s="97"/>
      <c r="AA145" s="100"/>
      <c r="AB145" s="134"/>
    </row>
    <row r="146" spans="1:28" ht="15.75" customHeight="1" thickTop="1" thickBot="1" x14ac:dyDescent="0.3">
      <c r="A146" s="139"/>
      <c r="B146" s="138"/>
      <c r="C146" s="95"/>
      <c r="D146" s="125"/>
      <c r="E146" s="125"/>
      <c r="F146" s="125"/>
      <c r="G146" s="128"/>
      <c r="H146" s="104"/>
      <c r="I146" s="98"/>
      <c r="J146" s="98"/>
      <c r="K146" s="98"/>
      <c r="L146" s="101"/>
      <c r="M146" s="104"/>
      <c r="N146" s="98"/>
      <c r="O146" s="98"/>
      <c r="P146" s="98"/>
      <c r="Q146" s="101"/>
      <c r="R146" s="113"/>
      <c r="S146" s="107"/>
      <c r="T146" s="107"/>
      <c r="U146" s="107"/>
      <c r="V146" s="110"/>
      <c r="W146" s="104"/>
      <c r="X146" s="98"/>
      <c r="Y146" s="98"/>
      <c r="Z146" s="98"/>
      <c r="AA146" s="101"/>
      <c r="AB146" s="135"/>
    </row>
    <row r="147" spans="1:28" ht="15.75" customHeight="1" thickTop="1" x14ac:dyDescent="0.25">
      <c r="A147" s="140">
        <f>ESCUADRAS!B34</f>
        <v>28</v>
      </c>
      <c r="B147" s="136">
        <f>ESCUADRAS!C34</f>
        <v>0</v>
      </c>
      <c r="C147" s="93"/>
      <c r="D147" s="123"/>
      <c r="E147" s="123"/>
      <c r="F147" s="123"/>
      <c r="G147" s="126"/>
      <c r="H147" s="102"/>
      <c r="I147" s="96"/>
      <c r="J147" s="96"/>
      <c r="K147" s="96"/>
      <c r="L147" s="99"/>
      <c r="M147" s="111"/>
      <c r="N147" s="105"/>
      <c r="O147" s="105"/>
      <c r="P147" s="105"/>
      <c r="Q147" s="108"/>
      <c r="R147" s="102"/>
      <c r="S147" s="96"/>
      <c r="T147" s="96"/>
      <c r="U147" s="96"/>
      <c r="V147" s="99"/>
      <c r="W147" s="102"/>
      <c r="X147" s="96"/>
      <c r="Y147" s="96"/>
      <c r="Z147" s="96"/>
      <c r="AA147" s="99"/>
      <c r="AB147" s="133"/>
    </row>
    <row r="148" spans="1:28" ht="15.75" customHeight="1" x14ac:dyDescent="0.25">
      <c r="A148" s="141"/>
      <c r="B148" s="137"/>
      <c r="C148" s="94"/>
      <c r="D148" s="124"/>
      <c r="E148" s="124"/>
      <c r="F148" s="124"/>
      <c r="G148" s="127"/>
      <c r="H148" s="103"/>
      <c r="I148" s="97"/>
      <c r="J148" s="97"/>
      <c r="K148" s="97"/>
      <c r="L148" s="100"/>
      <c r="M148" s="112"/>
      <c r="N148" s="106"/>
      <c r="O148" s="106"/>
      <c r="P148" s="106"/>
      <c r="Q148" s="109"/>
      <c r="R148" s="103"/>
      <c r="S148" s="97"/>
      <c r="T148" s="97"/>
      <c r="U148" s="97"/>
      <c r="V148" s="100"/>
      <c r="W148" s="103"/>
      <c r="X148" s="97"/>
      <c r="Y148" s="97"/>
      <c r="Z148" s="97"/>
      <c r="AA148" s="100"/>
      <c r="AB148" s="134"/>
    </row>
    <row r="149" spans="1:28" ht="15.75" customHeight="1" thickBot="1" x14ac:dyDescent="0.3">
      <c r="A149" s="142"/>
      <c r="B149" s="138"/>
      <c r="C149" s="95"/>
      <c r="D149" s="125"/>
      <c r="E149" s="125"/>
      <c r="F149" s="125"/>
      <c r="G149" s="128"/>
      <c r="H149" s="104"/>
      <c r="I149" s="98"/>
      <c r="J149" s="98"/>
      <c r="K149" s="98"/>
      <c r="L149" s="101"/>
      <c r="M149" s="113"/>
      <c r="N149" s="107"/>
      <c r="O149" s="107"/>
      <c r="P149" s="107"/>
      <c r="Q149" s="110"/>
      <c r="R149" s="104"/>
      <c r="S149" s="98"/>
      <c r="T149" s="98"/>
      <c r="U149" s="98"/>
      <c r="V149" s="101"/>
      <c r="W149" s="104"/>
      <c r="X149" s="98"/>
      <c r="Y149" s="98"/>
      <c r="Z149" s="98"/>
      <c r="AA149" s="101"/>
      <c r="AB149" s="135"/>
    </row>
    <row r="150" spans="1:28" ht="15.75" customHeight="1" thickTop="1" thickBot="1" x14ac:dyDescent="0.3">
      <c r="A150" s="139">
        <f>ESCUADRAS!B35</f>
        <v>29</v>
      </c>
      <c r="B150" s="136">
        <f>ESCUADRAS!C35</f>
        <v>0</v>
      </c>
      <c r="C150" s="93"/>
      <c r="D150" s="123"/>
      <c r="E150" s="123"/>
      <c r="F150" s="123"/>
      <c r="G150" s="126"/>
      <c r="H150" s="111"/>
      <c r="I150" s="105"/>
      <c r="J150" s="105"/>
      <c r="K150" s="105"/>
      <c r="L150" s="108"/>
      <c r="M150" s="102"/>
      <c r="N150" s="96"/>
      <c r="O150" s="96"/>
      <c r="P150" s="96"/>
      <c r="Q150" s="99"/>
      <c r="R150" s="102"/>
      <c r="S150" s="96"/>
      <c r="T150" s="96"/>
      <c r="U150" s="96"/>
      <c r="V150" s="99"/>
      <c r="W150" s="102"/>
      <c r="X150" s="96"/>
      <c r="Y150" s="96"/>
      <c r="Z150" s="96"/>
      <c r="AA150" s="99"/>
      <c r="AB150" s="133"/>
    </row>
    <row r="151" spans="1:28" ht="15.75" customHeight="1" thickTop="1" thickBot="1" x14ac:dyDescent="0.3">
      <c r="A151" s="139"/>
      <c r="B151" s="137"/>
      <c r="C151" s="94"/>
      <c r="D151" s="124"/>
      <c r="E151" s="124"/>
      <c r="F151" s="124"/>
      <c r="G151" s="127"/>
      <c r="H151" s="112"/>
      <c r="I151" s="106"/>
      <c r="J151" s="106"/>
      <c r="K151" s="106"/>
      <c r="L151" s="109"/>
      <c r="M151" s="103"/>
      <c r="N151" s="97"/>
      <c r="O151" s="97"/>
      <c r="P151" s="97"/>
      <c r="Q151" s="100"/>
      <c r="R151" s="103"/>
      <c r="S151" s="97"/>
      <c r="T151" s="97"/>
      <c r="U151" s="97"/>
      <c r="V151" s="100"/>
      <c r="W151" s="103"/>
      <c r="X151" s="97"/>
      <c r="Y151" s="97"/>
      <c r="Z151" s="97"/>
      <c r="AA151" s="100"/>
      <c r="AB151" s="134"/>
    </row>
    <row r="152" spans="1:28" ht="15.75" customHeight="1" thickTop="1" thickBot="1" x14ac:dyDescent="0.3">
      <c r="A152" s="139"/>
      <c r="B152" s="138"/>
      <c r="C152" s="95"/>
      <c r="D152" s="125"/>
      <c r="E152" s="125"/>
      <c r="F152" s="125"/>
      <c r="G152" s="128"/>
      <c r="H152" s="113"/>
      <c r="I152" s="107"/>
      <c r="J152" s="107"/>
      <c r="K152" s="107"/>
      <c r="L152" s="110"/>
      <c r="M152" s="104"/>
      <c r="N152" s="98"/>
      <c r="O152" s="98"/>
      <c r="P152" s="98"/>
      <c r="Q152" s="101"/>
      <c r="R152" s="104"/>
      <c r="S152" s="98"/>
      <c r="T152" s="98"/>
      <c r="U152" s="98"/>
      <c r="V152" s="101"/>
      <c r="W152" s="104"/>
      <c r="X152" s="98"/>
      <c r="Y152" s="98"/>
      <c r="Z152" s="98"/>
      <c r="AA152" s="101"/>
      <c r="AB152" s="135"/>
    </row>
    <row r="153" spans="1:28" ht="15.75" customHeight="1" thickTop="1" x14ac:dyDescent="0.25">
      <c r="A153" s="140">
        <f>ESCUADRAS!B36</f>
        <v>30</v>
      </c>
      <c r="B153" s="136">
        <f>ESCUADRAS!C36</f>
        <v>0</v>
      </c>
      <c r="C153" s="111"/>
      <c r="D153" s="105"/>
      <c r="E153" s="105"/>
      <c r="F153" s="105"/>
      <c r="G153" s="108"/>
      <c r="H153" s="122"/>
      <c r="I153" s="120"/>
      <c r="J153" s="120"/>
      <c r="K153" s="120"/>
      <c r="L153" s="121"/>
      <c r="M153" s="122"/>
      <c r="N153" s="120"/>
      <c r="O153" s="120"/>
      <c r="P153" s="120"/>
      <c r="Q153" s="121"/>
      <c r="R153" s="122"/>
      <c r="S153" s="120"/>
      <c r="T153" s="120"/>
      <c r="U153" s="120"/>
      <c r="V153" s="121"/>
      <c r="W153" s="122"/>
      <c r="X153" s="120"/>
      <c r="Y153" s="120"/>
      <c r="Z153" s="120"/>
      <c r="AA153" s="121"/>
      <c r="AB153" s="133"/>
    </row>
    <row r="154" spans="1:28" ht="15.75" customHeight="1" x14ac:dyDescent="0.25">
      <c r="A154" s="141"/>
      <c r="B154" s="137"/>
      <c r="C154" s="112"/>
      <c r="D154" s="106"/>
      <c r="E154" s="106"/>
      <c r="F154" s="106"/>
      <c r="G154" s="109"/>
      <c r="H154" s="103"/>
      <c r="I154" s="97"/>
      <c r="J154" s="97"/>
      <c r="K154" s="97"/>
      <c r="L154" s="100"/>
      <c r="M154" s="103"/>
      <c r="N154" s="97"/>
      <c r="O154" s="97"/>
      <c r="P154" s="97"/>
      <c r="Q154" s="100"/>
      <c r="R154" s="103"/>
      <c r="S154" s="97"/>
      <c r="T154" s="97"/>
      <c r="U154" s="97"/>
      <c r="V154" s="100"/>
      <c r="W154" s="103"/>
      <c r="X154" s="97"/>
      <c r="Y154" s="97"/>
      <c r="Z154" s="97"/>
      <c r="AA154" s="100"/>
      <c r="AB154" s="134"/>
    </row>
    <row r="155" spans="1:28" ht="15.75" customHeight="1" thickBot="1" x14ac:dyDescent="0.3">
      <c r="A155" s="142"/>
      <c r="B155" s="138"/>
      <c r="C155" s="113"/>
      <c r="D155" s="107"/>
      <c r="E155" s="107"/>
      <c r="F155" s="107"/>
      <c r="G155" s="110"/>
      <c r="H155" s="104"/>
      <c r="I155" s="98"/>
      <c r="J155" s="98"/>
      <c r="K155" s="98"/>
      <c r="L155" s="101"/>
      <c r="M155" s="104"/>
      <c r="N155" s="98"/>
      <c r="O155" s="98"/>
      <c r="P155" s="98"/>
      <c r="Q155" s="101"/>
      <c r="R155" s="104"/>
      <c r="S155" s="98"/>
      <c r="T155" s="98"/>
      <c r="U155" s="98"/>
      <c r="V155" s="101"/>
      <c r="W155" s="104"/>
      <c r="X155" s="98"/>
      <c r="Y155" s="98"/>
      <c r="Z155" s="98"/>
      <c r="AA155" s="101"/>
      <c r="AB155" s="135"/>
    </row>
    <row r="156" spans="1:28" ht="15" x14ac:dyDescent="0.25">
      <c r="A156" s="28"/>
    </row>
    <row r="157" spans="1:28" ht="15" x14ac:dyDescent="0.25">
      <c r="A157" s="28"/>
      <c r="B157" s="26" t="s">
        <v>35</v>
      </c>
      <c r="E157" s="21" t="s">
        <v>41</v>
      </c>
      <c r="I157" s="21" t="s">
        <v>42</v>
      </c>
      <c r="M157" s="21" t="s">
        <v>43</v>
      </c>
      <c r="Q157" s="21" t="s">
        <v>44</v>
      </c>
      <c r="U157" s="21" t="s">
        <v>45</v>
      </c>
      <c r="Y157" s="21" t="s">
        <v>46</v>
      </c>
    </row>
    <row r="158" spans="1:28" ht="15" x14ac:dyDescent="0.25">
      <c r="A158" s="28"/>
    </row>
    <row r="160" spans="1:28" ht="10.5" customHeight="1" x14ac:dyDescent="0.25"/>
    <row r="162" spans="1:32" ht="24.6" x14ac:dyDescent="0.25">
      <c r="A162" s="144" t="str">
        <f>'INSCRIPCION '!A$1</f>
        <v>TIRADA</v>
      </c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</row>
    <row r="163" spans="1:32" ht="19.5" customHeight="1" x14ac:dyDescent="0.4">
      <c r="A163" s="23"/>
      <c r="B163" s="23"/>
    </row>
    <row r="164" spans="1:32" ht="22.5" customHeight="1" x14ac:dyDescent="0.25">
      <c r="A164" s="132" t="str">
        <f>'INSCRIPCION '!A$2</f>
        <v>CAMPO DE TIRO LA ISLA</v>
      </c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</row>
    <row r="165" spans="1:32" ht="19.5" customHeight="1" x14ac:dyDescent="0.25">
      <c r="A165" s="143" t="str">
        <f>'INSCRIPCION '!A$3</f>
        <v>XXX PLATOS</v>
      </c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</row>
    <row r="166" spans="1:32" ht="22.8" x14ac:dyDescent="0.4">
      <c r="A166" s="24"/>
      <c r="B166" s="24"/>
    </row>
    <row r="167" spans="1:32" ht="17.399999999999999" x14ac:dyDescent="0.3">
      <c r="A167" s="25" t="s">
        <v>14</v>
      </c>
      <c r="B167" s="25"/>
      <c r="J167" s="9" t="s">
        <v>6</v>
      </c>
      <c r="K167" s="9"/>
      <c r="L167" s="9"/>
      <c r="M167" s="9"/>
      <c r="N167" s="9"/>
      <c r="O167" s="22">
        <v>2</v>
      </c>
      <c r="P167" s="22"/>
      <c r="Q167" s="8"/>
      <c r="R167" s="8"/>
      <c r="S167" s="7"/>
      <c r="T167" s="8"/>
      <c r="U167" s="8"/>
      <c r="V167" s="9" t="s">
        <v>7</v>
      </c>
      <c r="W167" s="9"/>
      <c r="X167" s="9"/>
      <c r="Y167" s="9"/>
      <c r="Z167" s="22">
        <v>1</v>
      </c>
      <c r="AA167" s="22"/>
    </row>
    <row r="168" spans="1:32" ht="13.8" thickBot="1" x14ac:dyDescent="0.3"/>
    <row r="169" spans="1:32" ht="15.6" thickBot="1" x14ac:dyDescent="0.3">
      <c r="A169" s="27" t="s">
        <v>0</v>
      </c>
      <c r="B169" s="27" t="s">
        <v>8</v>
      </c>
      <c r="C169" s="47">
        <v>1</v>
      </c>
      <c r="D169" s="48">
        <v>2</v>
      </c>
      <c r="E169" s="48">
        <v>3</v>
      </c>
      <c r="F169" s="48">
        <v>4</v>
      </c>
      <c r="G169" s="49">
        <v>5</v>
      </c>
      <c r="H169" s="47">
        <v>6</v>
      </c>
      <c r="I169" s="48">
        <v>7</v>
      </c>
      <c r="J169" s="48">
        <v>8</v>
      </c>
      <c r="K169" s="48">
        <v>9</v>
      </c>
      <c r="L169" s="49">
        <v>10</v>
      </c>
      <c r="M169" s="47">
        <v>11</v>
      </c>
      <c r="N169" s="48">
        <v>12</v>
      </c>
      <c r="O169" s="48">
        <v>13</v>
      </c>
      <c r="P169" s="48">
        <v>14</v>
      </c>
      <c r="Q169" s="49">
        <v>15</v>
      </c>
      <c r="R169" s="47">
        <v>16</v>
      </c>
      <c r="S169" s="48">
        <v>17</v>
      </c>
      <c r="T169" s="48">
        <v>18</v>
      </c>
      <c r="U169" s="48">
        <v>19</v>
      </c>
      <c r="V169" s="49">
        <v>20</v>
      </c>
      <c r="W169" s="47">
        <v>21</v>
      </c>
      <c r="X169" s="48">
        <v>22</v>
      </c>
      <c r="Y169" s="48">
        <v>23</v>
      </c>
      <c r="Z169" s="48">
        <v>24</v>
      </c>
      <c r="AA169" s="49">
        <v>25</v>
      </c>
      <c r="AB169" s="30" t="s">
        <v>1</v>
      </c>
    </row>
    <row r="170" spans="1:32" ht="15.75" customHeight="1" thickTop="1" thickBot="1" x14ac:dyDescent="0.3">
      <c r="A170" s="139">
        <f>ESCUADRAS!B37</f>
        <v>31</v>
      </c>
      <c r="B170" s="136">
        <f>ESCUADRAS!C37</f>
        <v>0</v>
      </c>
      <c r="C170" s="129"/>
      <c r="D170" s="114"/>
      <c r="E170" s="114"/>
      <c r="F170" s="114"/>
      <c r="G170" s="117"/>
      <c r="H170" s="111"/>
      <c r="I170" s="105"/>
      <c r="J170" s="105"/>
      <c r="K170" s="105"/>
      <c r="L170" s="108"/>
      <c r="M170" s="111"/>
      <c r="N170" s="105"/>
      <c r="O170" s="105"/>
      <c r="P170" s="105"/>
      <c r="Q170" s="108"/>
      <c r="R170" s="111"/>
      <c r="S170" s="105"/>
      <c r="T170" s="105"/>
      <c r="U170" s="105"/>
      <c r="V170" s="108"/>
      <c r="W170" s="111"/>
      <c r="X170" s="105"/>
      <c r="Y170" s="105"/>
      <c r="Z170" s="105"/>
      <c r="AA170" s="108"/>
      <c r="AB170" s="133"/>
    </row>
    <row r="171" spans="1:32" ht="15.75" customHeight="1" thickTop="1" thickBot="1" x14ac:dyDescent="0.3">
      <c r="A171" s="139"/>
      <c r="B171" s="137"/>
      <c r="C171" s="130"/>
      <c r="D171" s="115"/>
      <c r="E171" s="115"/>
      <c r="F171" s="115"/>
      <c r="G171" s="118"/>
      <c r="H171" s="112"/>
      <c r="I171" s="106"/>
      <c r="J171" s="106"/>
      <c r="K171" s="106"/>
      <c r="L171" s="109"/>
      <c r="M171" s="112"/>
      <c r="N171" s="106"/>
      <c r="O171" s="106"/>
      <c r="P171" s="106"/>
      <c r="Q171" s="109"/>
      <c r="R171" s="112"/>
      <c r="S171" s="106"/>
      <c r="T171" s="106"/>
      <c r="U171" s="106"/>
      <c r="V171" s="109"/>
      <c r="W171" s="112"/>
      <c r="X171" s="106"/>
      <c r="Y171" s="106"/>
      <c r="Z171" s="106"/>
      <c r="AA171" s="109"/>
      <c r="AB171" s="134"/>
    </row>
    <row r="172" spans="1:32" ht="15.75" customHeight="1" thickTop="1" thickBot="1" x14ac:dyDescent="0.3">
      <c r="A172" s="139"/>
      <c r="B172" s="138"/>
      <c r="C172" s="131"/>
      <c r="D172" s="116"/>
      <c r="E172" s="116"/>
      <c r="F172" s="116"/>
      <c r="G172" s="119"/>
      <c r="H172" s="113"/>
      <c r="I172" s="107"/>
      <c r="J172" s="107"/>
      <c r="K172" s="107"/>
      <c r="L172" s="110"/>
      <c r="M172" s="113"/>
      <c r="N172" s="107"/>
      <c r="O172" s="107"/>
      <c r="P172" s="107"/>
      <c r="Q172" s="110"/>
      <c r="R172" s="113"/>
      <c r="S172" s="107"/>
      <c r="T172" s="107"/>
      <c r="U172" s="107"/>
      <c r="V172" s="110"/>
      <c r="W172" s="113"/>
      <c r="X172" s="107"/>
      <c r="Y172" s="107"/>
      <c r="Z172" s="107"/>
      <c r="AA172" s="110"/>
      <c r="AB172" s="135"/>
    </row>
    <row r="173" spans="1:32" ht="15.75" customHeight="1" thickTop="1" x14ac:dyDescent="0.25">
      <c r="A173" s="140">
        <f>ESCUADRAS!B38</f>
        <v>32</v>
      </c>
      <c r="B173" s="136">
        <f>ESCUADRAS!C38</f>
        <v>0</v>
      </c>
      <c r="C173" s="93"/>
      <c r="D173" s="123"/>
      <c r="E173" s="123"/>
      <c r="F173" s="123"/>
      <c r="G173" s="126"/>
      <c r="H173" s="102"/>
      <c r="I173" s="96"/>
      <c r="J173" s="96"/>
      <c r="K173" s="96"/>
      <c r="L173" s="99"/>
      <c r="M173" s="102"/>
      <c r="N173" s="96"/>
      <c r="O173" s="96"/>
      <c r="P173" s="96"/>
      <c r="Q173" s="99"/>
      <c r="R173" s="102"/>
      <c r="S173" s="96"/>
      <c r="T173" s="96"/>
      <c r="U173" s="96"/>
      <c r="V173" s="99"/>
      <c r="W173" s="111"/>
      <c r="X173" s="105"/>
      <c r="Y173" s="105"/>
      <c r="Z173" s="105"/>
      <c r="AA173" s="108"/>
      <c r="AB173" s="133"/>
    </row>
    <row r="174" spans="1:32" ht="15.75" customHeight="1" x14ac:dyDescent="0.25">
      <c r="A174" s="141"/>
      <c r="B174" s="137"/>
      <c r="C174" s="94"/>
      <c r="D174" s="124"/>
      <c r="E174" s="124"/>
      <c r="F174" s="124"/>
      <c r="G174" s="127"/>
      <c r="H174" s="103"/>
      <c r="I174" s="97"/>
      <c r="J174" s="97"/>
      <c r="K174" s="97"/>
      <c r="L174" s="100"/>
      <c r="M174" s="103"/>
      <c r="N174" s="97"/>
      <c r="O174" s="97"/>
      <c r="P174" s="97"/>
      <c r="Q174" s="100"/>
      <c r="R174" s="103"/>
      <c r="S174" s="97"/>
      <c r="T174" s="97"/>
      <c r="U174" s="97"/>
      <c r="V174" s="100"/>
      <c r="W174" s="112"/>
      <c r="X174" s="106"/>
      <c r="Y174" s="106"/>
      <c r="Z174" s="106"/>
      <c r="AA174" s="109"/>
      <c r="AB174" s="134"/>
    </row>
    <row r="175" spans="1:32" ht="15.75" customHeight="1" thickBot="1" x14ac:dyDescent="0.3">
      <c r="A175" s="142"/>
      <c r="B175" s="138"/>
      <c r="C175" s="95"/>
      <c r="D175" s="125"/>
      <c r="E175" s="125"/>
      <c r="F175" s="125"/>
      <c r="G175" s="128"/>
      <c r="H175" s="104"/>
      <c r="I175" s="98"/>
      <c r="J175" s="98"/>
      <c r="K175" s="98"/>
      <c r="L175" s="101"/>
      <c r="M175" s="104"/>
      <c r="N175" s="98"/>
      <c r="O175" s="98"/>
      <c r="P175" s="98"/>
      <c r="Q175" s="101"/>
      <c r="R175" s="104"/>
      <c r="S175" s="98"/>
      <c r="T175" s="98"/>
      <c r="U175" s="98"/>
      <c r="V175" s="101"/>
      <c r="W175" s="113"/>
      <c r="X175" s="107"/>
      <c r="Y175" s="107"/>
      <c r="Z175" s="107"/>
      <c r="AA175" s="110"/>
      <c r="AB175" s="135"/>
    </row>
    <row r="176" spans="1:32" ht="15.75" customHeight="1" thickTop="1" thickBot="1" x14ac:dyDescent="0.3">
      <c r="A176" s="139">
        <f>ESCUADRAS!B39</f>
        <v>33</v>
      </c>
      <c r="B176" s="136">
        <f>ESCUADRAS!C39</f>
        <v>0</v>
      </c>
      <c r="C176" s="93"/>
      <c r="D176" s="123"/>
      <c r="E176" s="123"/>
      <c r="F176" s="123"/>
      <c r="G176" s="126"/>
      <c r="H176" s="102"/>
      <c r="I176" s="96"/>
      <c r="J176" s="96"/>
      <c r="K176" s="96"/>
      <c r="L176" s="99"/>
      <c r="M176" s="102"/>
      <c r="N176" s="96"/>
      <c r="O176" s="96"/>
      <c r="P176" s="96"/>
      <c r="Q176" s="99"/>
      <c r="R176" s="111"/>
      <c r="S176" s="105"/>
      <c r="T176" s="105"/>
      <c r="U176" s="105"/>
      <c r="V176" s="108"/>
      <c r="W176" s="102"/>
      <c r="X176" s="96"/>
      <c r="Y176" s="96"/>
      <c r="Z176" s="96"/>
      <c r="AA176" s="99"/>
      <c r="AB176" s="133"/>
    </row>
    <row r="177" spans="1:28" ht="15.75" customHeight="1" thickTop="1" thickBot="1" x14ac:dyDescent="0.3">
      <c r="A177" s="139"/>
      <c r="B177" s="137"/>
      <c r="C177" s="94"/>
      <c r="D177" s="124"/>
      <c r="E177" s="124"/>
      <c r="F177" s="124"/>
      <c r="G177" s="127"/>
      <c r="H177" s="103"/>
      <c r="I177" s="97"/>
      <c r="J177" s="97"/>
      <c r="K177" s="97"/>
      <c r="L177" s="100"/>
      <c r="M177" s="103"/>
      <c r="N177" s="97"/>
      <c r="O177" s="97"/>
      <c r="P177" s="97"/>
      <c r="Q177" s="100"/>
      <c r="R177" s="112"/>
      <c r="S177" s="106"/>
      <c r="T177" s="106"/>
      <c r="U177" s="106"/>
      <c r="V177" s="109"/>
      <c r="W177" s="103"/>
      <c r="X177" s="97"/>
      <c r="Y177" s="97"/>
      <c r="Z177" s="97"/>
      <c r="AA177" s="100"/>
      <c r="AB177" s="134"/>
    </row>
    <row r="178" spans="1:28" ht="15.75" customHeight="1" thickTop="1" thickBot="1" x14ac:dyDescent="0.3">
      <c r="A178" s="139"/>
      <c r="B178" s="138"/>
      <c r="C178" s="95"/>
      <c r="D178" s="125"/>
      <c r="E178" s="125"/>
      <c r="F178" s="125"/>
      <c r="G178" s="128"/>
      <c r="H178" s="104"/>
      <c r="I178" s="98"/>
      <c r="J178" s="98"/>
      <c r="K178" s="98"/>
      <c r="L178" s="101"/>
      <c r="M178" s="104"/>
      <c r="N178" s="98"/>
      <c r="O178" s="98"/>
      <c r="P178" s="98"/>
      <c r="Q178" s="101"/>
      <c r="R178" s="113"/>
      <c r="S178" s="107"/>
      <c r="T178" s="107"/>
      <c r="U178" s="107"/>
      <c r="V178" s="110"/>
      <c r="W178" s="104"/>
      <c r="X178" s="98"/>
      <c r="Y178" s="98"/>
      <c r="Z178" s="98"/>
      <c r="AA178" s="101"/>
      <c r="AB178" s="135"/>
    </row>
    <row r="179" spans="1:28" ht="15.75" customHeight="1" thickTop="1" x14ac:dyDescent="0.25">
      <c r="A179" s="140">
        <f>ESCUADRAS!B40</f>
        <v>34</v>
      </c>
      <c r="B179" s="136">
        <f>ESCUADRAS!C40</f>
        <v>0</v>
      </c>
      <c r="C179" s="93"/>
      <c r="D179" s="123"/>
      <c r="E179" s="123"/>
      <c r="F179" s="123"/>
      <c r="G179" s="126"/>
      <c r="H179" s="102"/>
      <c r="I179" s="96"/>
      <c r="J179" s="96"/>
      <c r="K179" s="96"/>
      <c r="L179" s="99"/>
      <c r="M179" s="111"/>
      <c r="N179" s="105"/>
      <c r="O179" s="105"/>
      <c r="P179" s="105"/>
      <c r="Q179" s="108"/>
      <c r="R179" s="102"/>
      <c r="S179" s="96"/>
      <c r="T179" s="96"/>
      <c r="U179" s="96"/>
      <c r="V179" s="99"/>
      <c r="W179" s="102"/>
      <c r="X179" s="96"/>
      <c r="Y179" s="96"/>
      <c r="Z179" s="96"/>
      <c r="AA179" s="99"/>
      <c r="AB179" s="133"/>
    </row>
    <row r="180" spans="1:28" ht="15.75" customHeight="1" x14ac:dyDescent="0.25">
      <c r="A180" s="141"/>
      <c r="B180" s="137"/>
      <c r="C180" s="94"/>
      <c r="D180" s="124"/>
      <c r="E180" s="124"/>
      <c r="F180" s="124"/>
      <c r="G180" s="127"/>
      <c r="H180" s="103"/>
      <c r="I180" s="97"/>
      <c r="J180" s="97"/>
      <c r="K180" s="97"/>
      <c r="L180" s="100"/>
      <c r="M180" s="112"/>
      <c r="N180" s="106"/>
      <c r="O180" s="106"/>
      <c r="P180" s="106"/>
      <c r="Q180" s="109"/>
      <c r="R180" s="103"/>
      <c r="S180" s="97"/>
      <c r="T180" s="97"/>
      <c r="U180" s="97"/>
      <c r="V180" s="100"/>
      <c r="W180" s="103"/>
      <c r="X180" s="97"/>
      <c r="Y180" s="97"/>
      <c r="Z180" s="97"/>
      <c r="AA180" s="100"/>
      <c r="AB180" s="134"/>
    </row>
    <row r="181" spans="1:28" ht="15.75" customHeight="1" thickBot="1" x14ac:dyDescent="0.3">
      <c r="A181" s="142"/>
      <c r="B181" s="138"/>
      <c r="C181" s="95"/>
      <c r="D181" s="125"/>
      <c r="E181" s="125"/>
      <c r="F181" s="125"/>
      <c r="G181" s="128"/>
      <c r="H181" s="104"/>
      <c r="I181" s="98"/>
      <c r="J181" s="98"/>
      <c r="K181" s="98"/>
      <c r="L181" s="101"/>
      <c r="M181" s="113"/>
      <c r="N181" s="107"/>
      <c r="O181" s="107"/>
      <c r="P181" s="107"/>
      <c r="Q181" s="110"/>
      <c r="R181" s="104"/>
      <c r="S181" s="98"/>
      <c r="T181" s="98"/>
      <c r="U181" s="98"/>
      <c r="V181" s="101"/>
      <c r="W181" s="104"/>
      <c r="X181" s="98"/>
      <c r="Y181" s="98"/>
      <c r="Z181" s="98"/>
      <c r="AA181" s="101"/>
      <c r="AB181" s="135"/>
    </row>
    <row r="182" spans="1:28" ht="15.75" customHeight="1" thickTop="1" thickBot="1" x14ac:dyDescent="0.3">
      <c r="A182" s="139">
        <f>ESCUADRAS!B41</f>
        <v>35</v>
      </c>
      <c r="B182" s="136">
        <f>ESCUADRAS!C41</f>
        <v>0</v>
      </c>
      <c r="C182" s="93"/>
      <c r="D182" s="123"/>
      <c r="E182" s="123"/>
      <c r="F182" s="123"/>
      <c r="G182" s="126"/>
      <c r="H182" s="111"/>
      <c r="I182" s="105"/>
      <c r="J182" s="105"/>
      <c r="K182" s="105"/>
      <c r="L182" s="108"/>
      <c r="M182" s="102"/>
      <c r="N182" s="96"/>
      <c r="O182" s="96"/>
      <c r="P182" s="96"/>
      <c r="Q182" s="99"/>
      <c r="R182" s="102"/>
      <c r="S182" s="96"/>
      <c r="T182" s="96"/>
      <c r="U182" s="96"/>
      <c r="V182" s="99"/>
      <c r="W182" s="102"/>
      <c r="X182" s="96"/>
      <c r="Y182" s="96"/>
      <c r="Z182" s="96"/>
      <c r="AA182" s="99"/>
      <c r="AB182" s="133"/>
    </row>
    <row r="183" spans="1:28" ht="15.75" customHeight="1" thickTop="1" thickBot="1" x14ac:dyDescent="0.3">
      <c r="A183" s="139"/>
      <c r="B183" s="137"/>
      <c r="C183" s="94"/>
      <c r="D183" s="124"/>
      <c r="E183" s="124"/>
      <c r="F183" s="124"/>
      <c r="G183" s="127"/>
      <c r="H183" s="112"/>
      <c r="I183" s="106"/>
      <c r="J183" s="106"/>
      <c r="K183" s="106"/>
      <c r="L183" s="109"/>
      <c r="M183" s="103"/>
      <c r="N183" s="97"/>
      <c r="O183" s="97"/>
      <c r="P183" s="97"/>
      <c r="Q183" s="100"/>
      <c r="R183" s="103"/>
      <c r="S183" s="97"/>
      <c r="T183" s="97"/>
      <c r="U183" s="97"/>
      <c r="V183" s="100"/>
      <c r="W183" s="103"/>
      <c r="X183" s="97"/>
      <c r="Y183" s="97"/>
      <c r="Z183" s="97"/>
      <c r="AA183" s="100"/>
      <c r="AB183" s="134"/>
    </row>
    <row r="184" spans="1:28" ht="15.75" customHeight="1" thickTop="1" thickBot="1" x14ac:dyDescent="0.3">
      <c r="A184" s="139"/>
      <c r="B184" s="138"/>
      <c r="C184" s="95"/>
      <c r="D184" s="125"/>
      <c r="E184" s="125"/>
      <c r="F184" s="125"/>
      <c r="G184" s="128"/>
      <c r="H184" s="113"/>
      <c r="I184" s="107"/>
      <c r="J184" s="107"/>
      <c r="K184" s="107"/>
      <c r="L184" s="110"/>
      <c r="M184" s="104"/>
      <c r="N184" s="98"/>
      <c r="O184" s="98"/>
      <c r="P184" s="98"/>
      <c r="Q184" s="101"/>
      <c r="R184" s="104"/>
      <c r="S184" s="98"/>
      <c r="T184" s="98"/>
      <c r="U184" s="98"/>
      <c r="V184" s="101"/>
      <c r="W184" s="104"/>
      <c r="X184" s="98"/>
      <c r="Y184" s="98"/>
      <c r="Z184" s="98"/>
      <c r="AA184" s="101"/>
      <c r="AB184" s="135"/>
    </row>
    <row r="185" spans="1:28" ht="15.75" customHeight="1" thickTop="1" x14ac:dyDescent="0.25">
      <c r="A185" s="140">
        <f>ESCUADRAS!B42</f>
        <v>36</v>
      </c>
      <c r="B185" s="136">
        <f>ESCUADRAS!C42</f>
        <v>0</v>
      </c>
      <c r="C185" s="111"/>
      <c r="D185" s="105"/>
      <c r="E185" s="105"/>
      <c r="F185" s="105"/>
      <c r="G185" s="108"/>
      <c r="H185" s="122"/>
      <c r="I185" s="120"/>
      <c r="J185" s="120"/>
      <c r="K185" s="120"/>
      <c r="L185" s="121"/>
      <c r="M185" s="122"/>
      <c r="N185" s="120"/>
      <c r="O185" s="120"/>
      <c r="P185" s="120"/>
      <c r="Q185" s="121"/>
      <c r="R185" s="122"/>
      <c r="S185" s="120"/>
      <c r="T185" s="120"/>
      <c r="U185" s="120"/>
      <c r="V185" s="121"/>
      <c r="W185" s="122"/>
      <c r="X185" s="120"/>
      <c r="Y185" s="120"/>
      <c r="Z185" s="120"/>
      <c r="AA185" s="121"/>
      <c r="AB185" s="133"/>
    </row>
    <row r="186" spans="1:28" ht="15.75" customHeight="1" x14ac:dyDescent="0.25">
      <c r="A186" s="141"/>
      <c r="B186" s="137"/>
      <c r="C186" s="112"/>
      <c r="D186" s="106"/>
      <c r="E186" s="106"/>
      <c r="F186" s="106"/>
      <c r="G186" s="109"/>
      <c r="H186" s="103"/>
      <c r="I186" s="97"/>
      <c r="J186" s="97"/>
      <c r="K186" s="97"/>
      <c r="L186" s="100"/>
      <c r="M186" s="103"/>
      <c r="N186" s="97"/>
      <c r="O186" s="97"/>
      <c r="P186" s="97"/>
      <c r="Q186" s="100"/>
      <c r="R186" s="103"/>
      <c r="S186" s="97"/>
      <c r="T186" s="97"/>
      <c r="U186" s="97"/>
      <c r="V186" s="100"/>
      <c r="W186" s="103"/>
      <c r="X186" s="97"/>
      <c r="Y186" s="97"/>
      <c r="Z186" s="97"/>
      <c r="AA186" s="100"/>
      <c r="AB186" s="134"/>
    </row>
    <row r="187" spans="1:28" ht="15.75" customHeight="1" thickBot="1" x14ac:dyDescent="0.3">
      <c r="A187" s="142"/>
      <c r="B187" s="138"/>
      <c r="C187" s="113"/>
      <c r="D187" s="107"/>
      <c r="E187" s="107"/>
      <c r="F187" s="107"/>
      <c r="G187" s="110"/>
      <c r="H187" s="104"/>
      <c r="I187" s="98"/>
      <c r="J187" s="98"/>
      <c r="K187" s="98"/>
      <c r="L187" s="101"/>
      <c r="M187" s="104"/>
      <c r="N187" s="98"/>
      <c r="O187" s="98"/>
      <c r="P187" s="98"/>
      <c r="Q187" s="101"/>
      <c r="R187" s="104"/>
      <c r="S187" s="98"/>
      <c r="T187" s="98"/>
      <c r="U187" s="98"/>
      <c r="V187" s="101"/>
      <c r="W187" s="104"/>
      <c r="X187" s="98"/>
      <c r="Y187" s="98"/>
      <c r="Z187" s="98"/>
      <c r="AA187" s="101"/>
      <c r="AB187" s="135"/>
    </row>
    <row r="188" spans="1:28" ht="15" x14ac:dyDescent="0.25">
      <c r="A188" s="28"/>
    </row>
    <row r="189" spans="1:28" ht="15" x14ac:dyDescent="0.25">
      <c r="A189" s="28"/>
      <c r="B189" s="26" t="s">
        <v>35</v>
      </c>
      <c r="E189" s="21" t="s">
        <v>41</v>
      </c>
      <c r="I189" s="21" t="s">
        <v>42</v>
      </c>
      <c r="M189" s="21" t="s">
        <v>43</v>
      </c>
      <c r="Q189" s="21" t="s">
        <v>44</v>
      </c>
      <c r="U189" s="21" t="s">
        <v>45</v>
      </c>
      <c r="Y189" s="21" t="s">
        <v>46</v>
      </c>
    </row>
    <row r="190" spans="1:28" ht="15" x14ac:dyDescent="0.25">
      <c r="A190" s="28"/>
    </row>
    <row r="194" spans="1:32" ht="24.6" x14ac:dyDescent="0.25">
      <c r="A194" s="144" t="str">
        <f>'INSCRIPCION '!A$1</f>
        <v>TIRADA</v>
      </c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</row>
    <row r="195" spans="1:32" ht="19.5" customHeight="1" x14ac:dyDescent="0.4">
      <c r="A195" s="23"/>
      <c r="B195" s="23"/>
    </row>
    <row r="196" spans="1:32" ht="22.5" customHeight="1" x14ac:dyDescent="0.25">
      <c r="A196" s="132" t="str">
        <f>'INSCRIPCION '!A$2</f>
        <v>CAMPO DE TIRO LA ISLA</v>
      </c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</row>
    <row r="197" spans="1:32" ht="19.5" customHeight="1" x14ac:dyDescent="0.25">
      <c r="A197" s="143" t="str">
        <f>'INSCRIPCION '!A$3</f>
        <v>XXX PLATOS</v>
      </c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</row>
    <row r="198" spans="1:32" ht="22.8" x14ac:dyDescent="0.4">
      <c r="A198" s="24"/>
      <c r="B198" s="24"/>
    </row>
    <row r="199" spans="1:32" ht="17.399999999999999" x14ac:dyDescent="0.3">
      <c r="A199" s="25" t="s">
        <v>15</v>
      </c>
      <c r="B199" s="25"/>
      <c r="J199" s="9" t="s">
        <v>6</v>
      </c>
      <c r="K199" s="9"/>
      <c r="L199" s="9"/>
      <c r="M199" s="9"/>
      <c r="N199" s="9"/>
      <c r="O199" s="22">
        <v>3</v>
      </c>
      <c r="P199" s="22"/>
      <c r="Q199" s="8"/>
      <c r="R199" s="8"/>
      <c r="S199" s="7"/>
      <c r="T199" s="8"/>
      <c r="U199" s="8"/>
      <c r="V199" s="9" t="s">
        <v>7</v>
      </c>
      <c r="W199" s="9"/>
      <c r="X199" s="9"/>
      <c r="Y199" s="9"/>
      <c r="Z199" s="22">
        <v>1</v>
      </c>
      <c r="AA199" s="22"/>
    </row>
    <row r="200" spans="1:32" ht="13.8" thickBot="1" x14ac:dyDescent="0.3"/>
    <row r="201" spans="1:32" ht="15.6" thickBot="1" x14ac:dyDescent="0.3">
      <c r="A201" s="27" t="s">
        <v>0</v>
      </c>
      <c r="B201" s="27" t="s">
        <v>8</v>
      </c>
      <c r="C201" s="47">
        <v>1</v>
      </c>
      <c r="D201" s="48">
        <v>2</v>
      </c>
      <c r="E201" s="48">
        <v>3</v>
      </c>
      <c r="F201" s="48">
        <v>4</v>
      </c>
      <c r="G201" s="49">
        <v>5</v>
      </c>
      <c r="H201" s="47">
        <v>6</v>
      </c>
      <c r="I201" s="48">
        <v>7</v>
      </c>
      <c r="J201" s="48">
        <v>8</v>
      </c>
      <c r="K201" s="48">
        <v>9</v>
      </c>
      <c r="L201" s="49">
        <v>10</v>
      </c>
      <c r="M201" s="47">
        <v>11</v>
      </c>
      <c r="N201" s="48">
        <v>12</v>
      </c>
      <c r="O201" s="48">
        <v>13</v>
      </c>
      <c r="P201" s="48">
        <v>14</v>
      </c>
      <c r="Q201" s="49">
        <v>15</v>
      </c>
      <c r="R201" s="47">
        <v>16</v>
      </c>
      <c r="S201" s="48">
        <v>17</v>
      </c>
      <c r="T201" s="48">
        <v>18</v>
      </c>
      <c r="U201" s="48">
        <v>19</v>
      </c>
      <c r="V201" s="49">
        <v>20</v>
      </c>
      <c r="W201" s="47">
        <v>21</v>
      </c>
      <c r="X201" s="48">
        <v>22</v>
      </c>
      <c r="Y201" s="48">
        <v>23</v>
      </c>
      <c r="Z201" s="48">
        <v>24</v>
      </c>
      <c r="AA201" s="49">
        <v>25</v>
      </c>
      <c r="AB201" s="30" t="s">
        <v>1</v>
      </c>
    </row>
    <row r="202" spans="1:32" ht="15.75" customHeight="1" thickTop="1" thickBot="1" x14ac:dyDescent="0.3">
      <c r="A202" s="139">
        <f>ESCUADRAS!B43</f>
        <v>37</v>
      </c>
      <c r="B202" s="136">
        <f>ESCUADRAS!C43</f>
        <v>0</v>
      </c>
      <c r="C202" s="129"/>
      <c r="D202" s="114"/>
      <c r="E202" s="114"/>
      <c r="F202" s="114"/>
      <c r="G202" s="117"/>
      <c r="H202" s="111"/>
      <c r="I202" s="105"/>
      <c r="J202" s="105"/>
      <c r="K202" s="105"/>
      <c r="L202" s="108"/>
      <c r="M202" s="111"/>
      <c r="N202" s="105"/>
      <c r="O202" s="105"/>
      <c r="P202" s="105"/>
      <c r="Q202" s="108"/>
      <c r="R202" s="111"/>
      <c r="S202" s="105"/>
      <c r="T202" s="105"/>
      <c r="U202" s="105"/>
      <c r="V202" s="108"/>
      <c r="W202" s="111"/>
      <c r="X202" s="105"/>
      <c r="Y202" s="105"/>
      <c r="Z202" s="105"/>
      <c r="AA202" s="108"/>
      <c r="AB202" s="133"/>
    </row>
    <row r="203" spans="1:32" ht="15.75" customHeight="1" thickTop="1" thickBot="1" x14ac:dyDescent="0.3">
      <c r="A203" s="139"/>
      <c r="B203" s="137"/>
      <c r="C203" s="130"/>
      <c r="D203" s="115"/>
      <c r="E203" s="115"/>
      <c r="F203" s="115"/>
      <c r="G203" s="118"/>
      <c r="H203" s="112"/>
      <c r="I203" s="106"/>
      <c r="J203" s="106"/>
      <c r="K203" s="106"/>
      <c r="L203" s="109"/>
      <c r="M203" s="112"/>
      <c r="N203" s="106"/>
      <c r="O203" s="106"/>
      <c r="P203" s="106"/>
      <c r="Q203" s="109"/>
      <c r="R203" s="112"/>
      <c r="S203" s="106"/>
      <c r="T203" s="106"/>
      <c r="U203" s="106"/>
      <c r="V203" s="109"/>
      <c r="W203" s="112"/>
      <c r="X203" s="106"/>
      <c r="Y203" s="106"/>
      <c r="Z203" s="106"/>
      <c r="AA203" s="109"/>
      <c r="AB203" s="134"/>
    </row>
    <row r="204" spans="1:32" ht="15.75" customHeight="1" thickTop="1" thickBot="1" x14ac:dyDescent="0.3">
      <c r="A204" s="139"/>
      <c r="B204" s="138"/>
      <c r="C204" s="131"/>
      <c r="D204" s="116"/>
      <c r="E204" s="116"/>
      <c r="F204" s="116"/>
      <c r="G204" s="119"/>
      <c r="H204" s="113"/>
      <c r="I204" s="107"/>
      <c r="J204" s="107"/>
      <c r="K204" s="107"/>
      <c r="L204" s="110"/>
      <c r="M204" s="113"/>
      <c r="N204" s="107"/>
      <c r="O204" s="107"/>
      <c r="P204" s="107"/>
      <c r="Q204" s="110"/>
      <c r="R204" s="113"/>
      <c r="S204" s="107"/>
      <c r="T204" s="107"/>
      <c r="U204" s="107"/>
      <c r="V204" s="110"/>
      <c r="W204" s="113"/>
      <c r="X204" s="107"/>
      <c r="Y204" s="107"/>
      <c r="Z204" s="107"/>
      <c r="AA204" s="110"/>
      <c r="AB204" s="135"/>
    </row>
    <row r="205" spans="1:32" ht="15.75" customHeight="1" thickTop="1" x14ac:dyDescent="0.25">
      <c r="A205" s="140">
        <f>ESCUADRAS!B44</f>
        <v>38</v>
      </c>
      <c r="B205" s="136">
        <f>ESCUADRAS!C44</f>
        <v>0</v>
      </c>
      <c r="C205" s="93"/>
      <c r="D205" s="123"/>
      <c r="E205" s="123"/>
      <c r="F205" s="123"/>
      <c r="G205" s="126"/>
      <c r="H205" s="102"/>
      <c r="I205" s="96"/>
      <c r="J205" s="96"/>
      <c r="K205" s="96"/>
      <c r="L205" s="99"/>
      <c r="M205" s="102"/>
      <c r="N205" s="96"/>
      <c r="O205" s="96"/>
      <c r="P205" s="96"/>
      <c r="Q205" s="99"/>
      <c r="R205" s="102"/>
      <c r="S205" s="96"/>
      <c r="T205" s="96"/>
      <c r="U205" s="96"/>
      <c r="V205" s="99"/>
      <c r="W205" s="111"/>
      <c r="X205" s="105"/>
      <c r="Y205" s="105"/>
      <c r="Z205" s="105"/>
      <c r="AA205" s="108"/>
      <c r="AB205" s="133"/>
    </row>
    <row r="206" spans="1:32" ht="15.75" customHeight="1" x14ac:dyDescent="0.25">
      <c r="A206" s="141"/>
      <c r="B206" s="137"/>
      <c r="C206" s="94"/>
      <c r="D206" s="124"/>
      <c r="E206" s="124"/>
      <c r="F206" s="124"/>
      <c r="G206" s="127"/>
      <c r="H206" s="103"/>
      <c r="I206" s="97"/>
      <c r="J206" s="97"/>
      <c r="K206" s="97"/>
      <c r="L206" s="100"/>
      <c r="M206" s="103"/>
      <c r="N206" s="97"/>
      <c r="O206" s="97"/>
      <c r="P206" s="97"/>
      <c r="Q206" s="100"/>
      <c r="R206" s="103"/>
      <c r="S206" s="97"/>
      <c r="T206" s="97"/>
      <c r="U206" s="97"/>
      <c r="V206" s="100"/>
      <c r="W206" s="112"/>
      <c r="X206" s="106"/>
      <c r="Y206" s="106"/>
      <c r="Z206" s="106"/>
      <c r="AA206" s="109"/>
      <c r="AB206" s="134"/>
    </row>
    <row r="207" spans="1:32" ht="15.75" customHeight="1" thickBot="1" x14ac:dyDescent="0.3">
      <c r="A207" s="142"/>
      <c r="B207" s="138"/>
      <c r="C207" s="95"/>
      <c r="D207" s="125"/>
      <c r="E207" s="125"/>
      <c r="F207" s="125"/>
      <c r="G207" s="128"/>
      <c r="H207" s="104"/>
      <c r="I207" s="98"/>
      <c r="J207" s="98"/>
      <c r="K207" s="98"/>
      <c r="L207" s="101"/>
      <c r="M207" s="104"/>
      <c r="N207" s="98"/>
      <c r="O207" s="98"/>
      <c r="P207" s="98"/>
      <c r="Q207" s="101"/>
      <c r="R207" s="104"/>
      <c r="S207" s="98"/>
      <c r="T207" s="98"/>
      <c r="U207" s="98"/>
      <c r="V207" s="101"/>
      <c r="W207" s="113"/>
      <c r="X207" s="107"/>
      <c r="Y207" s="107"/>
      <c r="Z207" s="107"/>
      <c r="AA207" s="110"/>
      <c r="AB207" s="135"/>
    </row>
    <row r="208" spans="1:32" ht="15.75" customHeight="1" thickTop="1" thickBot="1" x14ac:dyDescent="0.3">
      <c r="A208" s="139">
        <f>ESCUADRAS!B45</f>
        <v>39</v>
      </c>
      <c r="B208" s="136">
        <f>ESCUADRAS!C45</f>
        <v>0</v>
      </c>
      <c r="C208" s="93"/>
      <c r="D208" s="123"/>
      <c r="E208" s="123"/>
      <c r="F208" s="123"/>
      <c r="G208" s="126"/>
      <c r="H208" s="102"/>
      <c r="I208" s="96"/>
      <c r="J208" s="96"/>
      <c r="K208" s="96"/>
      <c r="L208" s="99"/>
      <c r="M208" s="102"/>
      <c r="N208" s="96"/>
      <c r="O208" s="96"/>
      <c r="P208" s="96"/>
      <c r="Q208" s="99"/>
      <c r="R208" s="111"/>
      <c r="S208" s="105"/>
      <c r="T208" s="105"/>
      <c r="U208" s="105"/>
      <c r="V208" s="108"/>
      <c r="W208" s="102"/>
      <c r="X208" s="96"/>
      <c r="Y208" s="96"/>
      <c r="Z208" s="96"/>
      <c r="AA208" s="99"/>
      <c r="AB208" s="133"/>
    </row>
    <row r="209" spans="1:28" ht="15.75" customHeight="1" thickTop="1" thickBot="1" x14ac:dyDescent="0.3">
      <c r="A209" s="139"/>
      <c r="B209" s="137"/>
      <c r="C209" s="94"/>
      <c r="D209" s="124"/>
      <c r="E209" s="124"/>
      <c r="F209" s="124"/>
      <c r="G209" s="127"/>
      <c r="H209" s="103"/>
      <c r="I209" s="97"/>
      <c r="J209" s="97"/>
      <c r="K209" s="97"/>
      <c r="L209" s="100"/>
      <c r="M209" s="103"/>
      <c r="N209" s="97"/>
      <c r="O209" s="97"/>
      <c r="P209" s="97"/>
      <c r="Q209" s="100"/>
      <c r="R209" s="112"/>
      <c r="S209" s="106"/>
      <c r="T209" s="106"/>
      <c r="U209" s="106"/>
      <c r="V209" s="109"/>
      <c r="W209" s="103"/>
      <c r="X209" s="97"/>
      <c r="Y209" s="97"/>
      <c r="Z209" s="97"/>
      <c r="AA209" s="100"/>
      <c r="AB209" s="134"/>
    </row>
    <row r="210" spans="1:28" ht="15.75" customHeight="1" thickTop="1" thickBot="1" x14ac:dyDescent="0.3">
      <c r="A210" s="139"/>
      <c r="B210" s="138"/>
      <c r="C210" s="95"/>
      <c r="D210" s="125"/>
      <c r="E210" s="125"/>
      <c r="F210" s="125"/>
      <c r="G210" s="128"/>
      <c r="H210" s="104"/>
      <c r="I210" s="98"/>
      <c r="J210" s="98"/>
      <c r="K210" s="98"/>
      <c r="L210" s="101"/>
      <c r="M210" s="104"/>
      <c r="N210" s="98"/>
      <c r="O210" s="98"/>
      <c r="P210" s="98"/>
      <c r="Q210" s="101"/>
      <c r="R210" s="113"/>
      <c r="S210" s="107"/>
      <c r="T210" s="107"/>
      <c r="U210" s="107"/>
      <c r="V210" s="110"/>
      <c r="W210" s="104"/>
      <c r="X210" s="98"/>
      <c r="Y210" s="98"/>
      <c r="Z210" s="98"/>
      <c r="AA210" s="101"/>
      <c r="AB210" s="135"/>
    </row>
    <row r="211" spans="1:28" ht="15.75" customHeight="1" thickTop="1" x14ac:dyDescent="0.25">
      <c r="A211" s="140">
        <f>ESCUADRAS!B46</f>
        <v>40</v>
      </c>
      <c r="B211" s="136">
        <f>ESCUADRAS!C46</f>
        <v>0</v>
      </c>
      <c r="C211" s="93"/>
      <c r="D211" s="123"/>
      <c r="E211" s="123"/>
      <c r="F211" s="123"/>
      <c r="G211" s="126"/>
      <c r="H211" s="102"/>
      <c r="I211" s="96"/>
      <c r="J211" s="96"/>
      <c r="K211" s="96"/>
      <c r="L211" s="99"/>
      <c r="M211" s="111"/>
      <c r="N211" s="105"/>
      <c r="O211" s="105"/>
      <c r="P211" s="105"/>
      <c r="Q211" s="108"/>
      <c r="R211" s="102"/>
      <c r="S211" s="96"/>
      <c r="T211" s="96"/>
      <c r="U211" s="96"/>
      <c r="V211" s="99"/>
      <c r="W211" s="102"/>
      <c r="X211" s="96"/>
      <c r="Y211" s="96"/>
      <c r="Z211" s="96"/>
      <c r="AA211" s="99"/>
      <c r="AB211" s="133"/>
    </row>
    <row r="212" spans="1:28" ht="15.75" customHeight="1" x14ac:dyDescent="0.25">
      <c r="A212" s="141"/>
      <c r="B212" s="137"/>
      <c r="C212" s="94"/>
      <c r="D212" s="124"/>
      <c r="E212" s="124"/>
      <c r="F212" s="124"/>
      <c r="G212" s="127"/>
      <c r="H212" s="103"/>
      <c r="I212" s="97"/>
      <c r="J212" s="97"/>
      <c r="K212" s="97"/>
      <c r="L212" s="100"/>
      <c r="M212" s="112"/>
      <c r="N212" s="106"/>
      <c r="O212" s="106"/>
      <c r="P212" s="106"/>
      <c r="Q212" s="109"/>
      <c r="R212" s="103"/>
      <c r="S212" s="97"/>
      <c r="T212" s="97"/>
      <c r="U212" s="97"/>
      <c r="V212" s="100"/>
      <c r="W212" s="103"/>
      <c r="X212" s="97"/>
      <c r="Y212" s="97"/>
      <c r="Z212" s="97"/>
      <c r="AA212" s="100"/>
      <c r="AB212" s="134"/>
    </row>
    <row r="213" spans="1:28" ht="15.75" customHeight="1" thickBot="1" x14ac:dyDescent="0.3">
      <c r="A213" s="142"/>
      <c r="B213" s="138"/>
      <c r="C213" s="95"/>
      <c r="D213" s="125"/>
      <c r="E213" s="125"/>
      <c r="F213" s="125"/>
      <c r="G213" s="128"/>
      <c r="H213" s="104"/>
      <c r="I213" s="98"/>
      <c r="J213" s="98"/>
      <c r="K213" s="98"/>
      <c r="L213" s="101"/>
      <c r="M213" s="113"/>
      <c r="N213" s="107"/>
      <c r="O213" s="107"/>
      <c r="P213" s="107"/>
      <c r="Q213" s="110"/>
      <c r="R213" s="104"/>
      <c r="S213" s="98"/>
      <c r="T213" s="98"/>
      <c r="U213" s="98"/>
      <c r="V213" s="101"/>
      <c r="W213" s="104"/>
      <c r="X213" s="98"/>
      <c r="Y213" s="98"/>
      <c r="Z213" s="98"/>
      <c r="AA213" s="101"/>
      <c r="AB213" s="135"/>
    </row>
    <row r="214" spans="1:28" ht="15.75" customHeight="1" thickTop="1" thickBot="1" x14ac:dyDescent="0.3">
      <c r="A214" s="139">
        <f>ESCUADRAS!B47</f>
        <v>41</v>
      </c>
      <c r="B214" s="136">
        <f>ESCUADRAS!C47</f>
        <v>0</v>
      </c>
      <c r="C214" s="93"/>
      <c r="D214" s="123"/>
      <c r="E214" s="123"/>
      <c r="F214" s="123"/>
      <c r="G214" s="126"/>
      <c r="H214" s="111"/>
      <c r="I214" s="105"/>
      <c r="J214" s="105"/>
      <c r="K214" s="105"/>
      <c r="L214" s="108"/>
      <c r="M214" s="102"/>
      <c r="N214" s="96"/>
      <c r="O214" s="96"/>
      <c r="P214" s="96"/>
      <c r="Q214" s="99"/>
      <c r="R214" s="102"/>
      <c r="S214" s="96"/>
      <c r="T214" s="96"/>
      <c r="U214" s="96"/>
      <c r="V214" s="99"/>
      <c r="W214" s="102"/>
      <c r="X214" s="96"/>
      <c r="Y214" s="96"/>
      <c r="Z214" s="96"/>
      <c r="AA214" s="99"/>
      <c r="AB214" s="133"/>
    </row>
    <row r="215" spans="1:28" ht="15.75" customHeight="1" thickTop="1" thickBot="1" x14ac:dyDescent="0.3">
      <c r="A215" s="139"/>
      <c r="B215" s="137"/>
      <c r="C215" s="94"/>
      <c r="D215" s="124"/>
      <c r="E215" s="124"/>
      <c r="F215" s="124"/>
      <c r="G215" s="127"/>
      <c r="H215" s="112"/>
      <c r="I215" s="106"/>
      <c r="J215" s="106"/>
      <c r="K215" s="106"/>
      <c r="L215" s="109"/>
      <c r="M215" s="103"/>
      <c r="N215" s="97"/>
      <c r="O215" s="97"/>
      <c r="P215" s="97"/>
      <c r="Q215" s="100"/>
      <c r="R215" s="103"/>
      <c r="S215" s="97"/>
      <c r="T215" s="97"/>
      <c r="U215" s="97"/>
      <c r="V215" s="100"/>
      <c r="W215" s="103"/>
      <c r="X215" s="97"/>
      <c r="Y215" s="97"/>
      <c r="Z215" s="97"/>
      <c r="AA215" s="100"/>
      <c r="AB215" s="134"/>
    </row>
    <row r="216" spans="1:28" ht="15.75" customHeight="1" thickTop="1" thickBot="1" x14ac:dyDescent="0.3">
      <c r="A216" s="139"/>
      <c r="B216" s="138"/>
      <c r="C216" s="95"/>
      <c r="D216" s="125"/>
      <c r="E216" s="125"/>
      <c r="F216" s="125"/>
      <c r="G216" s="128"/>
      <c r="H216" s="113"/>
      <c r="I216" s="107"/>
      <c r="J216" s="107"/>
      <c r="K216" s="107"/>
      <c r="L216" s="110"/>
      <c r="M216" s="104"/>
      <c r="N216" s="98"/>
      <c r="O216" s="98"/>
      <c r="P216" s="98"/>
      <c r="Q216" s="101"/>
      <c r="R216" s="104"/>
      <c r="S216" s="98"/>
      <c r="T216" s="98"/>
      <c r="U216" s="98"/>
      <c r="V216" s="101"/>
      <c r="W216" s="104"/>
      <c r="X216" s="98"/>
      <c r="Y216" s="98"/>
      <c r="Z216" s="98"/>
      <c r="AA216" s="101"/>
      <c r="AB216" s="135"/>
    </row>
    <row r="217" spans="1:28" ht="15.75" customHeight="1" thickTop="1" x14ac:dyDescent="0.25">
      <c r="A217" s="140">
        <f>ESCUADRAS!B48</f>
        <v>42</v>
      </c>
      <c r="B217" s="136">
        <f>ESCUADRAS!C48</f>
        <v>0</v>
      </c>
      <c r="C217" s="111"/>
      <c r="D217" s="105"/>
      <c r="E217" s="105"/>
      <c r="F217" s="105"/>
      <c r="G217" s="108"/>
      <c r="H217" s="122"/>
      <c r="I217" s="120"/>
      <c r="J217" s="120"/>
      <c r="K217" s="120"/>
      <c r="L217" s="121"/>
      <c r="M217" s="122"/>
      <c r="N217" s="120"/>
      <c r="O217" s="120"/>
      <c r="P217" s="120"/>
      <c r="Q217" s="121"/>
      <c r="R217" s="122"/>
      <c r="S217" s="120"/>
      <c r="T217" s="120"/>
      <c r="U217" s="120"/>
      <c r="V217" s="121"/>
      <c r="W217" s="122"/>
      <c r="X217" s="120"/>
      <c r="Y217" s="120"/>
      <c r="Z217" s="120"/>
      <c r="AA217" s="121"/>
      <c r="AB217" s="133"/>
    </row>
    <row r="218" spans="1:28" ht="15.75" customHeight="1" x14ac:dyDescent="0.25">
      <c r="A218" s="141"/>
      <c r="B218" s="137"/>
      <c r="C218" s="112"/>
      <c r="D218" s="106"/>
      <c r="E218" s="106"/>
      <c r="F218" s="106"/>
      <c r="G218" s="109"/>
      <c r="H218" s="103"/>
      <c r="I218" s="97"/>
      <c r="J218" s="97"/>
      <c r="K218" s="97"/>
      <c r="L218" s="100"/>
      <c r="M218" s="103"/>
      <c r="N218" s="97"/>
      <c r="O218" s="97"/>
      <c r="P218" s="97"/>
      <c r="Q218" s="100"/>
      <c r="R218" s="103"/>
      <c r="S218" s="97"/>
      <c r="T218" s="97"/>
      <c r="U218" s="97"/>
      <c r="V218" s="100"/>
      <c r="W218" s="103"/>
      <c r="X218" s="97"/>
      <c r="Y218" s="97"/>
      <c r="Z218" s="97"/>
      <c r="AA218" s="100"/>
      <c r="AB218" s="134"/>
    </row>
    <row r="219" spans="1:28" ht="15.75" customHeight="1" thickBot="1" x14ac:dyDescent="0.3">
      <c r="A219" s="142"/>
      <c r="B219" s="138"/>
      <c r="C219" s="113"/>
      <c r="D219" s="107"/>
      <c r="E219" s="107"/>
      <c r="F219" s="107"/>
      <c r="G219" s="110"/>
      <c r="H219" s="104"/>
      <c r="I219" s="98"/>
      <c r="J219" s="98"/>
      <c r="K219" s="98"/>
      <c r="L219" s="101"/>
      <c r="M219" s="104"/>
      <c r="N219" s="98"/>
      <c r="O219" s="98"/>
      <c r="P219" s="98"/>
      <c r="Q219" s="101"/>
      <c r="R219" s="104"/>
      <c r="S219" s="98"/>
      <c r="T219" s="98"/>
      <c r="U219" s="98"/>
      <c r="V219" s="101"/>
      <c r="W219" s="104"/>
      <c r="X219" s="98"/>
      <c r="Y219" s="98"/>
      <c r="Z219" s="98"/>
      <c r="AA219" s="101"/>
      <c r="AB219" s="135"/>
    </row>
    <row r="220" spans="1:28" ht="15" x14ac:dyDescent="0.25">
      <c r="A220" s="28"/>
    </row>
    <row r="221" spans="1:28" ht="15" x14ac:dyDescent="0.25">
      <c r="A221" s="28"/>
      <c r="B221" s="26" t="s">
        <v>35</v>
      </c>
      <c r="E221" s="21" t="s">
        <v>41</v>
      </c>
      <c r="I221" s="21" t="s">
        <v>42</v>
      </c>
      <c r="M221" s="21" t="s">
        <v>43</v>
      </c>
      <c r="Q221" s="21" t="s">
        <v>44</v>
      </c>
      <c r="U221" s="21" t="s">
        <v>45</v>
      </c>
      <c r="Y221" s="21" t="s">
        <v>46</v>
      </c>
    </row>
    <row r="222" spans="1:28" ht="15" x14ac:dyDescent="0.25">
      <c r="A222" s="28"/>
    </row>
    <row r="226" spans="1:32" ht="24.6" x14ac:dyDescent="0.25">
      <c r="A226" s="144" t="str">
        <f>'INSCRIPCION '!A$1</f>
        <v>TIRADA</v>
      </c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</row>
    <row r="227" spans="1:32" ht="19.5" customHeight="1" x14ac:dyDescent="0.4">
      <c r="A227" s="23"/>
      <c r="B227" s="23"/>
    </row>
    <row r="228" spans="1:32" ht="21.75" customHeight="1" x14ac:dyDescent="0.25">
      <c r="A228" s="132" t="str">
        <f>'INSCRIPCION '!A$2</f>
        <v>CAMPO DE TIRO LA ISLA</v>
      </c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</row>
    <row r="229" spans="1:32" ht="19.5" customHeight="1" x14ac:dyDescent="0.25">
      <c r="A229" s="143" t="str">
        <f>'INSCRIPCION '!A$3</f>
        <v>XXX PLATOS</v>
      </c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</row>
    <row r="230" spans="1:32" ht="22.8" x14ac:dyDescent="0.4">
      <c r="A230" s="24"/>
      <c r="B230" s="24"/>
    </row>
    <row r="231" spans="1:32" ht="17.399999999999999" x14ac:dyDescent="0.3">
      <c r="A231" s="25" t="s">
        <v>16</v>
      </c>
      <c r="B231" s="25"/>
      <c r="J231" s="9" t="s">
        <v>6</v>
      </c>
      <c r="K231" s="9"/>
      <c r="L231" s="9"/>
      <c r="M231" s="9"/>
      <c r="N231" s="9"/>
      <c r="O231" s="22">
        <v>4</v>
      </c>
      <c r="P231" s="22"/>
      <c r="Q231" s="8"/>
      <c r="R231" s="8"/>
      <c r="S231" s="7"/>
      <c r="T231" s="8"/>
      <c r="U231" s="8"/>
      <c r="V231" s="9" t="s">
        <v>7</v>
      </c>
      <c r="W231" s="9"/>
      <c r="X231" s="9"/>
      <c r="Y231" s="9"/>
      <c r="Z231" s="22">
        <v>1</v>
      </c>
      <c r="AA231" s="22"/>
    </row>
    <row r="232" spans="1:32" ht="13.8" thickBot="1" x14ac:dyDescent="0.3"/>
    <row r="233" spans="1:32" ht="15.6" thickBot="1" x14ac:dyDescent="0.3">
      <c r="A233" s="27" t="s">
        <v>0</v>
      </c>
      <c r="B233" s="27" t="s">
        <v>8</v>
      </c>
      <c r="C233" s="47">
        <v>1</v>
      </c>
      <c r="D233" s="48">
        <v>2</v>
      </c>
      <c r="E233" s="48">
        <v>3</v>
      </c>
      <c r="F233" s="48">
        <v>4</v>
      </c>
      <c r="G233" s="49">
        <v>5</v>
      </c>
      <c r="H233" s="47">
        <v>6</v>
      </c>
      <c r="I233" s="48">
        <v>7</v>
      </c>
      <c r="J233" s="48">
        <v>8</v>
      </c>
      <c r="K233" s="48">
        <v>9</v>
      </c>
      <c r="L233" s="49">
        <v>10</v>
      </c>
      <c r="M233" s="47">
        <v>11</v>
      </c>
      <c r="N233" s="48">
        <v>12</v>
      </c>
      <c r="O233" s="48">
        <v>13</v>
      </c>
      <c r="P233" s="48">
        <v>14</v>
      </c>
      <c r="Q233" s="49">
        <v>15</v>
      </c>
      <c r="R233" s="47">
        <v>16</v>
      </c>
      <c r="S233" s="48">
        <v>17</v>
      </c>
      <c r="T233" s="48">
        <v>18</v>
      </c>
      <c r="U233" s="48">
        <v>19</v>
      </c>
      <c r="V233" s="49">
        <v>20</v>
      </c>
      <c r="W233" s="47">
        <v>21</v>
      </c>
      <c r="X233" s="48">
        <v>22</v>
      </c>
      <c r="Y233" s="48">
        <v>23</v>
      </c>
      <c r="Z233" s="48">
        <v>24</v>
      </c>
      <c r="AA233" s="49">
        <v>25</v>
      </c>
      <c r="AB233" s="30" t="s">
        <v>1</v>
      </c>
    </row>
    <row r="234" spans="1:32" ht="15.75" customHeight="1" thickTop="1" thickBot="1" x14ac:dyDescent="0.3">
      <c r="A234" s="139">
        <f>ESCUADRAS!B49</f>
        <v>43</v>
      </c>
      <c r="B234" s="136">
        <f>ESCUADRAS!C49</f>
        <v>0</v>
      </c>
      <c r="C234" s="129"/>
      <c r="D234" s="114"/>
      <c r="E234" s="114"/>
      <c r="F234" s="114"/>
      <c r="G234" s="117"/>
      <c r="H234" s="111"/>
      <c r="I234" s="105"/>
      <c r="J234" s="105"/>
      <c r="K234" s="105"/>
      <c r="L234" s="108"/>
      <c r="M234" s="111"/>
      <c r="N234" s="105"/>
      <c r="O234" s="105"/>
      <c r="P234" s="105"/>
      <c r="Q234" s="108"/>
      <c r="R234" s="111"/>
      <c r="S234" s="105"/>
      <c r="T234" s="105"/>
      <c r="U234" s="105"/>
      <c r="V234" s="108"/>
      <c r="W234" s="111"/>
      <c r="X234" s="105"/>
      <c r="Y234" s="105"/>
      <c r="Z234" s="105"/>
      <c r="AA234" s="108"/>
      <c r="AB234" s="133"/>
    </row>
    <row r="235" spans="1:32" ht="15.75" customHeight="1" thickTop="1" thickBot="1" x14ac:dyDescent="0.3">
      <c r="A235" s="139"/>
      <c r="B235" s="137"/>
      <c r="C235" s="130"/>
      <c r="D235" s="115"/>
      <c r="E235" s="115"/>
      <c r="F235" s="115"/>
      <c r="G235" s="118"/>
      <c r="H235" s="112"/>
      <c r="I235" s="106"/>
      <c r="J235" s="106"/>
      <c r="K235" s="106"/>
      <c r="L235" s="109"/>
      <c r="M235" s="112"/>
      <c r="N235" s="106"/>
      <c r="O235" s="106"/>
      <c r="P235" s="106"/>
      <c r="Q235" s="109"/>
      <c r="R235" s="112"/>
      <c r="S235" s="106"/>
      <c r="T235" s="106"/>
      <c r="U235" s="106"/>
      <c r="V235" s="109"/>
      <c r="W235" s="112"/>
      <c r="X235" s="106"/>
      <c r="Y235" s="106"/>
      <c r="Z235" s="106"/>
      <c r="AA235" s="109"/>
      <c r="AB235" s="134"/>
    </row>
    <row r="236" spans="1:32" ht="15.75" customHeight="1" thickTop="1" thickBot="1" x14ac:dyDescent="0.3">
      <c r="A236" s="139"/>
      <c r="B236" s="138"/>
      <c r="C236" s="131"/>
      <c r="D236" s="116"/>
      <c r="E236" s="116"/>
      <c r="F236" s="116"/>
      <c r="G236" s="119"/>
      <c r="H236" s="113"/>
      <c r="I236" s="107"/>
      <c r="J236" s="107"/>
      <c r="K236" s="107"/>
      <c r="L236" s="110"/>
      <c r="M236" s="113"/>
      <c r="N236" s="107"/>
      <c r="O236" s="107"/>
      <c r="P236" s="107"/>
      <c r="Q236" s="110"/>
      <c r="R236" s="113"/>
      <c r="S236" s="107"/>
      <c r="T236" s="107"/>
      <c r="U236" s="107"/>
      <c r="V236" s="110"/>
      <c r="W236" s="113"/>
      <c r="X236" s="107"/>
      <c r="Y236" s="107"/>
      <c r="Z236" s="107"/>
      <c r="AA236" s="110"/>
      <c r="AB236" s="135"/>
    </row>
    <row r="237" spans="1:32" ht="15.75" customHeight="1" thickTop="1" x14ac:dyDescent="0.25">
      <c r="A237" s="140">
        <f>ESCUADRAS!B50</f>
        <v>44</v>
      </c>
      <c r="B237" s="136">
        <f>ESCUADRAS!C50</f>
        <v>0</v>
      </c>
      <c r="C237" s="93"/>
      <c r="D237" s="123"/>
      <c r="E237" s="123"/>
      <c r="F237" s="123"/>
      <c r="G237" s="126"/>
      <c r="H237" s="102"/>
      <c r="I237" s="96"/>
      <c r="J237" s="96"/>
      <c r="K237" s="96"/>
      <c r="L237" s="99"/>
      <c r="M237" s="102"/>
      <c r="N237" s="96"/>
      <c r="O237" s="96"/>
      <c r="P237" s="96"/>
      <c r="Q237" s="99"/>
      <c r="R237" s="102"/>
      <c r="S237" s="96"/>
      <c r="T237" s="96"/>
      <c r="U237" s="96"/>
      <c r="V237" s="99"/>
      <c r="W237" s="111"/>
      <c r="X237" s="105"/>
      <c r="Y237" s="105"/>
      <c r="Z237" s="105"/>
      <c r="AA237" s="108"/>
      <c r="AB237" s="133"/>
    </row>
    <row r="238" spans="1:32" ht="15.75" customHeight="1" x14ac:dyDescent="0.25">
      <c r="A238" s="141"/>
      <c r="B238" s="137"/>
      <c r="C238" s="94"/>
      <c r="D238" s="124"/>
      <c r="E238" s="124"/>
      <c r="F238" s="124"/>
      <c r="G238" s="127"/>
      <c r="H238" s="103"/>
      <c r="I238" s="97"/>
      <c r="J238" s="97"/>
      <c r="K238" s="97"/>
      <c r="L238" s="100"/>
      <c r="M238" s="103"/>
      <c r="N238" s="97"/>
      <c r="O238" s="97"/>
      <c r="P238" s="97"/>
      <c r="Q238" s="100"/>
      <c r="R238" s="103"/>
      <c r="S238" s="97"/>
      <c r="T238" s="97"/>
      <c r="U238" s="97"/>
      <c r="V238" s="100"/>
      <c r="W238" s="112"/>
      <c r="X238" s="106"/>
      <c r="Y238" s="106"/>
      <c r="Z238" s="106"/>
      <c r="AA238" s="109"/>
      <c r="AB238" s="134"/>
    </row>
    <row r="239" spans="1:32" ht="15.75" customHeight="1" thickBot="1" x14ac:dyDescent="0.3">
      <c r="A239" s="142"/>
      <c r="B239" s="138"/>
      <c r="C239" s="95"/>
      <c r="D239" s="125"/>
      <c r="E239" s="125"/>
      <c r="F239" s="125"/>
      <c r="G239" s="128"/>
      <c r="H239" s="104"/>
      <c r="I239" s="98"/>
      <c r="J239" s="98"/>
      <c r="K239" s="98"/>
      <c r="L239" s="101"/>
      <c r="M239" s="104"/>
      <c r="N239" s="98"/>
      <c r="O239" s="98"/>
      <c r="P239" s="98"/>
      <c r="Q239" s="101"/>
      <c r="R239" s="104"/>
      <c r="S239" s="98"/>
      <c r="T239" s="98"/>
      <c r="U239" s="98"/>
      <c r="V239" s="101"/>
      <c r="W239" s="113"/>
      <c r="X239" s="107"/>
      <c r="Y239" s="107"/>
      <c r="Z239" s="107"/>
      <c r="AA239" s="110"/>
      <c r="AB239" s="135"/>
    </row>
    <row r="240" spans="1:32" ht="15.75" customHeight="1" thickTop="1" thickBot="1" x14ac:dyDescent="0.3">
      <c r="A240" s="139">
        <f>ESCUADRAS!B51</f>
        <v>45</v>
      </c>
      <c r="B240" s="136">
        <f>ESCUADRAS!C51</f>
        <v>0</v>
      </c>
      <c r="C240" s="93"/>
      <c r="D240" s="123"/>
      <c r="E240" s="123"/>
      <c r="F240" s="123"/>
      <c r="G240" s="126"/>
      <c r="H240" s="102"/>
      <c r="I240" s="96"/>
      <c r="J240" s="96"/>
      <c r="K240" s="96"/>
      <c r="L240" s="99"/>
      <c r="M240" s="102"/>
      <c r="N240" s="96"/>
      <c r="O240" s="96"/>
      <c r="P240" s="96"/>
      <c r="Q240" s="99"/>
      <c r="R240" s="111"/>
      <c r="S240" s="105"/>
      <c r="T240" s="105"/>
      <c r="U240" s="105"/>
      <c r="V240" s="108"/>
      <c r="W240" s="102"/>
      <c r="X240" s="96"/>
      <c r="Y240" s="96"/>
      <c r="Z240" s="96"/>
      <c r="AA240" s="99"/>
      <c r="AB240" s="133"/>
    </row>
    <row r="241" spans="1:28" ht="15.75" customHeight="1" thickTop="1" thickBot="1" x14ac:dyDescent="0.3">
      <c r="A241" s="139"/>
      <c r="B241" s="137"/>
      <c r="C241" s="94"/>
      <c r="D241" s="124"/>
      <c r="E241" s="124"/>
      <c r="F241" s="124"/>
      <c r="G241" s="127"/>
      <c r="H241" s="103"/>
      <c r="I241" s="97"/>
      <c r="J241" s="97"/>
      <c r="K241" s="97"/>
      <c r="L241" s="100"/>
      <c r="M241" s="103"/>
      <c r="N241" s="97"/>
      <c r="O241" s="97"/>
      <c r="P241" s="97"/>
      <c r="Q241" s="100"/>
      <c r="R241" s="112"/>
      <c r="S241" s="106"/>
      <c r="T241" s="106"/>
      <c r="U241" s="106"/>
      <c r="V241" s="109"/>
      <c r="W241" s="103"/>
      <c r="X241" s="97"/>
      <c r="Y241" s="97"/>
      <c r="Z241" s="97"/>
      <c r="AA241" s="100"/>
      <c r="AB241" s="134"/>
    </row>
    <row r="242" spans="1:28" ht="15.75" customHeight="1" thickTop="1" thickBot="1" x14ac:dyDescent="0.3">
      <c r="A242" s="139"/>
      <c r="B242" s="138"/>
      <c r="C242" s="95"/>
      <c r="D242" s="125"/>
      <c r="E242" s="125"/>
      <c r="F242" s="125"/>
      <c r="G242" s="128"/>
      <c r="H242" s="104"/>
      <c r="I242" s="98"/>
      <c r="J242" s="98"/>
      <c r="K242" s="98"/>
      <c r="L242" s="101"/>
      <c r="M242" s="104"/>
      <c r="N242" s="98"/>
      <c r="O242" s="98"/>
      <c r="P242" s="98"/>
      <c r="Q242" s="101"/>
      <c r="R242" s="113"/>
      <c r="S242" s="107"/>
      <c r="T242" s="107"/>
      <c r="U242" s="107"/>
      <c r="V242" s="110"/>
      <c r="W242" s="104"/>
      <c r="X242" s="98"/>
      <c r="Y242" s="98"/>
      <c r="Z242" s="98"/>
      <c r="AA242" s="101"/>
      <c r="AB242" s="135"/>
    </row>
    <row r="243" spans="1:28" ht="15.75" customHeight="1" thickTop="1" x14ac:dyDescent="0.25">
      <c r="A243" s="140">
        <f>ESCUADRAS!B52</f>
        <v>46</v>
      </c>
      <c r="B243" s="136">
        <f>ESCUADRAS!C52</f>
        <v>0</v>
      </c>
      <c r="C243" s="93"/>
      <c r="D243" s="123"/>
      <c r="E243" s="123"/>
      <c r="F243" s="123"/>
      <c r="G243" s="126"/>
      <c r="H243" s="102"/>
      <c r="I243" s="96"/>
      <c r="J243" s="96"/>
      <c r="K243" s="96"/>
      <c r="L243" s="99"/>
      <c r="M243" s="111"/>
      <c r="N243" s="105"/>
      <c r="O243" s="105"/>
      <c r="P243" s="105"/>
      <c r="Q243" s="108"/>
      <c r="R243" s="102"/>
      <c r="S243" s="96"/>
      <c r="T243" s="96"/>
      <c r="U243" s="96"/>
      <c r="V243" s="99"/>
      <c r="W243" s="102"/>
      <c r="X243" s="96"/>
      <c r="Y243" s="96"/>
      <c r="Z243" s="96"/>
      <c r="AA243" s="99"/>
      <c r="AB243" s="133"/>
    </row>
    <row r="244" spans="1:28" ht="15.75" customHeight="1" x14ac:dyDescent="0.25">
      <c r="A244" s="141"/>
      <c r="B244" s="137"/>
      <c r="C244" s="94"/>
      <c r="D244" s="124"/>
      <c r="E244" s="124"/>
      <c r="F244" s="124"/>
      <c r="G244" s="127"/>
      <c r="H244" s="103"/>
      <c r="I244" s="97"/>
      <c r="J244" s="97"/>
      <c r="K244" s="97"/>
      <c r="L244" s="100"/>
      <c r="M244" s="112"/>
      <c r="N244" s="106"/>
      <c r="O244" s="106"/>
      <c r="P244" s="106"/>
      <c r="Q244" s="109"/>
      <c r="R244" s="103"/>
      <c r="S244" s="97"/>
      <c r="T244" s="97"/>
      <c r="U244" s="97"/>
      <c r="V244" s="100"/>
      <c r="W244" s="103"/>
      <c r="X244" s="97"/>
      <c r="Y244" s="97"/>
      <c r="Z244" s="97"/>
      <c r="AA244" s="100"/>
      <c r="AB244" s="134"/>
    </row>
    <row r="245" spans="1:28" ht="15.75" customHeight="1" thickBot="1" x14ac:dyDescent="0.3">
      <c r="A245" s="142"/>
      <c r="B245" s="138"/>
      <c r="C245" s="95"/>
      <c r="D245" s="125"/>
      <c r="E245" s="125"/>
      <c r="F245" s="125"/>
      <c r="G245" s="128"/>
      <c r="H245" s="104"/>
      <c r="I245" s="98"/>
      <c r="J245" s="98"/>
      <c r="K245" s="98"/>
      <c r="L245" s="101"/>
      <c r="M245" s="113"/>
      <c r="N245" s="107"/>
      <c r="O245" s="107"/>
      <c r="P245" s="107"/>
      <c r="Q245" s="110"/>
      <c r="R245" s="104"/>
      <c r="S245" s="98"/>
      <c r="T245" s="98"/>
      <c r="U245" s="98"/>
      <c r="V245" s="101"/>
      <c r="W245" s="104"/>
      <c r="X245" s="98"/>
      <c r="Y245" s="98"/>
      <c r="Z245" s="98"/>
      <c r="AA245" s="101"/>
      <c r="AB245" s="135"/>
    </row>
    <row r="246" spans="1:28" ht="15.75" customHeight="1" thickTop="1" thickBot="1" x14ac:dyDescent="0.3">
      <c r="A246" s="139">
        <f>ESCUADRAS!B53</f>
        <v>47</v>
      </c>
      <c r="B246" s="136">
        <f>ESCUADRAS!C53</f>
        <v>0</v>
      </c>
      <c r="C246" s="93"/>
      <c r="D246" s="123"/>
      <c r="E246" s="123"/>
      <c r="F246" s="123"/>
      <c r="G246" s="126"/>
      <c r="H246" s="111"/>
      <c r="I246" s="105"/>
      <c r="J246" s="105"/>
      <c r="K246" s="105"/>
      <c r="L246" s="108"/>
      <c r="M246" s="102"/>
      <c r="N246" s="96"/>
      <c r="O246" s="96"/>
      <c r="P246" s="96"/>
      <c r="Q246" s="99"/>
      <c r="R246" s="102"/>
      <c r="S246" s="96"/>
      <c r="T246" s="96"/>
      <c r="U246" s="96"/>
      <c r="V246" s="99"/>
      <c r="W246" s="102"/>
      <c r="X246" s="96"/>
      <c r="Y246" s="96"/>
      <c r="Z246" s="96"/>
      <c r="AA246" s="99"/>
      <c r="AB246" s="133"/>
    </row>
    <row r="247" spans="1:28" ht="15.75" customHeight="1" thickTop="1" thickBot="1" x14ac:dyDescent="0.3">
      <c r="A247" s="139"/>
      <c r="B247" s="137"/>
      <c r="C247" s="94"/>
      <c r="D247" s="124"/>
      <c r="E247" s="124"/>
      <c r="F247" s="124"/>
      <c r="G247" s="127"/>
      <c r="H247" s="112"/>
      <c r="I247" s="106"/>
      <c r="J247" s="106"/>
      <c r="K247" s="106"/>
      <c r="L247" s="109"/>
      <c r="M247" s="103"/>
      <c r="N247" s="97"/>
      <c r="O247" s="97"/>
      <c r="P247" s="97"/>
      <c r="Q247" s="100"/>
      <c r="R247" s="103"/>
      <c r="S247" s="97"/>
      <c r="T247" s="97"/>
      <c r="U247" s="97"/>
      <c r="V247" s="100"/>
      <c r="W247" s="103"/>
      <c r="X247" s="97"/>
      <c r="Y247" s="97"/>
      <c r="Z247" s="97"/>
      <c r="AA247" s="100"/>
      <c r="AB247" s="134"/>
    </row>
    <row r="248" spans="1:28" ht="15.75" customHeight="1" thickTop="1" thickBot="1" x14ac:dyDescent="0.3">
      <c r="A248" s="139"/>
      <c r="B248" s="138"/>
      <c r="C248" s="95"/>
      <c r="D248" s="125"/>
      <c r="E248" s="125"/>
      <c r="F248" s="125"/>
      <c r="G248" s="128"/>
      <c r="H248" s="113"/>
      <c r="I248" s="107"/>
      <c r="J248" s="107"/>
      <c r="K248" s="107"/>
      <c r="L248" s="110"/>
      <c r="M248" s="104"/>
      <c r="N248" s="98"/>
      <c r="O248" s="98"/>
      <c r="P248" s="98"/>
      <c r="Q248" s="101"/>
      <c r="R248" s="104"/>
      <c r="S248" s="98"/>
      <c r="T248" s="98"/>
      <c r="U248" s="98"/>
      <c r="V248" s="101"/>
      <c r="W248" s="104"/>
      <c r="X248" s="98"/>
      <c r="Y248" s="98"/>
      <c r="Z248" s="98"/>
      <c r="AA248" s="101"/>
      <c r="AB248" s="135"/>
    </row>
    <row r="249" spans="1:28" ht="15.75" customHeight="1" thickTop="1" x14ac:dyDescent="0.25">
      <c r="A249" s="140">
        <f>ESCUADRAS!B54</f>
        <v>48</v>
      </c>
      <c r="B249" s="136">
        <f>ESCUADRAS!C54</f>
        <v>0</v>
      </c>
      <c r="C249" s="111"/>
      <c r="D249" s="105"/>
      <c r="E249" s="105"/>
      <c r="F249" s="105"/>
      <c r="G249" s="108"/>
      <c r="H249" s="122"/>
      <c r="I249" s="120"/>
      <c r="J249" s="120"/>
      <c r="K249" s="120"/>
      <c r="L249" s="121"/>
      <c r="M249" s="122"/>
      <c r="N249" s="120"/>
      <c r="O249" s="120"/>
      <c r="P249" s="120"/>
      <c r="Q249" s="121"/>
      <c r="R249" s="122"/>
      <c r="S249" s="120"/>
      <c r="T249" s="120"/>
      <c r="U249" s="120"/>
      <c r="V249" s="121"/>
      <c r="W249" s="122"/>
      <c r="X249" s="120"/>
      <c r="Y249" s="120"/>
      <c r="Z249" s="120"/>
      <c r="AA249" s="121"/>
      <c r="AB249" s="133"/>
    </row>
    <row r="250" spans="1:28" ht="15.75" customHeight="1" x14ac:dyDescent="0.25">
      <c r="A250" s="141"/>
      <c r="B250" s="137"/>
      <c r="C250" s="112"/>
      <c r="D250" s="106"/>
      <c r="E250" s="106"/>
      <c r="F250" s="106"/>
      <c r="G250" s="109"/>
      <c r="H250" s="103"/>
      <c r="I250" s="97"/>
      <c r="J250" s="97"/>
      <c r="K250" s="97"/>
      <c r="L250" s="100"/>
      <c r="M250" s="103"/>
      <c r="N250" s="97"/>
      <c r="O250" s="97"/>
      <c r="P250" s="97"/>
      <c r="Q250" s="100"/>
      <c r="R250" s="103"/>
      <c r="S250" s="97"/>
      <c r="T250" s="97"/>
      <c r="U250" s="97"/>
      <c r="V250" s="100"/>
      <c r="W250" s="103"/>
      <c r="X250" s="97"/>
      <c r="Y250" s="97"/>
      <c r="Z250" s="97"/>
      <c r="AA250" s="100"/>
      <c r="AB250" s="134"/>
    </row>
    <row r="251" spans="1:28" ht="15.75" customHeight="1" thickBot="1" x14ac:dyDescent="0.3">
      <c r="A251" s="142"/>
      <c r="B251" s="138"/>
      <c r="C251" s="113"/>
      <c r="D251" s="107"/>
      <c r="E251" s="107"/>
      <c r="F251" s="107"/>
      <c r="G251" s="110"/>
      <c r="H251" s="104"/>
      <c r="I251" s="98"/>
      <c r="J251" s="98"/>
      <c r="K251" s="98"/>
      <c r="L251" s="101"/>
      <c r="M251" s="104"/>
      <c r="N251" s="98"/>
      <c r="O251" s="98"/>
      <c r="P251" s="98"/>
      <c r="Q251" s="101"/>
      <c r="R251" s="104"/>
      <c r="S251" s="98"/>
      <c r="T251" s="98"/>
      <c r="U251" s="98"/>
      <c r="V251" s="101"/>
      <c r="W251" s="104"/>
      <c r="X251" s="98"/>
      <c r="Y251" s="98"/>
      <c r="Z251" s="98"/>
      <c r="AA251" s="101"/>
      <c r="AB251" s="135"/>
    </row>
    <row r="252" spans="1:28" ht="15" x14ac:dyDescent="0.25">
      <c r="A252" s="28"/>
    </row>
    <row r="253" spans="1:28" ht="15" x14ac:dyDescent="0.25">
      <c r="A253" s="28"/>
      <c r="B253" s="26" t="s">
        <v>35</v>
      </c>
      <c r="E253" s="21" t="s">
        <v>41</v>
      </c>
      <c r="I253" s="21" t="s">
        <v>42</v>
      </c>
      <c r="M253" s="21" t="s">
        <v>43</v>
      </c>
      <c r="Q253" s="21" t="s">
        <v>44</v>
      </c>
      <c r="U253" s="21" t="s">
        <v>45</v>
      </c>
      <c r="Y253" s="21" t="s">
        <v>46</v>
      </c>
    </row>
    <row r="254" spans="1:28" ht="15" x14ac:dyDescent="0.25">
      <c r="A254" s="28"/>
    </row>
    <row r="258" spans="1:32" ht="24.6" x14ac:dyDescent="0.25">
      <c r="A258" s="144" t="str">
        <f>'INSCRIPCION '!A$1</f>
        <v>TIRADA</v>
      </c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</row>
    <row r="259" spans="1:32" ht="19.5" customHeight="1" x14ac:dyDescent="0.4">
      <c r="A259" s="23"/>
      <c r="B259" s="23"/>
    </row>
    <row r="260" spans="1:32" ht="22.5" customHeight="1" x14ac:dyDescent="0.25">
      <c r="A260" s="132" t="str">
        <f>'INSCRIPCION '!A$2</f>
        <v>CAMPO DE TIRO LA ISLA</v>
      </c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</row>
    <row r="261" spans="1:32" ht="19.5" customHeight="1" x14ac:dyDescent="0.25">
      <c r="A261" s="143" t="str">
        <f>'INSCRIPCION '!A$3</f>
        <v>XXX PLATOS</v>
      </c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</row>
    <row r="262" spans="1:32" ht="22.8" x14ac:dyDescent="0.4">
      <c r="A262" s="24"/>
      <c r="B262" s="24"/>
    </row>
    <row r="263" spans="1:32" ht="17.399999999999999" x14ac:dyDescent="0.3">
      <c r="A263" s="25" t="s">
        <v>17</v>
      </c>
      <c r="B263" s="25"/>
      <c r="J263" s="9" t="s">
        <v>6</v>
      </c>
      <c r="K263" s="9"/>
      <c r="L263" s="9"/>
      <c r="M263" s="9"/>
      <c r="N263" s="9"/>
      <c r="O263" s="22">
        <v>1</v>
      </c>
      <c r="P263" s="22"/>
      <c r="Q263" s="8"/>
      <c r="R263" s="8"/>
      <c r="S263" s="7"/>
      <c r="T263" s="8"/>
      <c r="U263" s="8"/>
      <c r="V263" s="9" t="s">
        <v>7</v>
      </c>
      <c r="W263" s="9"/>
      <c r="X263" s="9"/>
      <c r="Y263" s="9"/>
      <c r="Z263" s="22">
        <v>1</v>
      </c>
      <c r="AA263" s="22"/>
    </row>
    <row r="264" spans="1:32" ht="13.8" thickBot="1" x14ac:dyDescent="0.3"/>
    <row r="265" spans="1:32" ht="15.6" thickBot="1" x14ac:dyDescent="0.3">
      <c r="A265" s="27" t="s">
        <v>0</v>
      </c>
      <c r="B265" s="27" t="s">
        <v>8</v>
      </c>
      <c r="C265" s="47">
        <v>1</v>
      </c>
      <c r="D265" s="48">
        <v>2</v>
      </c>
      <c r="E265" s="48">
        <v>3</v>
      </c>
      <c r="F265" s="48">
        <v>4</v>
      </c>
      <c r="G265" s="49">
        <v>5</v>
      </c>
      <c r="H265" s="47">
        <v>6</v>
      </c>
      <c r="I265" s="48">
        <v>7</v>
      </c>
      <c r="J265" s="48">
        <v>8</v>
      </c>
      <c r="K265" s="48">
        <v>9</v>
      </c>
      <c r="L265" s="49">
        <v>10</v>
      </c>
      <c r="M265" s="47">
        <v>11</v>
      </c>
      <c r="N265" s="48">
        <v>12</v>
      </c>
      <c r="O265" s="48">
        <v>13</v>
      </c>
      <c r="P265" s="48">
        <v>14</v>
      </c>
      <c r="Q265" s="49">
        <v>15</v>
      </c>
      <c r="R265" s="47">
        <v>16</v>
      </c>
      <c r="S265" s="48">
        <v>17</v>
      </c>
      <c r="T265" s="48">
        <v>18</v>
      </c>
      <c r="U265" s="48">
        <v>19</v>
      </c>
      <c r="V265" s="49">
        <v>20</v>
      </c>
      <c r="W265" s="47">
        <v>21</v>
      </c>
      <c r="X265" s="48">
        <v>22</v>
      </c>
      <c r="Y265" s="48">
        <v>23</v>
      </c>
      <c r="Z265" s="48">
        <v>24</v>
      </c>
      <c r="AA265" s="49">
        <v>25</v>
      </c>
      <c r="AB265" s="30" t="s">
        <v>1</v>
      </c>
    </row>
    <row r="266" spans="1:32" ht="15.75" customHeight="1" thickTop="1" thickBot="1" x14ac:dyDescent="0.3">
      <c r="A266" s="139">
        <f>ESCUADRAS!B55</f>
        <v>49</v>
      </c>
      <c r="B266" s="136">
        <f>ESCUADRAS!C55</f>
        <v>0</v>
      </c>
      <c r="C266" s="129"/>
      <c r="D266" s="114"/>
      <c r="E266" s="114"/>
      <c r="F266" s="114"/>
      <c r="G266" s="117"/>
      <c r="H266" s="111"/>
      <c r="I266" s="105"/>
      <c r="J266" s="105"/>
      <c r="K266" s="105"/>
      <c r="L266" s="108"/>
      <c r="M266" s="111"/>
      <c r="N266" s="105"/>
      <c r="O266" s="105"/>
      <c r="P266" s="105"/>
      <c r="Q266" s="108"/>
      <c r="R266" s="111"/>
      <c r="S266" s="105"/>
      <c r="T266" s="105"/>
      <c r="U266" s="105"/>
      <c r="V266" s="108"/>
      <c r="W266" s="111"/>
      <c r="X266" s="105"/>
      <c r="Y266" s="105"/>
      <c r="Z266" s="105"/>
      <c r="AA266" s="108"/>
      <c r="AB266" s="133"/>
    </row>
    <row r="267" spans="1:32" ht="15.75" customHeight="1" thickTop="1" thickBot="1" x14ac:dyDescent="0.3">
      <c r="A267" s="139"/>
      <c r="B267" s="137"/>
      <c r="C267" s="130"/>
      <c r="D267" s="115"/>
      <c r="E267" s="115"/>
      <c r="F267" s="115"/>
      <c r="G267" s="118"/>
      <c r="H267" s="112"/>
      <c r="I267" s="106"/>
      <c r="J267" s="106"/>
      <c r="K267" s="106"/>
      <c r="L267" s="109"/>
      <c r="M267" s="112"/>
      <c r="N267" s="106"/>
      <c r="O267" s="106"/>
      <c r="P267" s="106"/>
      <c r="Q267" s="109"/>
      <c r="R267" s="112"/>
      <c r="S267" s="106"/>
      <c r="T267" s="106"/>
      <c r="U267" s="106"/>
      <c r="V267" s="109"/>
      <c r="W267" s="112"/>
      <c r="X267" s="106"/>
      <c r="Y267" s="106"/>
      <c r="Z267" s="106"/>
      <c r="AA267" s="109"/>
      <c r="AB267" s="134"/>
    </row>
    <row r="268" spans="1:32" ht="15.75" customHeight="1" thickTop="1" thickBot="1" x14ac:dyDescent="0.3">
      <c r="A268" s="139"/>
      <c r="B268" s="138"/>
      <c r="C268" s="131"/>
      <c r="D268" s="116"/>
      <c r="E268" s="116"/>
      <c r="F268" s="116"/>
      <c r="G268" s="119"/>
      <c r="H268" s="113"/>
      <c r="I268" s="107"/>
      <c r="J268" s="107"/>
      <c r="K268" s="107"/>
      <c r="L268" s="110"/>
      <c r="M268" s="113"/>
      <c r="N268" s="107"/>
      <c r="O268" s="107"/>
      <c r="P268" s="107"/>
      <c r="Q268" s="110"/>
      <c r="R268" s="113"/>
      <c r="S268" s="107"/>
      <c r="T268" s="107"/>
      <c r="U268" s="107"/>
      <c r="V268" s="110"/>
      <c r="W268" s="113"/>
      <c r="X268" s="107"/>
      <c r="Y268" s="107"/>
      <c r="Z268" s="107"/>
      <c r="AA268" s="110"/>
      <c r="AB268" s="135"/>
    </row>
    <row r="269" spans="1:32" ht="15.75" customHeight="1" thickTop="1" x14ac:dyDescent="0.25">
      <c r="A269" s="140">
        <f>ESCUADRAS!B56</f>
        <v>50</v>
      </c>
      <c r="B269" s="136">
        <f>ESCUADRAS!C56</f>
        <v>0</v>
      </c>
      <c r="C269" s="93"/>
      <c r="D269" s="123"/>
      <c r="E269" s="123"/>
      <c r="F269" s="123"/>
      <c r="G269" s="126"/>
      <c r="H269" s="102"/>
      <c r="I269" s="96"/>
      <c r="J269" s="96"/>
      <c r="K269" s="96"/>
      <c r="L269" s="99"/>
      <c r="M269" s="102"/>
      <c r="N269" s="96"/>
      <c r="O269" s="96"/>
      <c r="P269" s="96"/>
      <c r="Q269" s="99"/>
      <c r="R269" s="102"/>
      <c r="S269" s="96"/>
      <c r="T269" s="96"/>
      <c r="U269" s="96"/>
      <c r="V269" s="99"/>
      <c r="W269" s="111"/>
      <c r="X269" s="105"/>
      <c r="Y269" s="105"/>
      <c r="Z269" s="105"/>
      <c r="AA269" s="108"/>
      <c r="AB269" s="133"/>
    </row>
    <row r="270" spans="1:32" ht="15.75" customHeight="1" x14ac:dyDescent="0.25">
      <c r="A270" s="141"/>
      <c r="B270" s="137"/>
      <c r="C270" s="94"/>
      <c r="D270" s="124"/>
      <c r="E270" s="124"/>
      <c r="F270" s="124"/>
      <c r="G270" s="127"/>
      <c r="H270" s="103"/>
      <c r="I270" s="97"/>
      <c r="J270" s="97"/>
      <c r="K270" s="97"/>
      <c r="L270" s="100"/>
      <c r="M270" s="103"/>
      <c r="N270" s="97"/>
      <c r="O270" s="97"/>
      <c r="P270" s="97"/>
      <c r="Q270" s="100"/>
      <c r="R270" s="103"/>
      <c r="S270" s="97"/>
      <c r="T270" s="97"/>
      <c r="U270" s="97"/>
      <c r="V270" s="100"/>
      <c r="W270" s="112"/>
      <c r="X270" s="106"/>
      <c r="Y270" s="106"/>
      <c r="Z270" s="106"/>
      <c r="AA270" s="109"/>
      <c r="AB270" s="134"/>
    </row>
    <row r="271" spans="1:32" ht="15.75" customHeight="1" thickBot="1" x14ac:dyDescent="0.3">
      <c r="A271" s="142"/>
      <c r="B271" s="138"/>
      <c r="C271" s="95"/>
      <c r="D271" s="125"/>
      <c r="E271" s="125"/>
      <c r="F271" s="125"/>
      <c r="G271" s="128"/>
      <c r="H271" s="104"/>
      <c r="I271" s="98"/>
      <c r="J271" s="98"/>
      <c r="K271" s="98"/>
      <c r="L271" s="101"/>
      <c r="M271" s="104"/>
      <c r="N271" s="98"/>
      <c r="O271" s="98"/>
      <c r="P271" s="98"/>
      <c r="Q271" s="101"/>
      <c r="R271" s="104"/>
      <c r="S271" s="98"/>
      <c r="T271" s="98"/>
      <c r="U271" s="98"/>
      <c r="V271" s="101"/>
      <c r="W271" s="113"/>
      <c r="X271" s="107"/>
      <c r="Y271" s="107"/>
      <c r="Z271" s="107"/>
      <c r="AA271" s="110"/>
      <c r="AB271" s="135"/>
    </row>
    <row r="272" spans="1:32" ht="15.75" customHeight="1" thickTop="1" thickBot="1" x14ac:dyDescent="0.3">
      <c r="A272" s="139">
        <f>ESCUADRAS!B57</f>
        <v>51</v>
      </c>
      <c r="B272" s="136">
        <f>ESCUADRAS!C57</f>
        <v>0</v>
      </c>
      <c r="C272" s="93"/>
      <c r="D272" s="123"/>
      <c r="E272" s="123"/>
      <c r="F272" s="123"/>
      <c r="G272" s="126"/>
      <c r="H272" s="102"/>
      <c r="I272" s="96"/>
      <c r="J272" s="96"/>
      <c r="K272" s="96"/>
      <c r="L272" s="99"/>
      <c r="M272" s="102"/>
      <c r="N272" s="96"/>
      <c r="O272" s="96"/>
      <c r="P272" s="96"/>
      <c r="Q272" s="99"/>
      <c r="R272" s="111"/>
      <c r="S272" s="105"/>
      <c r="T272" s="105"/>
      <c r="U272" s="105"/>
      <c r="V272" s="108"/>
      <c r="W272" s="102"/>
      <c r="X272" s="96"/>
      <c r="Y272" s="96"/>
      <c r="Z272" s="96"/>
      <c r="AA272" s="99"/>
      <c r="AB272" s="133"/>
    </row>
    <row r="273" spans="1:28" ht="15.75" customHeight="1" thickTop="1" thickBot="1" x14ac:dyDescent="0.3">
      <c r="A273" s="139"/>
      <c r="B273" s="137"/>
      <c r="C273" s="94"/>
      <c r="D273" s="124"/>
      <c r="E273" s="124"/>
      <c r="F273" s="124"/>
      <c r="G273" s="127"/>
      <c r="H273" s="103"/>
      <c r="I273" s="97"/>
      <c r="J273" s="97"/>
      <c r="K273" s="97"/>
      <c r="L273" s="100"/>
      <c r="M273" s="103"/>
      <c r="N273" s="97"/>
      <c r="O273" s="97"/>
      <c r="P273" s="97"/>
      <c r="Q273" s="100"/>
      <c r="R273" s="112"/>
      <c r="S273" s="106"/>
      <c r="T273" s="106"/>
      <c r="U273" s="106"/>
      <c r="V273" s="109"/>
      <c r="W273" s="103"/>
      <c r="X273" s="97"/>
      <c r="Y273" s="97"/>
      <c r="Z273" s="97"/>
      <c r="AA273" s="100"/>
      <c r="AB273" s="134"/>
    </row>
    <row r="274" spans="1:28" ht="15.75" customHeight="1" thickTop="1" thickBot="1" x14ac:dyDescent="0.3">
      <c r="A274" s="139"/>
      <c r="B274" s="138"/>
      <c r="C274" s="95"/>
      <c r="D274" s="125"/>
      <c r="E274" s="125"/>
      <c r="F274" s="125"/>
      <c r="G274" s="128"/>
      <c r="H274" s="104"/>
      <c r="I274" s="98"/>
      <c r="J274" s="98"/>
      <c r="K274" s="98"/>
      <c r="L274" s="101"/>
      <c r="M274" s="104"/>
      <c r="N274" s="98"/>
      <c r="O274" s="98"/>
      <c r="P274" s="98"/>
      <c r="Q274" s="101"/>
      <c r="R274" s="113"/>
      <c r="S274" s="107"/>
      <c r="T274" s="107"/>
      <c r="U274" s="107"/>
      <c r="V274" s="110"/>
      <c r="W274" s="104"/>
      <c r="X274" s="98"/>
      <c r="Y274" s="98"/>
      <c r="Z274" s="98"/>
      <c r="AA274" s="101"/>
      <c r="AB274" s="135"/>
    </row>
    <row r="275" spans="1:28" ht="15.75" customHeight="1" thickTop="1" x14ac:dyDescent="0.25">
      <c r="A275" s="140">
        <f>ESCUADRAS!B58</f>
        <v>52</v>
      </c>
      <c r="B275" s="136">
        <f>ESCUADRAS!C58</f>
        <v>0</v>
      </c>
      <c r="C275" s="93"/>
      <c r="D275" s="123"/>
      <c r="E275" s="123"/>
      <c r="F275" s="123"/>
      <c r="G275" s="126"/>
      <c r="H275" s="102"/>
      <c r="I275" s="96"/>
      <c r="J275" s="96"/>
      <c r="K275" s="96"/>
      <c r="L275" s="99"/>
      <c r="M275" s="111"/>
      <c r="N275" s="105"/>
      <c r="O275" s="105"/>
      <c r="P275" s="105"/>
      <c r="Q275" s="108"/>
      <c r="R275" s="102"/>
      <c r="S275" s="96"/>
      <c r="T275" s="96"/>
      <c r="U275" s="96"/>
      <c r="V275" s="99"/>
      <c r="W275" s="102"/>
      <c r="X275" s="96"/>
      <c r="Y275" s="96"/>
      <c r="Z275" s="96"/>
      <c r="AA275" s="99"/>
      <c r="AB275" s="133"/>
    </row>
    <row r="276" spans="1:28" ht="15.75" customHeight="1" x14ac:dyDescent="0.25">
      <c r="A276" s="141"/>
      <c r="B276" s="137"/>
      <c r="C276" s="94"/>
      <c r="D276" s="124"/>
      <c r="E276" s="124"/>
      <c r="F276" s="124"/>
      <c r="G276" s="127"/>
      <c r="H276" s="103"/>
      <c r="I276" s="97"/>
      <c r="J276" s="97"/>
      <c r="K276" s="97"/>
      <c r="L276" s="100"/>
      <c r="M276" s="112"/>
      <c r="N276" s="106"/>
      <c r="O276" s="106"/>
      <c r="P276" s="106"/>
      <c r="Q276" s="109"/>
      <c r="R276" s="103"/>
      <c r="S276" s="97"/>
      <c r="T276" s="97"/>
      <c r="U276" s="97"/>
      <c r="V276" s="100"/>
      <c r="W276" s="103"/>
      <c r="X276" s="97"/>
      <c r="Y276" s="97"/>
      <c r="Z276" s="97"/>
      <c r="AA276" s="100"/>
      <c r="AB276" s="134"/>
    </row>
    <row r="277" spans="1:28" ht="15.75" customHeight="1" thickBot="1" x14ac:dyDescent="0.3">
      <c r="A277" s="142"/>
      <c r="B277" s="138"/>
      <c r="C277" s="95"/>
      <c r="D277" s="125"/>
      <c r="E277" s="125"/>
      <c r="F277" s="125"/>
      <c r="G277" s="128"/>
      <c r="H277" s="104"/>
      <c r="I277" s="98"/>
      <c r="J277" s="98"/>
      <c r="K277" s="98"/>
      <c r="L277" s="101"/>
      <c r="M277" s="113"/>
      <c r="N277" s="107"/>
      <c r="O277" s="107"/>
      <c r="P277" s="107"/>
      <c r="Q277" s="110"/>
      <c r="R277" s="104"/>
      <c r="S277" s="98"/>
      <c r="T277" s="98"/>
      <c r="U277" s="98"/>
      <c r="V277" s="101"/>
      <c r="W277" s="104"/>
      <c r="X277" s="98"/>
      <c r="Y277" s="98"/>
      <c r="Z277" s="98"/>
      <c r="AA277" s="101"/>
      <c r="AB277" s="135"/>
    </row>
    <row r="278" spans="1:28" ht="15.75" customHeight="1" thickTop="1" thickBot="1" x14ac:dyDescent="0.3">
      <c r="A278" s="139">
        <f>ESCUADRAS!B59</f>
        <v>53</v>
      </c>
      <c r="B278" s="136">
        <f>ESCUADRAS!C59</f>
        <v>0</v>
      </c>
      <c r="C278" s="93"/>
      <c r="D278" s="123"/>
      <c r="E278" s="123"/>
      <c r="F278" s="123"/>
      <c r="G278" s="126"/>
      <c r="H278" s="111"/>
      <c r="I278" s="105"/>
      <c r="J278" s="105"/>
      <c r="K278" s="105"/>
      <c r="L278" s="108"/>
      <c r="M278" s="102"/>
      <c r="N278" s="96"/>
      <c r="O278" s="96"/>
      <c r="P278" s="96"/>
      <c r="Q278" s="99"/>
      <c r="R278" s="102"/>
      <c r="S278" s="96"/>
      <c r="T278" s="96"/>
      <c r="U278" s="96"/>
      <c r="V278" s="99"/>
      <c r="W278" s="102"/>
      <c r="X278" s="96"/>
      <c r="Y278" s="96"/>
      <c r="Z278" s="96"/>
      <c r="AA278" s="99"/>
      <c r="AB278" s="133"/>
    </row>
    <row r="279" spans="1:28" ht="15.75" customHeight="1" thickTop="1" thickBot="1" x14ac:dyDescent="0.3">
      <c r="A279" s="139"/>
      <c r="B279" s="137"/>
      <c r="C279" s="94"/>
      <c r="D279" s="124"/>
      <c r="E279" s="124"/>
      <c r="F279" s="124"/>
      <c r="G279" s="127"/>
      <c r="H279" s="112"/>
      <c r="I279" s="106"/>
      <c r="J279" s="106"/>
      <c r="K279" s="106"/>
      <c r="L279" s="109"/>
      <c r="M279" s="103"/>
      <c r="N279" s="97"/>
      <c r="O279" s="97"/>
      <c r="P279" s="97"/>
      <c r="Q279" s="100"/>
      <c r="R279" s="103"/>
      <c r="S279" s="97"/>
      <c r="T279" s="97"/>
      <c r="U279" s="97"/>
      <c r="V279" s="100"/>
      <c r="W279" s="103"/>
      <c r="X279" s="97"/>
      <c r="Y279" s="97"/>
      <c r="Z279" s="97"/>
      <c r="AA279" s="100"/>
      <c r="AB279" s="134"/>
    </row>
    <row r="280" spans="1:28" ht="15.75" customHeight="1" thickTop="1" thickBot="1" x14ac:dyDescent="0.3">
      <c r="A280" s="139"/>
      <c r="B280" s="138"/>
      <c r="C280" s="95"/>
      <c r="D280" s="125"/>
      <c r="E280" s="125"/>
      <c r="F280" s="125"/>
      <c r="G280" s="128"/>
      <c r="H280" s="113"/>
      <c r="I280" s="107"/>
      <c r="J280" s="107"/>
      <c r="K280" s="107"/>
      <c r="L280" s="110"/>
      <c r="M280" s="104"/>
      <c r="N280" s="98"/>
      <c r="O280" s="98"/>
      <c r="P280" s="98"/>
      <c r="Q280" s="101"/>
      <c r="R280" s="104"/>
      <c r="S280" s="98"/>
      <c r="T280" s="98"/>
      <c r="U280" s="98"/>
      <c r="V280" s="101"/>
      <c r="W280" s="104"/>
      <c r="X280" s="98"/>
      <c r="Y280" s="98"/>
      <c r="Z280" s="98"/>
      <c r="AA280" s="101"/>
      <c r="AB280" s="135"/>
    </row>
    <row r="281" spans="1:28" ht="15.75" customHeight="1" thickTop="1" x14ac:dyDescent="0.25">
      <c r="A281" s="140">
        <f>ESCUADRAS!B60</f>
        <v>54</v>
      </c>
      <c r="B281" s="136">
        <f>ESCUADRAS!C60</f>
        <v>0</v>
      </c>
      <c r="C281" s="111"/>
      <c r="D281" s="105"/>
      <c r="E281" s="105"/>
      <c r="F281" s="105"/>
      <c r="G281" s="108"/>
      <c r="H281" s="122"/>
      <c r="I281" s="120"/>
      <c r="J281" s="120"/>
      <c r="K281" s="120"/>
      <c r="L281" s="121"/>
      <c r="M281" s="122"/>
      <c r="N281" s="120"/>
      <c r="O281" s="120"/>
      <c r="P281" s="120"/>
      <c r="Q281" s="121"/>
      <c r="R281" s="122"/>
      <c r="S281" s="120"/>
      <c r="T281" s="120"/>
      <c r="U281" s="120"/>
      <c r="V281" s="121"/>
      <c r="W281" s="122"/>
      <c r="X281" s="120"/>
      <c r="Y281" s="120"/>
      <c r="Z281" s="120"/>
      <c r="AA281" s="121"/>
      <c r="AB281" s="133"/>
    </row>
    <row r="282" spans="1:28" ht="15.75" customHeight="1" x14ac:dyDescent="0.25">
      <c r="A282" s="141"/>
      <c r="B282" s="137"/>
      <c r="C282" s="112"/>
      <c r="D282" s="106"/>
      <c r="E282" s="106"/>
      <c r="F282" s="106"/>
      <c r="G282" s="109"/>
      <c r="H282" s="103"/>
      <c r="I282" s="97"/>
      <c r="J282" s="97"/>
      <c r="K282" s="97"/>
      <c r="L282" s="100"/>
      <c r="M282" s="103"/>
      <c r="N282" s="97"/>
      <c r="O282" s="97"/>
      <c r="P282" s="97"/>
      <c r="Q282" s="100"/>
      <c r="R282" s="103"/>
      <c r="S282" s="97"/>
      <c r="T282" s="97"/>
      <c r="U282" s="97"/>
      <c r="V282" s="100"/>
      <c r="W282" s="103"/>
      <c r="X282" s="97"/>
      <c r="Y282" s="97"/>
      <c r="Z282" s="97"/>
      <c r="AA282" s="100"/>
      <c r="AB282" s="134"/>
    </row>
    <row r="283" spans="1:28" ht="15.75" customHeight="1" thickBot="1" x14ac:dyDescent="0.3">
      <c r="A283" s="142"/>
      <c r="B283" s="138"/>
      <c r="C283" s="113"/>
      <c r="D283" s="107"/>
      <c r="E283" s="107"/>
      <c r="F283" s="107"/>
      <c r="G283" s="110"/>
      <c r="H283" s="104"/>
      <c r="I283" s="98"/>
      <c r="J283" s="98"/>
      <c r="K283" s="98"/>
      <c r="L283" s="101"/>
      <c r="M283" s="104"/>
      <c r="N283" s="98"/>
      <c r="O283" s="98"/>
      <c r="P283" s="98"/>
      <c r="Q283" s="101"/>
      <c r="R283" s="104"/>
      <c r="S283" s="98"/>
      <c r="T283" s="98"/>
      <c r="U283" s="98"/>
      <c r="V283" s="101"/>
      <c r="W283" s="104"/>
      <c r="X283" s="98"/>
      <c r="Y283" s="98"/>
      <c r="Z283" s="98"/>
      <c r="AA283" s="101"/>
      <c r="AB283" s="135"/>
    </row>
    <row r="284" spans="1:28" ht="15" x14ac:dyDescent="0.25">
      <c r="A284" s="28"/>
    </row>
    <row r="285" spans="1:28" ht="15" x14ac:dyDescent="0.25">
      <c r="A285" s="28"/>
      <c r="B285" s="26" t="s">
        <v>35</v>
      </c>
      <c r="E285" s="21" t="s">
        <v>41</v>
      </c>
      <c r="I285" s="21" t="s">
        <v>42</v>
      </c>
      <c r="M285" s="21" t="s">
        <v>43</v>
      </c>
      <c r="Q285" s="21" t="s">
        <v>44</v>
      </c>
      <c r="U285" s="21" t="s">
        <v>45</v>
      </c>
      <c r="Y285" s="21" t="s">
        <v>46</v>
      </c>
    </row>
    <row r="286" spans="1:28" ht="15" x14ac:dyDescent="0.25">
      <c r="A286" s="28"/>
    </row>
    <row r="290" spans="1:32" ht="24.6" x14ac:dyDescent="0.25">
      <c r="A290" s="144" t="str">
        <f>'INSCRIPCION '!A$1</f>
        <v>TIRADA</v>
      </c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</row>
    <row r="291" spans="1:32" ht="19.5" customHeight="1" x14ac:dyDescent="0.4">
      <c r="A291" s="23"/>
      <c r="B291" s="23"/>
    </row>
    <row r="292" spans="1:32" ht="22.5" customHeight="1" x14ac:dyDescent="0.25">
      <c r="A292" s="132" t="str">
        <f>'INSCRIPCION '!A$2</f>
        <v>CAMPO DE TIRO LA ISLA</v>
      </c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</row>
    <row r="293" spans="1:32" ht="19.5" customHeight="1" x14ac:dyDescent="0.25">
      <c r="A293" s="143" t="str">
        <f>'INSCRIPCION '!A$3</f>
        <v>XXX PLATOS</v>
      </c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</row>
    <row r="294" spans="1:32" ht="22.8" x14ac:dyDescent="0.4">
      <c r="A294" s="24"/>
      <c r="B294" s="24"/>
    </row>
    <row r="295" spans="1:32" ht="17.399999999999999" x14ac:dyDescent="0.3">
      <c r="A295" s="25" t="s">
        <v>18</v>
      </c>
      <c r="B295" s="25"/>
      <c r="J295" s="9" t="s">
        <v>6</v>
      </c>
      <c r="K295" s="9"/>
      <c r="L295" s="9"/>
      <c r="M295" s="9"/>
      <c r="N295" s="9"/>
      <c r="O295" s="22">
        <v>2</v>
      </c>
      <c r="P295" s="22"/>
      <c r="Q295" s="8"/>
      <c r="R295" s="8"/>
      <c r="S295" s="7"/>
      <c r="T295" s="8"/>
      <c r="U295" s="8"/>
      <c r="V295" s="9" t="s">
        <v>7</v>
      </c>
      <c r="W295" s="9"/>
      <c r="X295" s="9"/>
      <c r="Y295" s="9"/>
      <c r="Z295" s="22">
        <v>1</v>
      </c>
      <c r="AA295" s="22"/>
    </row>
    <row r="296" spans="1:32" ht="13.8" thickBot="1" x14ac:dyDescent="0.3"/>
    <row r="297" spans="1:32" ht="15.6" thickBot="1" x14ac:dyDescent="0.3">
      <c r="A297" s="27" t="s">
        <v>0</v>
      </c>
      <c r="B297" s="27" t="s">
        <v>8</v>
      </c>
      <c r="C297" s="47">
        <v>1</v>
      </c>
      <c r="D297" s="48">
        <v>2</v>
      </c>
      <c r="E297" s="48">
        <v>3</v>
      </c>
      <c r="F297" s="48">
        <v>4</v>
      </c>
      <c r="G297" s="49">
        <v>5</v>
      </c>
      <c r="H297" s="47">
        <v>6</v>
      </c>
      <c r="I297" s="48">
        <v>7</v>
      </c>
      <c r="J297" s="48">
        <v>8</v>
      </c>
      <c r="K297" s="48">
        <v>9</v>
      </c>
      <c r="L297" s="49">
        <v>10</v>
      </c>
      <c r="M297" s="47">
        <v>11</v>
      </c>
      <c r="N297" s="48">
        <v>12</v>
      </c>
      <c r="O297" s="48">
        <v>13</v>
      </c>
      <c r="P297" s="48">
        <v>14</v>
      </c>
      <c r="Q297" s="49">
        <v>15</v>
      </c>
      <c r="R297" s="47">
        <v>16</v>
      </c>
      <c r="S297" s="48">
        <v>17</v>
      </c>
      <c r="T297" s="48">
        <v>18</v>
      </c>
      <c r="U297" s="48">
        <v>19</v>
      </c>
      <c r="V297" s="49">
        <v>20</v>
      </c>
      <c r="W297" s="47">
        <v>21</v>
      </c>
      <c r="X297" s="48">
        <v>22</v>
      </c>
      <c r="Y297" s="48">
        <v>23</v>
      </c>
      <c r="Z297" s="48">
        <v>24</v>
      </c>
      <c r="AA297" s="49">
        <v>25</v>
      </c>
      <c r="AB297" s="30" t="s">
        <v>1</v>
      </c>
    </row>
    <row r="298" spans="1:32" ht="15.75" customHeight="1" thickTop="1" thickBot="1" x14ac:dyDescent="0.3">
      <c r="A298" s="139">
        <f>ESCUADRAS!B61</f>
        <v>55</v>
      </c>
      <c r="B298" s="136">
        <f>ESCUADRAS!C61</f>
        <v>0</v>
      </c>
      <c r="C298" s="129"/>
      <c r="D298" s="114"/>
      <c r="E298" s="114"/>
      <c r="F298" s="114"/>
      <c r="G298" s="117"/>
      <c r="H298" s="111"/>
      <c r="I298" s="105"/>
      <c r="J298" s="105"/>
      <c r="K298" s="105"/>
      <c r="L298" s="108"/>
      <c r="M298" s="111"/>
      <c r="N298" s="105"/>
      <c r="O298" s="105"/>
      <c r="P298" s="105"/>
      <c r="Q298" s="108"/>
      <c r="R298" s="111"/>
      <c r="S298" s="105"/>
      <c r="T298" s="105"/>
      <c r="U298" s="105"/>
      <c r="V298" s="108"/>
      <c r="W298" s="111"/>
      <c r="X298" s="105"/>
      <c r="Y298" s="105"/>
      <c r="Z298" s="105"/>
      <c r="AA298" s="108"/>
      <c r="AB298" s="133"/>
    </row>
    <row r="299" spans="1:32" ht="15.75" customHeight="1" thickTop="1" thickBot="1" x14ac:dyDescent="0.3">
      <c r="A299" s="139"/>
      <c r="B299" s="137"/>
      <c r="C299" s="130"/>
      <c r="D299" s="115"/>
      <c r="E299" s="115"/>
      <c r="F299" s="115"/>
      <c r="G299" s="118"/>
      <c r="H299" s="112"/>
      <c r="I299" s="106"/>
      <c r="J299" s="106"/>
      <c r="K299" s="106"/>
      <c r="L299" s="109"/>
      <c r="M299" s="112"/>
      <c r="N299" s="106"/>
      <c r="O299" s="106"/>
      <c r="P299" s="106"/>
      <c r="Q299" s="109"/>
      <c r="R299" s="112"/>
      <c r="S299" s="106"/>
      <c r="T299" s="106"/>
      <c r="U299" s="106"/>
      <c r="V299" s="109"/>
      <c r="W299" s="112"/>
      <c r="X299" s="106"/>
      <c r="Y299" s="106"/>
      <c r="Z299" s="106"/>
      <c r="AA299" s="109"/>
      <c r="AB299" s="134"/>
    </row>
    <row r="300" spans="1:32" ht="15.75" customHeight="1" thickTop="1" thickBot="1" x14ac:dyDescent="0.3">
      <c r="A300" s="139"/>
      <c r="B300" s="138"/>
      <c r="C300" s="131"/>
      <c r="D300" s="116"/>
      <c r="E300" s="116"/>
      <c r="F300" s="116"/>
      <c r="G300" s="119"/>
      <c r="H300" s="113"/>
      <c r="I300" s="107"/>
      <c r="J300" s="107"/>
      <c r="K300" s="107"/>
      <c r="L300" s="110"/>
      <c r="M300" s="113"/>
      <c r="N300" s="107"/>
      <c r="O300" s="107"/>
      <c r="P300" s="107"/>
      <c r="Q300" s="110"/>
      <c r="R300" s="113"/>
      <c r="S300" s="107"/>
      <c r="T300" s="107"/>
      <c r="U300" s="107"/>
      <c r="V300" s="110"/>
      <c r="W300" s="113"/>
      <c r="X300" s="107"/>
      <c r="Y300" s="107"/>
      <c r="Z300" s="107"/>
      <c r="AA300" s="110"/>
      <c r="AB300" s="135"/>
    </row>
    <row r="301" spans="1:32" ht="15.75" customHeight="1" thickTop="1" x14ac:dyDescent="0.25">
      <c r="A301" s="140">
        <f>ESCUADRAS!B62</f>
        <v>56</v>
      </c>
      <c r="B301" s="136">
        <f>ESCUADRAS!C62</f>
        <v>0</v>
      </c>
      <c r="C301" s="93"/>
      <c r="D301" s="123"/>
      <c r="E301" s="123"/>
      <c r="F301" s="123"/>
      <c r="G301" s="126"/>
      <c r="H301" s="102"/>
      <c r="I301" s="96"/>
      <c r="J301" s="96"/>
      <c r="K301" s="96"/>
      <c r="L301" s="99"/>
      <c r="M301" s="102"/>
      <c r="N301" s="96"/>
      <c r="O301" s="96"/>
      <c r="P301" s="96"/>
      <c r="Q301" s="99"/>
      <c r="R301" s="102"/>
      <c r="S301" s="96"/>
      <c r="T301" s="96"/>
      <c r="U301" s="96"/>
      <c r="V301" s="99"/>
      <c r="W301" s="111"/>
      <c r="X301" s="105"/>
      <c r="Y301" s="105"/>
      <c r="Z301" s="105"/>
      <c r="AA301" s="108"/>
      <c r="AB301" s="133"/>
    </row>
    <row r="302" spans="1:32" ht="15.75" customHeight="1" x14ac:dyDescent="0.25">
      <c r="A302" s="141"/>
      <c r="B302" s="137"/>
      <c r="C302" s="94"/>
      <c r="D302" s="124"/>
      <c r="E302" s="124"/>
      <c r="F302" s="124"/>
      <c r="G302" s="127"/>
      <c r="H302" s="103"/>
      <c r="I302" s="97"/>
      <c r="J302" s="97"/>
      <c r="K302" s="97"/>
      <c r="L302" s="100"/>
      <c r="M302" s="103"/>
      <c r="N302" s="97"/>
      <c r="O302" s="97"/>
      <c r="P302" s="97"/>
      <c r="Q302" s="100"/>
      <c r="R302" s="103"/>
      <c r="S302" s="97"/>
      <c r="T302" s="97"/>
      <c r="U302" s="97"/>
      <c r="V302" s="100"/>
      <c r="W302" s="112"/>
      <c r="X302" s="106"/>
      <c r="Y302" s="106"/>
      <c r="Z302" s="106"/>
      <c r="AA302" s="109"/>
      <c r="AB302" s="134"/>
    </row>
    <row r="303" spans="1:32" ht="15.75" customHeight="1" thickBot="1" x14ac:dyDescent="0.3">
      <c r="A303" s="142"/>
      <c r="B303" s="138"/>
      <c r="C303" s="95"/>
      <c r="D303" s="125"/>
      <c r="E303" s="125"/>
      <c r="F303" s="125"/>
      <c r="G303" s="128"/>
      <c r="H303" s="104"/>
      <c r="I303" s="98"/>
      <c r="J303" s="98"/>
      <c r="K303" s="98"/>
      <c r="L303" s="101"/>
      <c r="M303" s="104"/>
      <c r="N303" s="98"/>
      <c r="O303" s="98"/>
      <c r="P303" s="98"/>
      <c r="Q303" s="101"/>
      <c r="R303" s="104"/>
      <c r="S303" s="98"/>
      <c r="T303" s="98"/>
      <c r="U303" s="98"/>
      <c r="V303" s="101"/>
      <c r="W303" s="113"/>
      <c r="X303" s="107"/>
      <c r="Y303" s="107"/>
      <c r="Z303" s="107"/>
      <c r="AA303" s="110"/>
      <c r="AB303" s="135"/>
    </row>
    <row r="304" spans="1:32" ht="15.75" customHeight="1" thickTop="1" thickBot="1" x14ac:dyDescent="0.3">
      <c r="A304" s="139">
        <f>ESCUADRAS!B63</f>
        <v>57</v>
      </c>
      <c r="B304" s="136">
        <f>ESCUADRAS!C63</f>
        <v>0</v>
      </c>
      <c r="C304" s="93"/>
      <c r="D304" s="123"/>
      <c r="E304" s="123"/>
      <c r="F304" s="123"/>
      <c r="G304" s="126"/>
      <c r="H304" s="102"/>
      <c r="I304" s="96"/>
      <c r="J304" s="96"/>
      <c r="K304" s="96"/>
      <c r="L304" s="99"/>
      <c r="M304" s="102"/>
      <c r="N304" s="96"/>
      <c r="O304" s="96"/>
      <c r="P304" s="96"/>
      <c r="Q304" s="99"/>
      <c r="R304" s="111"/>
      <c r="S304" s="105"/>
      <c r="T304" s="105"/>
      <c r="U304" s="105"/>
      <c r="V304" s="108"/>
      <c r="W304" s="102"/>
      <c r="X304" s="96"/>
      <c r="Y304" s="96"/>
      <c r="Z304" s="96"/>
      <c r="AA304" s="99"/>
      <c r="AB304" s="133"/>
    </row>
    <row r="305" spans="1:28" ht="15.75" customHeight="1" thickTop="1" thickBot="1" x14ac:dyDescent="0.3">
      <c r="A305" s="139"/>
      <c r="B305" s="137"/>
      <c r="C305" s="94"/>
      <c r="D305" s="124"/>
      <c r="E305" s="124"/>
      <c r="F305" s="124"/>
      <c r="G305" s="127"/>
      <c r="H305" s="103"/>
      <c r="I305" s="97"/>
      <c r="J305" s="97"/>
      <c r="K305" s="97"/>
      <c r="L305" s="100"/>
      <c r="M305" s="103"/>
      <c r="N305" s="97"/>
      <c r="O305" s="97"/>
      <c r="P305" s="97"/>
      <c r="Q305" s="100"/>
      <c r="R305" s="112"/>
      <c r="S305" s="106"/>
      <c r="T305" s="106"/>
      <c r="U305" s="106"/>
      <c r="V305" s="109"/>
      <c r="W305" s="103"/>
      <c r="X305" s="97"/>
      <c r="Y305" s="97"/>
      <c r="Z305" s="97"/>
      <c r="AA305" s="100"/>
      <c r="AB305" s="134"/>
    </row>
    <row r="306" spans="1:28" ht="15.75" customHeight="1" thickTop="1" thickBot="1" x14ac:dyDescent="0.3">
      <c r="A306" s="139"/>
      <c r="B306" s="138"/>
      <c r="C306" s="95"/>
      <c r="D306" s="125"/>
      <c r="E306" s="125"/>
      <c r="F306" s="125"/>
      <c r="G306" s="128"/>
      <c r="H306" s="104"/>
      <c r="I306" s="98"/>
      <c r="J306" s="98"/>
      <c r="K306" s="98"/>
      <c r="L306" s="101"/>
      <c r="M306" s="104"/>
      <c r="N306" s="98"/>
      <c r="O306" s="98"/>
      <c r="P306" s="98"/>
      <c r="Q306" s="101"/>
      <c r="R306" s="113"/>
      <c r="S306" s="107"/>
      <c r="T306" s="107"/>
      <c r="U306" s="107"/>
      <c r="V306" s="110"/>
      <c r="W306" s="104"/>
      <c r="X306" s="98"/>
      <c r="Y306" s="98"/>
      <c r="Z306" s="98"/>
      <c r="AA306" s="101"/>
      <c r="AB306" s="135"/>
    </row>
    <row r="307" spans="1:28" ht="15.75" customHeight="1" thickTop="1" x14ac:dyDescent="0.25">
      <c r="A307" s="140">
        <f>ESCUADRAS!B64</f>
        <v>58</v>
      </c>
      <c r="B307" s="136">
        <f>ESCUADRAS!C64</f>
        <v>0</v>
      </c>
      <c r="C307" s="93"/>
      <c r="D307" s="123"/>
      <c r="E307" s="123"/>
      <c r="F307" s="123"/>
      <c r="G307" s="126"/>
      <c r="H307" s="102"/>
      <c r="I307" s="96"/>
      <c r="J307" s="96"/>
      <c r="K307" s="96"/>
      <c r="L307" s="99"/>
      <c r="M307" s="111"/>
      <c r="N307" s="105"/>
      <c r="O307" s="105"/>
      <c r="P307" s="105"/>
      <c r="Q307" s="108"/>
      <c r="R307" s="102"/>
      <c r="S307" s="96"/>
      <c r="T307" s="96"/>
      <c r="U307" s="96"/>
      <c r="V307" s="99"/>
      <c r="W307" s="102"/>
      <c r="X307" s="96"/>
      <c r="Y307" s="96"/>
      <c r="Z307" s="96"/>
      <c r="AA307" s="99"/>
      <c r="AB307" s="133"/>
    </row>
    <row r="308" spans="1:28" ht="15.75" customHeight="1" x14ac:dyDescent="0.25">
      <c r="A308" s="141"/>
      <c r="B308" s="137"/>
      <c r="C308" s="94"/>
      <c r="D308" s="124"/>
      <c r="E308" s="124"/>
      <c r="F308" s="124"/>
      <c r="G308" s="127"/>
      <c r="H308" s="103"/>
      <c r="I308" s="97"/>
      <c r="J308" s="97"/>
      <c r="K308" s="97"/>
      <c r="L308" s="100"/>
      <c r="M308" s="112"/>
      <c r="N308" s="106"/>
      <c r="O308" s="106"/>
      <c r="P308" s="106"/>
      <c r="Q308" s="109"/>
      <c r="R308" s="103"/>
      <c r="S308" s="97"/>
      <c r="T308" s="97"/>
      <c r="U308" s="97"/>
      <c r="V308" s="100"/>
      <c r="W308" s="103"/>
      <c r="X308" s="97"/>
      <c r="Y308" s="97"/>
      <c r="Z308" s="97"/>
      <c r="AA308" s="100"/>
      <c r="AB308" s="134"/>
    </row>
    <row r="309" spans="1:28" ht="15.75" customHeight="1" thickBot="1" x14ac:dyDescent="0.3">
      <c r="A309" s="142"/>
      <c r="B309" s="138"/>
      <c r="C309" s="95"/>
      <c r="D309" s="125"/>
      <c r="E309" s="125"/>
      <c r="F309" s="125"/>
      <c r="G309" s="128"/>
      <c r="H309" s="104"/>
      <c r="I309" s="98"/>
      <c r="J309" s="98"/>
      <c r="K309" s="98"/>
      <c r="L309" s="101"/>
      <c r="M309" s="113"/>
      <c r="N309" s="107"/>
      <c r="O309" s="107"/>
      <c r="P309" s="107"/>
      <c r="Q309" s="110"/>
      <c r="R309" s="104"/>
      <c r="S309" s="98"/>
      <c r="T309" s="98"/>
      <c r="U309" s="98"/>
      <c r="V309" s="101"/>
      <c r="W309" s="104"/>
      <c r="X309" s="98"/>
      <c r="Y309" s="98"/>
      <c r="Z309" s="98"/>
      <c r="AA309" s="101"/>
      <c r="AB309" s="135"/>
    </row>
    <row r="310" spans="1:28" ht="15.75" customHeight="1" thickTop="1" thickBot="1" x14ac:dyDescent="0.3">
      <c r="A310" s="139">
        <f>ESCUADRAS!B65</f>
        <v>59</v>
      </c>
      <c r="B310" s="136">
        <f>ESCUADRAS!C65</f>
        <v>0</v>
      </c>
      <c r="C310" s="93"/>
      <c r="D310" s="123"/>
      <c r="E310" s="123"/>
      <c r="F310" s="123"/>
      <c r="G310" s="126"/>
      <c r="H310" s="111"/>
      <c r="I310" s="105"/>
      <c r="J310" s="105"/>
      <c r="K310" s="105"/>
      <c r="L310" s="108"/>
      <c r="M310" s="102"/>
      <c r="N310" s="96"/>
      <c r="O310" s="96"/>
      <c r="P310" s="96"/>
      <c r="Q310" s="99"/>
      <c r="R310" s="102"/>
      <c r="S310" s="96"/>
      <c r="T310" s="96"/>
      <c r="U310" s="96"/>
      <c r="V310" s="99"/>
      <c r="W310" s="102"/>
      <c r="X310" s="96"/>
      <c r="Y310" s="96"/>
      <c r="Z310" s="96"/>
      <c r="AA310" s="99"/>
      <c r="AB310" s="133"/>
    </row>
    <row r="311" spans="1:28" ht="15.75" customHeight="1" thickTop="1" thickBot="1" x14ac:dyDescent="0.3">
      <c r="A311" s="139"/>
      <c r="B311" s="137"/>
      <c r="C311" s="94"/>
      <c r="D311" s="124"/>
      <c r="E311" s="124"/>
      <c r="F311" s="124"/>
      <c r="G311" s="127"/>
      <c r="H311" s="112"/>
      <c r="I311" s="106"/>
      <c r="J311" s="106"/>
      <c r="K311" s="106"/>
      <c r="L311" s="109"/>
      <c r="M311" s="103"/>
      <c r="N311" s="97"/>
      <c r="O311" s="97"/>
      <c r="P311" s="97"/>
      <c r="Q311" s="100"/>
      <c r="R311" s="103"/>
      <c r="S311" s="97"/>
      <c r="T311" s="97"/>
      <c r="U311" s="97"/>
      <c r="V311" s="100"/>
      <c r="W311" s="103"/>
      <c r="X311" s="97"/>
      <c r="Y311" s="97"/>
      <c r="Z311" s="97"/>
      <c r="AA311" s="100"/>
      <c r="AB311" s="134"/>
    </row>
    <row r="312" spans="1:28" ht="15.75" customHeight="1" thickTop="1" thickBot="1" x14ac:dyDescent="0.3">
      <c r="A312" s="139"/>
      <c r="B312" s="138"/>
      <c r="C312" s="95"/>
      <c r="D312" s="125"/>
      <c r="E312" s="125"/>
      <c r="F312" s="125"/>
      <c r="G312" s="128"/>
      <c r="H312" s="113"/>
      <c r="I312" s="107"/>
      <c r="J312" s="107"/>
      <c r="K312" s="107"/>
      <c r="L312" s="110"/>
      <c r="M312" s="104"/>
      <c r="N312" s="98"/>
      <c r="O312" s="98"/>
      <c r="P312" s="98"/>
      <c r="Q312" s="101"/>
      <c r="R312" s="104"/>
      <c r="S312" s="98"/>
      <c r="T312" s="98"/>
      <c r="U312" s="98"/>
      <c r="V312" s="101"/>
      <c r="W312" s="104"/>
      <c r="X312" s="98"/>
      <c r="Y312" s="98"/>
      <c r="Z312" s="98"/>
      <c r="AA312" s="101"/>
      <c r="AB312" s="135"/>
    </row>
    <row r="313" spans="1:28" ht="15.75" customHeight="1" thickTop="1" x14ac:dyDescent="0.25">
      <c r="A313" s="140">
        <f>ESCUADRAS!B66</f>
        <v>60</v>
      </c>
      <c r="B313" s="136">
        <f>ESCUADRAS!C66</f>
        <v>0</v>
      </c>
      <c r="C313" s="111"/>
      <c r="D313" s="105"/>
      <c r="E313" s="105"/>
      <c r="F313" s="105"/>
      <c r="G313" s="108"/>
      <c r="H313" s="122"/>
      <c r="I313" s="120"/>
      <c r="J313" s="120"/>
      <c r="K313" s="120"/>
      <c r="L313" s="121"/>
      <c r="M313" s="122"/>
      <c r="N313" s="120"/>
      <c r="O313" s="120"/>
      <c r="P313" s="120"/>
      <c r="Q313" s="121"/>
      <c r="R313" s="122"/>
      <c r="S313" s="120"/>
      <c r="T313" s="120"/>
      <c r="U313" s="120"/>
      <c r="V313" s="121"/>
      <c r="W313" s="122"/>
      <c r="X313" s="120"/>
      <c r="Y313" s="120"/>
      <c r="Z313" s="120"/>
      <c r="AA313" s="121"/>
      <c r="AB313" s="133"/>
    </row>
    <row r="314" spans="1:28" ht="15.75" customHeight="1" x14ac:dyDescent="0.25">
      <c r="A314" s="141"/>
      <c r="B314" s="137"/>
      <c r="C314" s="112"/>
      <c r="D314" s="106"/>
      <c r="E314" s="106"/>
      <c r="F314" s="106"/>
      <c r="G314" s="109"/>
      <c r="H314" s="103"/>
      <c r="I314" s="97"/>
      <c r="J314" s="97"/>
      <c r="K314" s="97"/>
      <c r="L314" s="100"/>
      <c r="M314" s="103"/>
      <c r="N314" s="97"/>
      <c r="O314" s="97"/>
      <c r="P314" s="97"/>
      <c r="Q314" s="100"/>
      <c r="R314" s="103"/>
      <c r="S314" s="97"/>
      <c r="T314" s="97"/>
      <c r="U314" s="97"/>
      <c r="V314" s="100"/>
      <c r="W314" s="103"/>
      <c r="X314" s="97"/>
      <c r="Y314" s="97"/>
      <c r="Z314" s="97"/>
      <c r="AA314" s="100"/>
      <c r="AB314" s="134"/>
    </row>
    <row r="315" spans="1:28" ht="15.75" customHeight="1" thickBot="1" x14ac:dyDescent="0.3">
      <c r="A315" s="142"/>
      <c r="B315" s="138"/>
      <c r="C315" s="113"/>
      <c r="D315" s="107"/>
      <c r="E315" s="107"/>
      <c r="F315" s="107"/>
      <c r="G315" s="110"/>
      <c r="H315" s="104"/>
      <c r="I315" s="98"/>
      <c r="J315" s="98"/>
      <c r="K315" s="98"/>
      <c r="L315" s="101"/>
      <c r="M315" s="104"/>
      <c r="N315" s="98"/>
      <c r="O315" s="98"/>
      <c r="P315" s="98"/>
      <c r="Q315" s="101"/>
      <c r="R315" s="104"/>
      <c r="S315" s="98"/>
      <c r="T315" s="98"/>
      <c r="U315" s="98"/>
      <c r="V315" s="101"/>
      <c r="W315" s="104"/>
      <c r="X315" s="98"/>
      <c r="Y315" s="98"/>
      <c r="Z315" s="98"/>
      <c r="AA315" s="101"/>
      <c r="AB315" s="135"/>
    </row>
    <row r="316" spans="1:28" ht="15" x14ac:dyDescent="0.25">
      <c r="A316" s="28"/>
    </row>
    <row r="317" spans="1:28" ht="15" x14ac:dyDescent="0.25">
      <c r="A317" s="28"/>
      <c r="B317" s="26" t="s">
        <v>35</v>
      </c>
      <c r="E317" s="21" t="s">
        <v>41</v>
      </c>
      <c r="I317" s="21" t="s">
        <v>42</v>
      </c>
      <c r="M317" s="21" t="s">
        <v>43</v>
      </c>
      <c r="Q317" s="21" t="s">
        <v>44</v>
      </c>
      <c r="U317" s="21" t="s">
        <v>45</v>
      </c>
      <c r="Y317" s="21" t="s">
        <v>46</v>
      </c>
    </row>
    <row r="318" spans="1:28" ht="15" x14ac:dyDescent="0.25">
      <c r="A318" s="28"/>
    </row>
    <row r="322" spans="1:32" ht="24.6" x14ac:dyDescent="0.25">
      <c r="A322" s="144" t="str">
        <f>'INSCRIPCION '!A$1</f>
        <v>TIRADA</v>
      </c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</row>
    <row r="323" spans="1:32" ht="19.5" customHeight="1" x14ac:dyDescent="0.4">
      <c r="A323" s="23"/>
      <c r="B323" s="23"/>
    </row>
    <row r="324" spans="1:32" ht="22.5" customHeight="1" x14ac:dyDescent="0.25">
      <c r="A324" s="132" t="str">
        <f>'INSCRIPCION '!A$2</f>
        <v>CAMPO DE TIRO LA ISLA</v>
      </c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</row>
    <row r="325" spans="1:32" ht="19.5" customHeight="1" x14ac:dyDescent="0.25">
      <c r="A325" s="143" t="str">
        <f>'INSCRIPCION '!A$3</f>
        <v>XXX PLATOS</v>
      </c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</row>
    <row r="326" spans="1:32" ht="22.8" x14ac:dyDescent="0.4">
      <c r="A326" s="24"/>
      <c r="B326" s="24"/>
    </row>
    <row r="327" spans="1:32" ht="17.399999999999999" x14ac:dyDescent="0.3">
      <c r="A327" s="25" t="s">
        <v>19</v>
      </c>
      <c r="B327" s="25"/>
      <c r="J327" s="9" t="s">
        <v>6</v>
      </c>
      <c r="K327" s="9"/>
      <c r="L327" s="9"/>
      <c r="M327" s="9"/>
      <c r="N327" s="9"/>
      <c r="O327" s="22">
        <v>3</v>
      </c>
      <c r="P327" s="22"/>
      <c r="Q327" s="8"/>
      <c r="R327" s="8"/>
      <c r="S327" s="7"/>
      <c r="T327" s="8"/>
      <c r="U327" s="8"/>
      <c r="V327" s="9" t="s">
        <v>7</v>
      </c>
      <c r="W327" s="9"/>
      <c r="X327" s="9"/>
      <c r="Y327" s="9"/>
      <c r="Z327" s="22">
        <v>1</v>
      </c>
      <c r="AA327" s="22"/>
    </row>
    <row r="328" spans="1:32" ht="13.8" thickBot="1" x14ac:dyDescent="0.3"/>
    <row r="329" spans="1:32" ht="15.6" thickBot="1" x14ac:dyDescent="0.3">
      <c r="A329" s="27" t="s">
        <v>0</v>
      </c>
      <c r="B329" s="27" t="s">
        <v>8</v>
      </c>
      <c r="C329" s="47">
        <v>1</v>
      </c>
      <c r="D329" s="48">
        <v>2</v>
      </c>
      <c r="E329" s="48">
        <v>3</v>
      </c>
      <c r="F329" s="48">
        <v>4</v>
      </c>
      <c r="G329" s="49">
        <v>5</v>
      </c>
      <c r="H329" s="47">
        <v>6</v>
      </c>
      <c r="I329" s="48">
        <v>7</v>
      </c>
      <c r="J329" s="48">
        <v>8</v>
      </c>
      <c r="K329" s="48">
        <v>9</v>
      </c>
      <c r="L329" s="49">
        <v>10</v>
      </c>
      <c r="M329" s="47">
        <v>11</v>
      </c>
      <c r="N329" s="48">
        <v>12</v>
      </c>
      <c r="O329" s="48">
        <v>13</v>
      </c>
      <c r="P329" s="48">
        <v>14</v>
      </c>
      <c r="Q329" s="49">
        <v>15</v>
      </c>
      <c r="R329" s="47">
        <v>16</v>
      </c>
      <c r="S329" s="48">
        <v>17</v>
      </c>
      <c r="T329" s="48">
        <v>18</v>
      </c>
      <c r="U329" s="48">
        <v>19</v>
      </c>
      <c r="V329" s="49">
        <v>20</v>
      </c>
      <c r="W329" s="47">
        <v>21</v>
      </c>
      <c r="X329" s="48">
        <v>22</v>
      </c>
      <c r="Y329" s="48">
        <v>23</v>
      </c>
      <c r="Z329" s="48">
        <v>24</v>
      </c>
      <c r="AA329" s="49">
        <v>25</v>
      </c>
      <c r="AB329" s="30" t="s">
        <v>1</v>
      </c>
    </row>
    <row r="330" spans="1:32" ht="15.75" customHeight="1" thickTop="1" thickBot="1" x14ac:dyDescent="0.3">
      <c r="A330" s="139">
        <f>ESCUADRAS!B67</f>
        <v>61</v>
      </c>
      <c r="B330" s="136">
        <f>ESCUADRAS!C67</f>
        <v>0</v>
      </c>
      <c r="C330" s="129"/>
      <c r="D330" s="114"/>
      <c r="E330" s="114"/>
      <c r="F330" s="114"/>
      <c r="G330" s="117"/>
      <c r="H330" s="111"/>
      <c r="I330" s="105"/>
      <c r="J330" s="105"/>
      <c r="K330" s="105"/>
      <c r="L330" s="108"/>
      <c r="M330" s="111"/>
      <c r="N330" s="105"/>
      <c r="O330" s="105"/>
      <c r="P330" s="105"/>
      <c r="Q330" s="108"/>
      <c r="R330" s="111"/>
      <c r="S330" s="105"/>
      <c r="T330" s="105"/>
      <c r="U330" s="105"/>
      <c r="V330" s="108"/>
      <c r="W330" s="111"/>
      <c r="X330" s="105"/>
      <c r="Y330" s="105"/>
      <c r="Z330" s="105"/>
      <c r="AA330" s="108"/>
      <c r="AB330" s="133"/>
    </row>
    <row r="331" spans="1:32" ht="15.75" customHeight="1" thickTop="1" thickBot="1" x14ac:dyDescent="0.3">
      <c r="A331" s="139"/>
      <c r="B331" s="137"/>
      <c r="C331" s="130"/>
      <c r="D331" s="115"/>
      <c r="E331" s="115"/>
      <c r="F331" s="115"/>
      <c r="G331" s="118"/>
      <c r="H331" s="112"/>
      <c r="I331" s="106"/>
      <c r="J331" s="106"/>
      <c r="K331" s="106"/>
      <c r="L331" s="109"/>
      <c r="M331" s="112"/>
      <c r="N331" s="106"/>
      <c r="O331" s="106"/>
      <c r="P331" s="106"/>
      <c r="Q331" s="109"/>
      <c r="R331" s="112"/>
      <c r="S331" s="106"/>
      <c r="T331" s="106"/>
      <c r="U331" s="106"/>
      <c r="V331" s="109"/>
      <c r="W331" s="112"/>
      <c r="X331" s="106"/>
      <c r="Y331" s="106"/>
      <c r="Z331" s="106"/>
      <c r="AA331" s="109"/>
      <c r="AB331" s="134"/>
    </row>
    <row r="332" spans="1:32" ht="15.75" customHeight="1" thickTop="1" thickBot="1" x14ac:dyDescent="0.3">
      <c r="A332" s="139"/>
      <c r="B332" s="138"/>
      <c r="C332" s="131"/>
      <c r="D332" s="116"/>
      <c r="E332" s="116"/>
      <c r="F332" s="116"/>
      <c r="G332" s="119"/>
      <c r="H332" s="113"/>
      <c r="I332" s="107"/>
      <c r="J332" s="107"/>
      <c r="K332" s="107"/>
      <c r="L332" s="110"/>
      <c r="M332" s="113"/>
      <c r="N332" s="107"/>
      <c r="O332" s="107"/>
      <c r="P332" s="107"/>
      <c r="Q332" s="110"/>
      <c r="R332" s="113"/>
      <c r="S332" s="107"/>
      <c r="T332" s="107"/>
      <c r="U332" s="107"/>
      <c r="V332" s="110"/>
      <c r="W332" s="113"/>
      <c r="X332" s="107"/>
      <c r="Y332" s="107"/>
      <c r="Z332" s="107"/>
      <c r="AA332" s="110"/>
      <c r="AB332" s="135"/>
    </row>
    <row r="333" spans="1:32" ht="15.75" customHeight="1" thickTop="1" x14ac:dyDescent="0.25">
      <c r="A333" s="140">
        <f>ESCUADRAS!B68</f>
        <v>62</v>
      </c>
      <c r="B333" s="136">
        <f>ESCUADRAS!C68</f>
        <v>0</v>
      </c>
      <c r="C333" s="93"/>
      <c r="D333" s="123"/>
      <c r="E333" s="123"/>
      <c r="F333" s="123"/>
      <c r="G333" s="126"/>
      <c r="H333" s="102"/>
      <c r="I333" s="96"/>
      <c r="J333" s="96"/>
      <c r="K333" s="96"/>
      <c r="L333" s="99"/>
      <c r="M333" s="102"/>
      <c r="N333" s="96"/>
      <c r="O333" s="96"/>
      <c r="P333" s="96"/>
      <c r="Q333" s="99"/>
      <c r="R333" s="102"/>
      <c r="S333" s="96"/>
      <c r="T333" s="96"/>
      <c r="U333" s="96"/>
      <c r="V333" s="99"/>
      <c r="W333" s="111"/>
      <c r="X333" s="105"/>
      <c r="Y333" s="105"/>
      <c r="Z333" s="105"/>
      <c r="AA333" s="108"/>
      <c r="AB333" s="133"/>
    </row>
    <row r="334" spans="1:32" ht="15.75" customHeight="1" x14ac:dyDescent="0.25">
      <c r="A334" s="141"/>
      <c r="B334" s="137"/>
      <c r="C334" s="94"/>
      <c r="D334" s="124"/>
      <c r="E334" s="124"/>
      <c r="F334" s="124"/>
      <c r="G334" s="127"/>
      <c r="H334" s="103"/>
      <c r="I334" s="97"/>
      <c r="J334" s="97"/>
      <c r="K334" s="97"/>
      <c r="L334" s="100"/>
      <c r="M334" s="103"/>
      <c r="N334" s="97"/>
      <c r="O334" s="97"/>
      <c r="P334" s="97"/>
      <c r="Q334" s="100"/>
      <c r="R334" s="103"/>
      <c r="S334" s="97"/>
      <c r="T334" s="97"/>
      <c r="U334" s="97"/>
      <c r="V334" s="100"/>
      <c r="W334" s="112"/>
      <c r="X334" s="106"/>
      <c r="Y334" s="106"/>
      <c r="Z334" s="106"/>
      <c r="AA334" s="109"/>
      <c r="AB334" s="134"/>
    </row>
    <row r="335" spans="1:32" ht="15.75" customHeight="1" thickBot="1" x14ac:dyDescent="0.3">
      <c r="A335" s="142"/>
      <c r="B335" s="138"/>
      <c r="C335" s="95"/>
      <c r="D335" s="125"/>
      <c r="E335" s="125"/>
      <c r="F335" s="125"/>
      <c r="G335" s="128"/>
      <c r="H335" s="104"/>
      <c r="I335" s="98"/>
      <c r="J335" s="98"/>
      <c r="K335" s="98"/>
      <c r="L335" s="101"/>
      <c r="M335" s="104"/>
      <c r="N335" s="98"/>
      <c r="O335" s="98"/>
      <c r="P335" s="98"/>
      <c r="Q335" s="101"/>
      <c r="R335" s="104"/>
      <c r="S335" s="98"/>
      <c r="T335" s="98"/>
      <c r="U335" s="98"/>
      <c r="V335" s="101"/>
      <c r="W335" s="113"/>
      <c r="X335" s="107"/>
      <c r="Y335" s="107"/>
      <c r="Z335" s="107"/>
      <c r="AA335" s="110"/>
      <c r="AB335" s="135"/>
    </row>
    <row r="336" spans="1:32" ht="15.75" customHeight="1" thickTop="1" thickBot="1" x14ac:dyDescent="0.3">
      <c r="A336" s="139">
        <f>ESCUADRAS!B69</f>
        <v>63</v>
      </c>
      <c r="B336" s="136">
        <f>ESCUADRAS!C69</f>
        <v>0</v>
      </c>
      <c r="C336" s="93"/>
      <c r="D336" s="123"/>
      <c r="E336" s="123"/>
      <c r="F336" s="123"/>
      <c r="G336" s="126"/>
      <c r="H336" s="102"/>
      <c r="I336" s="96"/>
      <c r="J336" s="96"/>
      <c r="K336" s="96"/>
      <c r="L336" s="99"/>
      <c r="M336" s="102"/>
      <c r="N336" s="96"/>
      <c r="O336" s="96"/>
      <c r="P336" s="96"/>
      <c r="Q336" s="99"/>
      <c r="R336" s="111"/>
      <c r="S336" s="105"/>
      <c r="T336" s="105"/>
      <c r="U336" s="105"/>
      <c r="V336" s="108"/>
      <c r="W336" s="102"/>
      <c r="X336" s="96"/>
      <c r="Y336" s="96"/>
      <c r="Z336" s="96"/>
      <c r="AA336" s="99"/>
      <c r="AB336" s="133"/>
    </row>
    <row r="337" spans="1:28" ht="15.75" customHeight="1" thickTop="1" thickBot="1" x14ac:dyDescent="0.3">
      <c r="A337" s="139"/>
      <c r="B337" s="137"/>
      <c r="C337" s="94"/>
      <c r="D337" s="124"/>
      <c r="E337" s="124"/>
      <c r="F337" s="124"/>
      <c r="G337" s="127"/>
      <c r="H337" s="103"/>
      <c r="I337" s="97"/>
      <c r="J337" s="97"/>
      <c r="K337" s="97"/>
      <c r="L337" s="100"/>
      <c r="M337" s="103"/>
      <c r="N337" s="97"/>
      <c r="O337" s="97"/>
      <c r="P337" s="97"/>
      <c r="Q337" s="100"/>
      <c r="R337" s="112"/>
      <c r="S337" s="106"/>
      <c r="T337" s="106"/>
      <c r="U337" s="106"/>
      <c r="V337" s="109"/>
      <c r="W337" s="103"/>
      <c r="X337" s="97"/>
      <c r="Y337" s="97"/>
      <c r="Z337" s="97"/>
      <c r="AA337" s="100"/>
      <c r="AB337" s="134"/>
    </row>
    <row r="338" spans="1:28" ht="15.75" customHeight="1" thickTop="1" thickBot="1" x14ac:dyDescent="0.3">
      <c r="A338" s="139"/>
      <c r="B338" s="138"/>
      <c r="C338" s="95"/>
      <c r="D338" s="125"/>
      <c r="E338" s="125"/>
      <c r="F338" s="125"/>
      <c r="G338" s="128"/>
      <c r="H338" s="104"/>
      <c r="I338" s="98"/>
      <c r="J338" s="98"/>
      <c r="K338" s="98"/>
      <c r="L338" s="101"/>
      <c r="M338" s="104"/>
      <c r="N338" s="98"/>
      <c r="O338" s="98"/>
      <c r="P338" s="98"/>
      <c r="Q338" s="101"/>
      <c r="R338" s="113"/>
      <c r="S338" s="107"/>
      <c r="T338" s="107"/>
      <c r="U338" s="107"/>
      <c r="V338" s="110"/>
      <c r="W338" s="104"/>
      <c r="X338" s="98"/>
      <c r="Y338" s="98"/>
      <c r="Z338" s="98"/>
      <c r="AA338" s="101"/>
      <c r="AB338" s="135"/>
    </row>
    <row r="339" spans="1:28" ht="15.75" customHeight="1" thickTop="1" x14ac:dyDescent="0.25">
      <c r="A339" s="140">
        <f>ESCUADRAS!B70</f>
        <v>64</v>
      </c>
      <c r="B339" s="136">
        <f>ESCUADRAS!C70</f>
        <v>0</v>
      </c>
      <c r="C339" s="93"/>
      <c r="D339" s="123"/>
      <c r="E339" s="123"/>
      <c r="F339" s="123"/>
      <c r="G339" s="126"/>
      <c r="H339" s="102"/>
      <c r="I339" s="96"/>
      <c r="J339" s="96"/>
      <c r="K339" s="96"/>
      <c r="L339" s="99"/>
      <c r="M339" s="111"/>
      <c r="N339" s="105"/>
      <c r="O339" s="105"/>
      <c r="P339" s="105"/>
      <c r="Q339" s="108"/>
      <c r="R339" s="102"/>
      <c r="S339" s="96"/>
      <c r="T339" s="96"/>
      <c r="U339" s="96"/>
      <c r="V339" s="99"/>
      <c r="W339" s="102"/>
      <c r="X339" s="96"/>
      <c r="Y339" s="96"/>
      <c r="Z339" s="96"/>
      <c r="AA339" s="99"/>
      <c r="AB339" s="133"/>
    </row>
    <row r="340" spans="1:28" ht="15.75" customHeight="1" x14ac:dyDescent="0.25">
      <c r="A340" s="141"/>
      <c r="B340" s="137"/>
      <c r="C340" s="94"/>
      <c r="D340" s="124"/>
      <c r="E340" s="124"/>
      <c r="F340" s="124"/>
      <c r="G340" s="127"/>
      <c r="H340" s="103"/>
      <c r="I340" s="97"/>
      <c r="J340" s="97"/>
      <c r="K340" s="97"/>
      <c r="L340" s="100"/>
      <c r="M340" s="112"/>
      <c r="N340" s="106"/>
      <c r="O340" s="106"/>
      <c r="P340" s="106"/>
      <c r="Q340" s="109"/>
      <c r="R340" s="103"/>
      <c r="S340" s="97"/>
      <c r="T340" s="97"/>
      <c r="U340" s="97"/>
      <c r="V340" s="100"/>
      <c r="W340" s="103"/>
      <c r="X340" s="97"/>
      <c r="Y340" s="97"/>
      <c r="Z340" s="97"/>
      <c r="AA340" s="100"/>
      <c r="AB340" s="134"/>
    </row>
    <row r="341" spans="1:28" ht="15.75" customHeight="1" thickBot="1" x14ac:dyDescent="0.3">
      <c r="A341" s="142"/>
      <c r="B341" s="138"/>
      <c r="C341" s="95"/>
      <c r="D341" s="125"/>
      <c r="E341" s="125"/>
      <c r="F341" s="125"/>
      <c r="G341" s="128"/>
      <c r="H341" s="104"/>
      <c r="I341" s="98"/>
      <c r="J341" s="98"/>
      <c r="K341" s="98"/>
      <c r="L341" s="101"/>
      <c r="M341" s="113"/>
      <c r="N341" s="107"/>
      <c r="O341" s="107"/>
      <c r="P341" s="107"/>
      <c r="Q341" s="110"/>
      <c r="R341" s="104"/>
      <c r="S341" s="98"/>
      <c r="T341" s="98"/>
      <c r="U341" s="98"/>
      <c r="V341" s="101"/>
      <c r="W341" s="104"/>
      <c r="X341" s="98"/>
      <c r="Y341" s="98"/>
      <c r="Z341" s="98"/>
      <c r="AA341" s="101"/>
      <c r="AB341" s="135"/>
    </row>
    <row r="342" spans="1:28" ht="15.75" customHeight="1" thickTop="1" thickBot="1" x14ac:dyDescent="0.3">
      <c r="A342" s="139">
        <f>ESCUADRAS!B71</f>
        <v>65</v>
      </c>
      <c r="B342" s="136">
        <f>ESCUADRAS!C71</f>
        <v>0</v>
      </c>
      <c r="C342" s="93"/>
      <c r="D342" s="123"/>
      <c r="E342" s="123"/>
      <c r="F342" s="123"/>
      <c r="G342" s="126"/>
      <c r="H342" s="111"/>
      <c r="I342" s="105"/>
      <c r="J342" s="105"/>
      <c r="K342" s="105"/>
      <c r="L342" s="108"/>
      <c r="M342" s="102"/>
      <c r="N342" s="96"/>
      <c r="O342" s="96"/>
      <c r="P342" s="96"/>
      <c r="Q342" s="99"/>
      <c r="R342" s="102"/>
      <c r="S342" s="96"/>
      <c r="T342" s="96"/>
      <c r="U342" s="96"/>
      <c r="V342" s="99"/>
      <c r="W342" s="102"/>
      <c r="X342" s="96"/>
      <c r="Y342" s="96"/>
      <c r="Z342" s="96"/>
      <c r="AA342" s="99"/>
      <c r="AB342" s="133"/>
    </row>
    <row r="343" spans="1:28" ht="15.75" customHeight="1" thickTop="1" thickBot="1" x14ac:dyDescent="0.3">
      <c r="A343" s="139"/>
      <c r="B343" s="137"/>
      <c r="C343" s="94"/>
      <c r="D343" s="124"/>
      <c r="E343" s="124"/>
      <c r="F343" s="124"/>
      <c r="G343" s="127"/>
      <c r="H343" s="112"/>
      <c r="I343" s="106"/>
      <c r="J343" s="106"/>
      <c r="K343" s="106"/>
      <c r="L343" s="109"/>
      <c r="M343" s="103"/>
      <c r="N343" s="97"/>
      <c r="O343" s="97"/>
      <c r="P343" s="97"/>
      <c r="Q343" s="100"/>
      <c r="R343" s="103"/>
      <c r="S343" s="97"/>
      <c r="T343" s="97"/>
      <c r="U343" s="97"/>
      <c r="V343" s="100"/>
      <c r="W343" s="103"/>
      <c r="X343" s="97"/>
      <c r="Y343" s="97"/>
      <c r="Z343" s="97"/>
      <c r="AA343" s="100"/>
      <c r="AB343" s="134"/>
    </row>
    <row r="344" spans="1:28" ht="15.75" customHeight="1" thickTop="1" thickBot="1" x14ac:dyDescent="0.3">
      <c r="A344" s="139"/>
      <c r="B344" s="138"/>
      <c r="C344" s="95"/>
      <c r="D344" s="125"/>
      <c r="E344" s="125"/>
      <c r="F344" s="125"/>
      <c r="G344" s="128"/>
      <c r="H344" s="113"/>
      <c r="I344" s="107"/>
      <c r="J344" s="107"/>
      <c r="K344" s="107"/>
      <c r="L344" s="110"/>
      <c r="M344" s="104"/>
      <c r="N344" s="98"/>
      <c r="O344" s="98"/>
      <c r="P344" s="98"/>
      <c r="Q344" s="101"/>
      <c r="R344" s="104"/>
      <c r="S344" s="98"/>
      <c r="T344" s="98"/>
      <c r="U344" s="98"/>
      <c r="V344" s="101"/>
      <c r="W344" s="104"/>
      <c r="X344" s="98"/>
      <c r="Y344" s="98"/>
      <c r="Z344" s="98"/>
      <c r="AA344" s="101"/>
      <c r="AB344" s="135"/>
    </row>
    <row r="345" spans="1:28" ht="15.75" customHeight="1" thickTop="1" x14ac:dyDescent="0.25">
      <c r="A345" s="140">
        <f>ESCUADRAS!B72</f>
        <v>66</v>
      </c>
      <c r="B345" s="136">
        <f>ESCUADRAS!C72</f>
        <v>0</v>
      </c>
      <c r="C345" s="111"/>
      <c r="D345" s="105"/>
      <c r="E345" s="105"/>
      <c r="F345" s="105"/>
      <c r="G345" s="108"/>
      <c r="H345" s="122"/>
      <c r="I345" s="120"/>
      <c r="J345" s="120"/>
      <c r="K345" s="120"/>
      <c r="L345" s="121"/>
      <c r="M345" s="122"/>
      <c r="N345" s="120"/>
      <c r="O345" s="120"/>
      <c r="P345" s="120"/>
      <c r="Q345" s="121"/>
      <c r="R345" s="122"/>
      <c r="S345" s="120"/>
      <c r="T345" s="120"/>
      <c r="U345" s="120"/>
      <c r="V345" s="121"/>
      <c r="W345" s="122"/>
      <c r="X345" s="120"/>
      <c r="Y345" s="120"/>
      <c r="Z345" s="120"/>
      <c r="AA345" s="121"/>
      <c r="AB345" s="133"/>
    </row>
    <row r="346" spans="1:28" ht="15.75" customHeight="1" x14ac:dyDescent="0.25">
      <c r="A346" s="141"/>
      <c r="B346" s="137"/>
      <c r="C346" s="112"/>
      <c r="D346" s="106"/>
      <c r="E346" s="106"/>
      <c r="F346" s="106"/>
      <c r="G346" s="109"/>
      <c r="H346" s="103"/>
      <c r="I346" s="97"/>
      <c r="J346" s="97"/>
      <c r="K346" s="97"/>
      <c r="L346" s="100"/>
      <c r="M346" s="103"/>
      <c r="N346" s="97"/>
      <c r="O346" s="97"/>
      <c r="P346" s="97"/>
      <c r="Q346" s="100"/>
      <c r="R346" s="103"/>
      <c r="S346" s="97"/>
      <c r="T346" s="97"/>
      <c r="U346" s="97"/>
      <c r="V346" s="100"/>
      <c r="W346" s="103"/>
      <c r="X346" s="97"/>
      <c r="Y346" s="97"/>
      <c r="Z346" s="97"/>
      <c r="AA346" s="100"/>
      <c r="AB346" s="134"/>
    </row>
    <row r="347" spans="1:28" ht="15.75" customHeight="1" thickBot="1" x14ac:dyDescent="0.3">
      <c r="A347" s="142"/>
      <c r="B347" s="138"/>
      <c r="C347" s="113"/>
      <c r="D347" s="107"/>
      <c r="E347" s="107"/>
      <c r="F347" s="107"/>
      <c r="G347" s="110"/>
      <c r="H347" s="104"/>
      <c r="I347" s="98"/>
      <c r="J347" s="98"/>
      <c r="K347" s="98"/>
      <c r="L347" s="101"/>
      <c r="M347" s="104"/>
      <c r="N347" s="98"/>
      <c r="O347" s="98"/>
      <c r="P347" s="98"/>
      <c r="Q347" s="101"/>
      <c r="R347" s="104"/>
      <c r="S347" s="98"/>
      <c r="T347" s="98"/>
      <c r="U347" s="98"/>
      <c r="V347" s="101"/>
      <c r="W347" s="104"/>
      <c r="X347" s="98"/>
      <c r="Y347" s="98"/>
      <c r="Z347" s="98"/>
      <c r="AA347" s="101"/>
      <c r="AB347" s="135"/>
    </row>
    <row r="348" spans="1:28" ht="15" x14ac:dyDescent="0.25">
      <c r="A348" s="28"/>
    </row>
    <row r="349" spans="1:28" ht="15" x14ac:dyDescent="0.25">
      <c r="A349" s="28"/>
      <c r="B349" s="26" t="s">
        <v>35</v>
      </c>
      <c r="E349" s="21" t="s">
        <v>41</v>
      </c>
      <c r="I349" s="21" t="s">
        <v>42</v>
      </c>
      <c r="M349" s="21" t="s">
        <v>43</v>
      </c>
      <c r="Q349" s="21" t="s">
        <v>44</v>
      </c>
      <c r="U349" s="21" t="s">
        <v>45</v>
      </c>
      <c r="Y349" s="21" t="s">
        <v>46</v>
      </c>
    </row>
    <row r="350" spans="1:28" ht="15" x14ac:dyDescent="0.25">
      <c r="A350" s="28"/>
    </row>
    <row r="354" spans="1:32" ht="24.6" x14ac:dyDescent="0.25">
      <c r="A354" s="144" t="str">
        <f>'INSCRIPCION '!A$1</f>
        <v>TIRADA</v>
      </c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</row>
    <row r="355" spans="1:32" ht="19.5" customHeight="1" x14ac:dyDescent="0.4">
      <c r="A355" s="23"/>
      <c r="B355" s="23"/>
    </row>
    <row r="356" spans="1:32" ht="21.75" customHeight="1" x14ac:dyDescent="0.25">
      <c r="A356" s="132" t="str">
        <f>'INSCRIPCION '!A$2</f>
        <v>CAMPO DE TIRO LA ISLA</v>
      </c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</row>
    <row r="357" spans="1:32" ht="19.5" customHeight="1" x14ac:dyDescent="0.25">
      <c r="A357" s="143" t="str">
        <f>'INSCRIPCION '!A$3</f>
        <v>XXX PLATOS</v>
      </c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</row>
    <row r="358" spans="1:32" ht="22.8" x14ac:dyDescent="0.4">
      <c r="A358" s="24"/>
      <c r="B358" s="24"/>
    </row>
    <row r="359" spans="1:32" ht="17.399999999999999" x14ac:dyDescent="0.3">
      <c r="A359" s="25" t="s">
        <v>20</v>
      </c>
      <c r="B359" s="25"/>
      <c r="J359" s="9" t="s">
        <v>6</v>
      </c>
      <c r="K359" s="9"/>
      <c r="L359" s="9"/>
      <c r="M359" s="9"/>
      <c r="N359" s="9"/>
      <c r="O359" s="22">
        <v>4</v>
      </c>
      <c r="P359" s="22"/>
      <c r="Q359" s="8"/>
      <c r="R359" s="8"/>
      <c r="S359" s="7"/>
      <c r="T359" s="8"/>
      <c r="U359" s="8"/>
      <c r="V359" s="9" t="s">
        <v>7</v>
      </c>
      <c r="W359" s="9"/>
      <c r="X359" s="9"/>
      <c r="Y359" s="9"/>
      <c r="Z359" s="22">
        <v>1</v>
      </c>
      <c r="AA359" s="22"/>
    </row>
    <row r="360" spans="1:32" ht="13.8" thickBot="1" x14ac:dyDescent="0.3"/>
    <row r="361" spans="1:32" ht="15.6" thickBot="1" x14ac:dyDescent="0.3">
      <c r="A361" s="27" t="s">
        <v>0</v>
      </c>
      <c r="B361" s="27" t="s">
        <v>8</v>
      </c>
      <c r="C361" s="47">
        <v>1</v>
      </c>
      <c r="D361" s="48">
        <v>2</v>
      </c>
      <c r="E361" s="48">
        <v>3</v>
      </c>
      <c r="F361" s="48">
        <v>4</v>
      </c>
      <c r="G361" s="49">
        <v>5</v>
      </c>
      <c r="H361" s="47">
        <v>6</v>
      </c>
      <c r="I361" s="48">
        <v>7</v>
      </c>
      <c r="J361" s="48">
        <v>8</v>
      </c>
      <c r="K361" s="48">
        <v>9</v>
      </c>
      <c r="L361" s="49">
        <v>10</v>
      </c>
      <c r="M361" s="47">
        <v>11</v>
      </c>
      <c r="N361" s="48">
        <v>12</v>
      </c>
      <c r="O361" s="48">
        <v>13</v>
      </c>
      <c r="P361" s="48">
        <v>14</v>
      </c>
      <c r="Q361" s="49">
        <v>15</v>
      </c>
      <c r="R361" s="47">
        <v>16</v>
      </c>
      <c r="S361" s="48">
        <v>17</v>
      </c>
      <c r="T361" s="48">
        <v>18</v>
      </c>
      <c r="U361" s="48">
        <v>19</v>
      </c>
      <c r="V361" s="49">
        <v>20</v>
      </c>
      <c r="W361" s="47">
        <v>21</v>
      </c>
      <c r="X361" s="48">
        <v>22</v>
      </c>
      <c r="Y361" s="48">
        <v>23</v>
      </c>
      <c r="Z361" s="48">
        <v>24</v>
      </c>
      <c r="AA361" s="49">
        <v>25</v>
      </c>
      <c r="AB361" s="30" t="s">
        <v>1</v>
      </c>
    </row>
    <row r="362" spans="1:32" ht="15.75" customHeight="1" thickTop="1" thickBot="1" x14ac:dyDescent="0.3">
      <c r="A362" s="139">
        <f>ESCUADRAS!B73</f>
        <v>67</v>
      </c>
      <c r="B362" s="136">
        <f>ESCUADRAS!C73</f>
        <v>0</v>
      </c>
      <c r="C362" s="129"/>
      <c r="D362" s="114"/>
      <c r="E362" s="114"/>
      <c r="F362" s="114"/>
      <c r="G362" s="117"/>
      <c r="H362" s="111"/>
      <c r="I362" s="105"/>
      <c r="J362" s="105"/>
      <c r="K362" s="105"/>
      <c r="L362" s="108"/>
      <c r="M362" s="111"/>
      <c r="N362" s="105"/>
      <c r="O362" s="105"/>
      <c r="P362" s="105"/>
      <c r="Q362" s="108"/>
      <c r="R362" s="111"/>
      <c r="S362" s="105"/>
      <c r="T362" s="105"/>
      <c r="U362" s="105"/>
      <c r="V362" s="108"/>
      <c r="W362" s="111"/>
      <c r="X362" s="105"/>
      <c r="Y362" s="105"/>
      <c r="Z362" s="105"/>
      <c r="AA362" s="108"/>
      <c r="AB362" s="133"/>
    </row>
    <row r="363" spans="1:32" ht="15.75" customHeight="1" thickTop="1" thickBot="1" x14ac:dyDescent="0.3">
      <c r="A363" s="139"/>
      <c r="B363" s="137"/>
      <c r="C363" s="130"/>
      <c r="D363" s="115"/>
      <c r="E363" s="115"/>
      <c r="F363" s="115"/>
      <c r="G363" s="118"/>
      <c r="H363" s="112"/>
      <c r="I363" s="106"/>
      <c r="J363" s="106"/>
      <c r="K363" s="106"/>
      <c r="L363" s="109"/>
      <c r="M363" s="112"/>
      <c r="N363" s="106"/>
      <c r="O363" s="106"/>
      <c r="P363" s="106"/>
      <c r="Q363" s="109"/>
      <c r="R363" s="112"/>
      <c r="S363" s="106"/>
      <c r="T363" s="106"/>
      <c r="U363" s="106"/>
      <c r="V363" s="109"/>
      <c r="W363" s="112"/>
      <c r="X363" s="106"/>
      <c r="Y363" s="106"/>
      <c r="Z363" s="106"/>
      <c r="AA363" s="109"/>
      <c r="AB363" s="134"/>
    </row>
    <row r="364" spans="1:32" ht="15.75" customHeight="1" thickTop="1" thickBot="1" x14ac:dyDescent="0.3">
      <c r="A364" s="139"/>
      <c r="B364" s="138"/>
      <c r="C364" s="131"/>
      <c r="D364" s="116"/>
      <c r="E364" s="116"/>
      <c r="F364" s="116"/>
      <c r="G364" s="119"/>
      <c r="H364" s="113"/>
      <c r="I364" s="107"/>
      <c r="J364" s="107"/>
      <c r="K364" s="107"/>
      <c r="L364" s="110"/>
      <c r="M364" s="113"/>
      <c r="N364" s="107"/>
      <c r="O364" s="107"/>
      <c r="P364" s="107"/>
      <c r="Q364" s="110"/>
      <c r="R364" s="113"/>
      <c r="S364" s="107"/>
      <c r="T364" s="107"/>
      <c r="U364" s="107"/>
      <c r="V364" s="110"/>
      <c r="W364" s="113"/>
      <c r="X364" s="107"/>
      <c r="Y364" s="107"/>
      <c r="Z364" s="107"/>
      <c r="AA364" s="110"/>
      <c r="AB364" s="135"/>
    </row>
    <row r="365" spans="1:32" ht="15.75" customHeight="1" thickTop="1" x14ac:dyDescent="0.25">
      <c r="A365" s="140">
        <f>ESCUADRAS!B74</f>
        <v>68</v>
      </c>
      <c r="B365" s="136">
        <f>ESCUADRAS!C74</f>
        <v>0</v>
      </c>
      <c r="C365" s="93"/>
      <c r="D365" s="123"/>
      <c r="E365" s="123"/>
      <c r="F365" s="123"/>
      <c r="G365" s="126"/>
      <c r="H365" s="102"/>
      <c r="I365" s="96"/>
      <c r="J365" s="96"/>
      <c r="K365" s="96"/>
      <c r="L365" s="99"/>
      <c r="M365" s="102"/>
      <c r="N365" s="96"/>
      <c r="O365" s="96"/>
      <c r="P365" s="96"/>
      <c r="Q365" s="99"/>
      <c r="R365" s="102"/>
      <c r="S365" s="96"/>
      <c r="T365" s="96"/>
      <c r="U365" s="96"/>
      <c r="V365" s="99"/>
      <c r="W365" s="111"/>
      <c r="X365" s="105"/>
      <c r="Y365" s="105"/>
      <c r="Z365" s="105"/>
      <c r="AA365" s="108"/>
      <c r="AB365" s="133"/>
    </row>
    <row r="366" spans="1:32" ht="15.75" customHeight="1" x14ac:dyDescent="0.25">
      <c r="A366" s="141"/>
      <c r="B366" s="137"/>
      <c r="C366" s="94"/>
      <c r="D366" s="124"/>
      <c r="E366" s="124"/>
      <c r="F366" s="124"/>
      <c r="G366" s="127"/>
      <c r="H366" s="103"/>
      <c r="I366" s="97"/>
      <c r="J366" s="97"/>
      <c r="K366" s="97"/>
      <c r="L366" s="100"/>
      <c r="M366" s="103"/>
      <c r="N366" s="97"/>
      <c r="O366" s="97"/>
      <c r="P366" s="97"/>
      <c r="Q366" s="100"/>
      <c r="R366" s="103"/>
      <c r="S366" s="97"/>
      <c r="T366" s="97"/>
      <c r="U366" s="97"/>
      <c r="V366" s="100"/>
      <c r="W366" s="112"/>
      <c r="X366" s="106"/>
      <c r="Y366" s="106"/>
      <c r="Z366" s="106"/>
      <c r="AA366" s="109"/>
      <c r="AB366" s="134"/>
    </row>
    <row r="367" spans="1:32" ht="15.75" customHeight="1" thickBot="1" x14ac:dyDescent="0.3">
      <c r="A367" s="142"/>
      <c r="B367" s="138"/>
      <c r="C367" s="95"/>
      <c r="D367" s="125"/>
      <c r="E367" s="125"/>
      <c r="F367" s="125"/>
      <c r="G367" s="128"/>
      <c r="H367" s="104"/>
      <c r="I367" s="98"/>
      <c r="J367" s="98"/>
      <c r="K367" s="98"/>
      <c r="L367" s="101"/>
      <c r="M367" s="104"/>
      <c r="N367" s="98"/>
      <c r="O367" s="98"/>
      <c r="P367" s="98"/>
      <c r="Q367" s="101"/>
      <c r="R367" s="104"/>
      <c r="S367" s="98"/>
      <c r="T367" s="98"/>
      <c r="U367" s="98"/>
      <c r="V367" s="101"/>
      <c r="W367" s="113"/>
      <c r="X367" s="107"/>
      <c r="Y367" s="107"/>
      <c r="Z367" s="107"/>
      <c r="AA367" s="110"/>
      <c r="AB367" s="135"/>
    </row>
    <row r="368" spans="1:32" ht="15.75" customHeight="1" thickTop="1" thickBot="1" x14ac:dyDescent="0.3">
      <c r="A368" s="139">
        <f>ESCUADRAS!B75</f>
        <v>69</v>
      </c>
      <c r="B368" s="136">
        <f>ESCUADRAS!C75</f>
        <v>0</v>
      </c>
      <c r="C368" s="93"/>
      <c r="D368" s="123"/>
      <c r="E368" s="123"/>
      <c r="F368" s="123"/>
      <c r="G368" s="126"/>
      <c r="H368" s="102"/>
      <c r="I368" s="96"/>
      <c r="J368" s="96"/>
      <c r="K368" s="96"/>
      <c r="L368" s="99"/>
      <c r="M368" s="102"/>
      <c r="N368" s="96"/>
      <c r="O368" s="96"/>
      <c r="P368" s="96"/>
      <c r="Q368" s="99"/>
      <c r="R368" s="111"/>
      <c r="S368" s="105"/>
      <c r="T368" s="105"/>
      <c r="U368" s="105"/>
      <c r="V368" s="108"/>
      <c r="W368" s="102"/>
      <c r="X368" s="96"/>
      <c r="Y368" s="96"/>
      <c r="Z368" s="96"/>
      <c r="AA368" s="99"/>
      <c r="AB368" s="133"/>
    </row>
    <row r="369" spans="1:28" ht="15.75" customHeight="1" thickTop="1" thickBot="1" x14ac:dyDescent="0.3">
      <c r="A369" s="139"/>
      <c r="B369" s="137"/>
      <c r="C369" s="94"/>
      <c r="D369" s="124"/>
      <c r="E369" s="124"/>
      <c r="F369" s="124"/>
      <c r="G369" s="127"/>
      <c r="H369" s="103"/>
      <c r="I369" s="97"/>
      <c r="J369" s="97"/>
      <c r="K369" s="97"/>
      <c r="L369" s="100"/>
      <c r="M369" s="103"/>
      <c r="N369" s="97"/>
      <c r="O369" s="97"/>
      <c r="P369" s="97"/>
      <c r="Q369" s="100"/>
      <c r="R369" s="112"/>
      <c r="S369" s="106"/>
      <c r="T369" s="106"/>
      <c r="U369" s="106"/>
      <c r="V369" s="109"/>
      <c r="W369" s="103"/>
      <c r="X369" s="97"/>
      <c r="Y369" s="97"/>
      <c r="Z369" s="97"/>
      <c r="AA369" s="100"/>
      <c r="AB369" s="134"/>
    </row>
    <row r="370" spans="1:28" ht="15.75" customHeight="1" thickTop="1" thickBot="1" x14ac:dyDescent="0.3">
      <c r="A370" s="139"/>
      <c r="B370" s="138"/>
      <c r="C370" s="95"/>
      <c r="D370" s="125"/>
      <c r="E370" s="125"/>
      <c r="F370" s="125"/>
      <c r="G370" s="128"/>
      <c r="H370" s="104"/>
      <c r="I370" s="98"/>
      <c r="J370" s="98"/>
      <c r="K370" s="98"/>
      <c r="L370" s="101"/>
      <c r="M370" s="104"/>
      <c r="N370" s="98"/>
      <c r="O370" s="98"/>
      <c r="P370" s="98"/>
      <c r="Q370" s="101"/>
      <c r="R370" s="113"/>
      <c r="S370" s="107"/>
      <c r="T370" s="107"/>
      <c r="U370" s="107"/>
      <c r="V370" s="110"/>
      <c r="W370" s="104"/>
      <c r="X370" s="98"/>
      <c r="Y370" s="98"/>
      <c r="Z370" s="98"/>
      <c r="AA370" s="101"/>
      <c r="AB370" s="135"/>
    </row>
    <row r="371" spans="1:28" ht="15.75" customHeight="1" thickTop="1" x14ac:dyDescent="0.25">
      <c r="A371" s="140">
        <f>ESCUADRAS!B76</f>
        <v>70</v>
      </c>
      <c r="B371" s="136">
        <f>ESCUADRAS!C76</f>
        <v>0</v>
      </c>
      <c r="C371" s="93"/>
      <c r="D371" s="123"/>
      <c r="E371" s="123"/>
      <c r="F371" s="123"/>
      <c r="G371" s="126"/>
      <c r="H371" s="102"/>
      <c r="I371" s="96"/>
      <c r="J371" s="96"/>
      <c r="K371" s="96"/>
      <c r="L371" s="99"/>
      <c r="M371" s="111"/>
      <c r="N371" s="105"/>
      <c r="O371" s="105"/>
      <c r="P371" s="105"/>
      <c r="Q371" s="108"/>
      <c r="R371" s="102"/>
      <c r="S371" s="96"/>
      <c r="T371" s="96"/>
      <c r="U371" s="96"/>
      <c r="V371" s="99"/>
      <c r="W371" s="102"/>
      <c r="X371" s="96"/>
      <c r="Y371" s="96"/>
      <c r="Z371" s="96"/>
      <c r="AA371" s="99"/>
      <c r="AB371" s="133"/>
    </row>
    <row r="372" spans="1:28" ht="15.75" customHeight="1" x14ac:dyDescent="0.25">
      <c r="A372" s="141"/>
      <c r="B372" s="137"/>
      <c r="C372" s="94"/>
      <c r="D372" s="124"/>
      <c r="E372" s="124"/>
      <c r="F372" s="124"/>
      <c r="G372" s="127"/>
      <c r="H372" s="103"/>
      <c r="I372" s="97"/>
      <c r="J372" s="97"/>
      <c r="K372" s="97"/>
      <c r="L372" s="100"/>
      <c r="M372" s="112"/>
      <c r="N372" s="106"/>
      <c r="O372" s="106"/>
      <c r="P372" s="106"/>
      <c r="Q372" s="109"/>
      <c r="R372" s="103"/>
      <c r="S372" s="97"/>
      <c r="T372" s="97"/>
      <c r="U372" s="97"/>
      <c r="V372" s="100"/>
      <c r="W372" s="103"/>
      <c r="X372" s="97"/>
      <c r="Y372" s="97"/>
      <c r="Z372" s="97"/>
      <c r="AA372" s="100"/>
      <c r="AB372" s="134"/>
    </row>
    <row r="373" spans="1:28" ht="15.75" customHeight="1" thickBot="1" x14ac:dyDescent="0.3">
      <c r="A373" s="142"/>
      <c r="B373" s="138"/>
      <c r="C373" s="95"/>
      <c r="D373" s="125"/>
      <c r="E373" s="125"/>
      <c r="F373" s="125"/>
      <c r="G373" s="128"/>
      <c r="H373" s="104"/>
      <c r="I373" s="98"/>
      <c r="J373" s="98"/>
      <c r="K373" s="98"/>
      <c r="L373" s="101"/>
      <c r="M373" s="113"/>
      <c r="N373" s="107"/>
      <c r="O373" s="107"/>
      <c r="P373" s="107"/>
      <c r="Q373" s="110"/>
      <c r="R373" s="104"/>
      <c r="S373" s="98"/>
      <c r="T373" s="98"/>
      <c r="U373" s="98"/>
      <c r="V373" s="101"/>
      <c r="W373" s="104"/>
      <c r="X373" s="98"/>
      <c r="Y373" s="98"/>
      <c r="Z373" s="98"/>
      <c r="AA373" s="101"/>
      <c r="AB373" s="135"/>
    </row>
    <row r="374" spans="1:28" ht="15.75" customHeight="1" thickTop="1" thickBot="1" x14ac:dyDescent="0.3">
      <c r="A374" s="139">
        <f>ESCUADRAS!B77</f>
        <v>71</v>
      </c>
      <c r="B374" s="136">
        <f>ESCUADRAS!C77</f>
        <v>0</v>
      </c>
      <c r="C374" s="93"/>
      <c r="D374" s="123"/>
      <c r="E374" s="123"/>
      <c r="F374" s="123"/>
      <c r="G374" s="126"/>
      <c r="H374" s="111"/>
      <c r="I374" s="105"/>
      <c r="J374" s="105"/>
      <c r="K374" s="105"/>
      <c r="L374" s="108"/>
      <c r="M374" s="102"/>
      <c r="N374" s="96"/>
      <c r="O374" s="96"/>
      <c r="P374" s="96"/>
      <c r="Q374" s="99"/>
      <c r="R374" s="102"/>
      <c r="S374" s="96"/>
      <c r="T374" s="96"/>
      <c r="U374" s="96"/>
      <c r="V374" s="99"/>
      <c r="W374" s="102"/>
      <c r="X374" s="96"/>
      <c r="Y374" s="96"/>
      <c r="Z374" s="96"/>
      <c r="AA374" s="99"/>
      <c r="AB374" s="133"/>
    </row>
    <row r="375" spans="1:28" ht="15.75" customHeight="1" thickTop="1" thickBot="1" x14ac:dyDescent="0.3">
      <c r="A375" s="139"/>
      <c r="B375" s="137"/>
      <c r="C375" s="94"/>
      <c r="D375" s="124"/>
      <c r="E375" s="124"/>
      <c r="F375" s="124"/>
      <c r="G375" s="127"/>
      <c r="H375" s="112"/>
      <c r="I375" s="106"/>
      <c r="J375" s="106"/>
      <c r="K375" s="106"/>
      <c r="L375" s="109"/>
      <c r="M375" s="103"/>
      <c r="N375" s="97"/>
      <c r="O375" s="97"/>
      <c r="P375" s="97"/>
      <c r="Q375" s="100"/>
      <c r="R375" s="103"/>
      <c r="S375" s="97"/>
      <c r="T375" s="97"/>
      <c r="U375" s="97"/>
      <c r="V375" s="100"/>
      <c r="W375" s="103"/>
      <c r="X375" s="97"/>
      <c r="Y375" s="97"/>
      <c r="Z375" s="97"/>
      <c r="AA375" s="100"/>
      <c r="AB375" s="134"/>
    </row>
    <row r="376" spans="1:28" ht="15.75" customHeight="1" thickTop="1" thickBot="1" x14ac:dyDescent="0.3">
      <c r="A376" s="139"/>
      <c r="B376" s="138"/>
      <c r="C376" s="95"/>
      <c r="D376" s="125"/>
      <c r="E376" s="125"/>
      <c r="F376" s="125"/>
      <c r="G376" s="128"/>
      <c r="H376" s="113"/>
      <c r="I376" s="107"/>
      <c r="J376" s="107"/>
      <c r="K376" s="107"/>
      <c r="L376" s="110"/>
      <c r="M376" s="104"/>
      <c r="N376" s="98"/>
      <c r="O376" s="98"/>
      <c r="P376" s="98"/>
      <c r="Q376" s="101"/>
      <c r="R376" s="104"/>
      <c r="S376" s="98"/>
      <c r="T376" s="98"/>
      <c r="U376" s="98"/>
      <c r="V376" s="101"/>
      <c r="W376" s="104"/>
      <c r="X376" s="98"/>
      <c r="Y376" s="98"/>
      <c r="Z376" s="98"/>
      <c r="AA376" s="101"/>
      <c r="AB376" s="135"/>
    </row>
    <row r="377" spans="1:28" ht="15.75" customHeight="1" thickTop="1" x14ac:dyDescent="0.25">
      <c r="A377" s="140">
        <f>ESCUADRAS!B78</f>
        <v>72</v>
      </c>
      <c r="B377" s="136">
        <f>ESCUADRAS!C78</f>
        <v>0</v>
      </c>
      <c r="C377" s="111"/>
      <c r="D377" s="105"/>
      <c r="E377" s="105"/>
      <c r="F377" s="105"/>
      <c r="G377" s="108"/>
      <c r="H377" s="122"/>
      <c r="I377" s="120"/>
      <c r="J377" s="120"/>
      <c r="K377" s="120"/>
      <c r="L377" s="121"/>
      <c r="M377" s="122"/>
      <c r="N377" s="120"/>
      <c r="O377" s="120"/>
      <c r="P377" s="120"/>
      <c r="Q377" s="121"/>
      <c r="R377" s="122"/>
      <c r="S377" s="120"/>
      <c r="T377" s="120"/>
      <c r="U377" s="120"/>
      <c r="V377" s="121"/>
      <c r="W377" s="122"/>
      <c r="X377" s="120"/>
      <c r="Y377" s="120"/>
      <c r="Z377" s="120"/>
      <c r="AA377" s="121"/>
      <c r="AB377" s="133"/>
    </row>
    <row r="378" spans="1:28" ht="15.75" customHeight="1" x14ac:dyDescent="0.25">
      <c r="A378" s="141"/>
      <c r="B378" s="137"/>
      <c r="C378" s="112"/>
      <c r="D378" s="106"/>
      <c r="E378" s="106"/>
      <c r="F378" s="106"/>
      <c r="G378" s="109"/>
      <c r="H378" s="103"/>
      <c r="I378" s="97"/>
      <c r="J378" s="97"/>
      <c r="K378" s="97"/>
      <c r="L378" s="100"/>
      <c r="M378" s="103"/>
      <c r="N378" s="97"/>
      <c r="O378" s="97"/>
      <c r="P378" s="97"/>
      <c r="Q378" s="100"/>
      <c r="R378" s="103"/>
      <c r="S378" s="97"/>
      <c r="T378" s="97"/>
      <c r="U378" s="97"/>
      <c r="V378" s="100"/>
      <c r="W378" s="103"/>
      <c r="X378" s="97"/>
      <c r="Y378" s="97"/>
      <c r="Z378" s="97"/>
      <c r="AA378" s="100"/>
      <c r="AB378" s="134"/>
    </row>
    <row r="379" spans="1:28" ht="15.75" customHeight="1" thickBot="1" x14ac:dyDescent="0.3">
      <c r="A379" s="142"/>
      <c r="B379" s="138"/>
      <c r="C379" s="113"/>
      <c r="D379" s="107"/>
      <c r="E379" s="107"/>
      <c r="F379" s="107"/>
      <c r="G379" s="110"/>
      <c r="H379" s="104"/>
      <c r="I379" s="98"/>
      <c r="J379" s="98"/>
      <c r="K379" s="98"/>
      <c r="L379" s="101"/>
      <c r="M379" s="104"/>
      <c r="N379" s="98"/>
      <c r="O379" s="98"/>
      <c r="P379" s="98"/>
      <c r="Q379" s="101"/>
      <c r="R379" s="104"/>
      <c r="S379" s="98"/>
      <c r="T379" s="98"/>
      <c r="U379" s="98"/>
      <c r="V379" s="101"/>
      <c r="W379" s="104"/>
      <c r="X379" s="98"/>
      <c r="Y379" s="98"/>
      <c r="Z379" s="98"/>
      <c r="AA379" s="101"/>
      <c r="AB379" s="135"/>
    </row>
    <row r="380" spans="1:28" ht="15" x14ac:dyDescent="0.25">
      <c r="A380" s="28"/>
    </row>
    <row r="381" spans="1:28" ht="15" x14ac:dyDescent="0.25">
      <c r="A381" s="28"/>
      <c r="B381" s="26" t="s">
        <v>35</v>
      </c>
      <c r="E381" s="21" t="s">
        <v>41</v>
      </c>
      <c r="I381" s="21" t="s">
        <v>42</v>
      </c>
      <c r="M381" s="21" t="s">
        <v>43</v>
      </c>
      <c r="Q381" s="21" t="s">
        <v>44</v>
      </c>
      <c r="U381" s="21" t="s">
        <v>45</v>
      </c>
      <c r="Y381" s="21" t="s">
        <v>46</v>
      </c>
    </row>
    <row r="382" spans="1:28" ht="15" x14ac:dyDescent="0.25">
      <c r="A382" s="28"/>
    </row>
    <row r="386" spans="1:32" ht="24.6" x14ac:dyDescent="0.25">
      <c r="A386" s="144" t="str">
        <f>'INSCRIPCION '!A$1</f>
        <v>TIRADA</v>
      </c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</row>
    <row r="387" spans="1:32" ht="19.5" customHeight="1" x14ac:dyDescent="0.4">
      <c r="A387" s="23"/>
      <c r="B387" s="23"/>
    </row>
    <row r="388" spans="1:32" ht="21.75" customHeight="1" x14ac:dyDescent="0.25">
      <c r="A388" s="132" t="str">
        <f>'INSCRIPCION '!A$2</f>
        <v>CAMPO DE TIRO LA ISLA</v>
      </c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</row>
    <row r="389" spans="1:32" ht="19.5" customHeight="1" x14ac:dyDescent="0.25">
      <c r="A389" s="143" t="str">
        <f>'INSCRIPCION '!A$3</f>
        <v>XXX PLATOS</v>
      </c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</row>
    <row r="390" spans="1:32" ht="22.8" x14ac:dyDescent="0.4">
      <c r="A390" s="24"/>
      <c r="B390" s="24"/>
    </row>
    <row r="391" spans="1:32" ht="17.399999999999999" x14ac:dyDescent="0.3">
      <c r="A391" s="25" t="s">
        <v>21</v>
      </c>
      <c r="B391" s="25"/>
      <c r="J391" s="9" t="s">
        <v>6</v>
      </c>
      <c r="K391" s="9"/>
      <c r="L391" s="9"/>
      <c r="M391" s="9"/>
      <c r="N391" s="9"/>
      <c r="O391" s="22">
        <v>1</v>
      </c>
      <c r="P391" s="22"/>
      <c r="Q391" s="8"/>
      <c r="R391" s="8"/>
      <c r="S391" s="7"/>
      <c r="T391" s="8"/>
      <c r="U391" s="8"/>
      <c r="V391" s="9" t="s">
        <v>7</v>
      </c>
      <c r="W391" s="9"/>
      <c r="X391" s="9"/>
      <c r="Y391" s="9"/>
      <c r="Z391" s="22">
        <v>1</v>
      </c>
      <c r="AA391" s="22"/>
    </row>
    <row r="392" spans="1:32" ht="13.8" thickBot="1" x14ac:dyDescent="0.3"/>
    <row r="393" spans="1:32" ht="15.6" thickBot="1" x14ac:dyDescent="0.3">
      <c r="A393" s="27" t="s">
        <v>0</v>
      </c>
      <c r="B393" s="27" t="s">
        <v>8</v>
      </c>
      <c r="C393" s="47">
        <v>1</v>
      </c>
      <c r="D393" s="48">
        <v>2</v>
      </c>
      <c r="E393" s="48">
        <v>3</v>
      </c>
      <c r="F393" s="48">
        <v>4</v>
      </c>
      <c r="G393" s="49">
        <v>5</v>
      </c>
      <c r="H393" s="47">
        <v>6</v>
      </c>
      <c r="I393" s="48">
        <v>7</v>
      </c>
      <c r="J393" s="48">
        <v>8</v>
      </c>
      <c r="K393" s="48">
        <v>9</v>
      </c>
      <c r="L393" s="49">
        <v>10</v>
      </c>
      <c r="M393" s="47">
        <v>11</v>
      </c>
      <c r="N393" s="48">
        <v>12</v>
      </c>
      <c r="O393" s="48">
        <v>13</v>
      </c>
      <c r="P393" s="48">
        <v>14</v>
      </c>
      <c r="Q393" s="49">
        <v>15</v>
      </c>
      <c r="R393" s="47">
        <v>16</v>
      </c>
      <c r="S393" s="48">
        <v>17</v>
      </c>
      <c r="T393" s="48">
        <v>18</v>
      </c>
      <c r="U393" s="48">
        <v>19</v>
      </c>
      <c r="V393" s="49">
        <v>20</v>
      </c>
      <c r="W393" s="47">
        <v>21</v>
      </c>
      <c r="X393" s="48">
        <v>22</v>
      </c>
      <c r="Y393" s="48">
        <v>23</v>
      </c>
      <c r="Z393" s="48">
        <v>24</v>
      </c>
      <c r="AA393" s="49">
        <v>25</v>
      </c>
      <c r="AB393" s="30" t="s">
        <v>1</v>
      </c>
    </row>
    <row r="394" spans="1:32" ht="15.75" customHeight="1" thickTop="1" thickBot="1" x14ac:dyDescent="0.3">
      <c r="A394" s="139">
        <f>ESCUADRAS!B79</f>
        <v>73</v>
      </c>
      <c r="B394" s="136">
        <f>ESCUADRAS!C79</f>
        <v>0</v>
      </c>
      <c r="C394" s="129"/>
      <c r="D394" s="114"/>
      <c r="E394" s="114"/>
      <c r="F394" s="114"/>
      <c r="G394" s="117"/>
      <c r="H394" s="111"/>
      <c r="I394" s="105"/>
      <c r="J394" s="105"/>
      <c r="K394" s="105"/>
      <c r="L394" s="108"/>
      <c r="M394" s="111"/>
      <c r="N394" s="105"/>
      <c r="O394" s="105"/>
      <c r="P394" s="105"/>
      <c r="Q394" s="108"/>
      <c r="R394" s="111"/>
      <c r="S394" s="105"/>
      <c r="T394" s="105"/>
      <c r="U394" s="105"/>
      <c r="V394" s="108"/>
      <c r="W394" s="111"/>
      <c r="X394" s="105"/>
      <c r="Y394" s="105"/>
      <c r="Z394" s="105"/>
      <c r="AA394" s="108"/>
      <c r="AB394" s="133"/>
    </row>
    <row r="395" spans="1:32" ht="15.75" customHeight="1" thickTop="1" thickBot="1" x14ac:dyDescent="0.3">
      <c r="A395" s="139"/>
      <c r="B395" s="137"/>
      <c r="C395" s="130"/>
      <c r="D395" s="115"/>
      <c r="E395" s="115"/>
      <c r="F395" s="115"/>
      <c r="G395" s="118"/>
      <c r="H395" s="112"/>
      <c r="I395" s="106"/>
      <c r="J395" s="106"/>
      <c r="K395" s="106"/>
      <c r="L395" s="109"/>
      <c r="M395" s="112"/>
      <c r="N395" s="106"/>
      <c r="O395" s="106"/>
      <c r="P395" s="106"/>
      <c r="Q395" s="109"/>
      <c r="R395" s="112"/>
      <c r="S395" s="106"/>
      <c r="T395" s="106"/>
      <c r="U395" s="106"/>
      <c r="V395" s="109"/>
      <c r="W395" s="112"/>
      <c r="X395" s="106"/>
      <c r="Y395" s="106"/>
      <c r="Z395" s="106"/>
      <c r="AA395" s="109"/>
      <c r="AB395" s="134"/>
    </row>
    <row r="396" spans="1:32" ht="15.75" customHeight="1" thickTop="1" thickBot="1" x14ac:dyDescent="0.3">
      <c r="A396" s="139"/>
      <c r="B396" s="138"/>
      <c r="C396" s="131"/>
      <c r="D396" s="116"/>
      <c r="E396" s="116"/>
      <c r="F396" s="116"/>
      <c r="G396" s="119"/>
      <c r="H396" s="113"/>
      <c r="I396" s="107"/>
      <c r="J396" s="107"/>
      <c r="K396" s="107"/>
      <c r="L396" s="110"/>
      <c r="M396" s="113"/>
      <c r="N396" s="107"/>
      <c r="O396" s="107"/>
      <c r="P396" s="107"/>
      <c r="Q396" s="110"/>
      <c r="R396" s="113"/>
      <c r="S396" s="107"/>
      <c r="T396" s="107"/>
      <c r="U396" s="107"/>
      <c r="V396" s="110"/>
      <c r="W396" s="113"/>
      <c r="X396" s="107"/>
      <c r="Y396" s="107"/>
      <c r="Z396" s="107"/>
      <c r="AA396" s="110"/>
      <c r="AB396" s="135"/>
    </row>
    <row r="397" spans="1:32" ht="15.75" customHeight="1" thickTop="1" x14ac:dyDescent="0.25">
      <c r="A397" s="140">
        <f>ESCUADRAS!B80</f>
        <v>74</v>
      </c>
      <c r="B397" s="136">
        <f>ESCUADRAS!C80</f>
        <v>0</v>
      </c>
      <c r="C397" s="93"/>
      <c r="D397" s="123"/>
      <c r="E397" s="123"/>
      <c r="F397" s="123"/>
      <c r="G397" s="126"/>
      <c r="H397" s="102"/>
      <c r="I397" s="96"/>
      <c r="J397" s="96"/>
      <c r="K397" s="96"/>
      <c r="L397" s="99"/>
      <c r="M397" s="102"/>
      <c r="N397" s="96"/>
      <c r="O397" s="96"/>
      <c r="P397" s="96"/>
      <c r="Q397" s="99"/>
      <c r="R397" s="102"/>
      <c r="S397" s="96"/>
      <c r="T397" s="96"/>
      <c r="U397" s="96"/>
      <c r="V397" s="99"/>
      <c r="W397" s="111"/>
      <c r="X397" s="105"/>
      <c r="Y397" s="105"/>
      <c r="Z397" s="105"/>
      <c r="AA397" s="108"/>
      <c r="AB397" s="133"/>
    </row>
    <row r="398" spans="1:32" ht="15.75" customHeight="1" x14ac:dyDescent="0.25">
      <c r="A398" s="141"/>
      <c r="B398" s="137"/>
      <c r="C398" s="94"/>
      <c r="D398" s="124"/>
      <c r="E398" s="124"/>
      <c r="F398" s="124"/>
      <c r="G398" s="127"/>
      <c r="H398" s="103"/>
      <c r="I398" s="97"/>
      <c r="J398" s="97"/>
      <c r="K398" s="97"/>
      <c r="L398" s="100"/>
      <c r="M398" s="103"/>
      <c r="N398" s="97"/>
      <c r="O398" s="97"/>
      <c r="P398" s="97"/>
      <c r="Q398" s="100"/>
      <c r="R398" s="103"/>
      <c r="S398" s="97"/>
      <c r="T398" s="97"/>
      <c r="U398" s="97"/>
      <c r="V398" s="100"/>
      <c r="W398" s="112"/>
      <c r="X398" s="106"/>
      <c r="Y398" s="106"/>
      <c r="Z398" s="106"/>
      <c r="AA398" s="109"/>
      <c r="AB398" s="134"/>
    </row>
    <row r="399" spans="1:32" ht="15.75" customHeight="1" thickBot="1" x14ac:dyDescent="0.3">
      <c r="A399" s="142"/>
      <c r="B399" s="138"/>
      <c r="C399" s="95"/>
      <c r="D399" s="125"/>
      <c r="E399" s="125"/>
      <c r="F399" s="125"/>
      <c r="G399" s="128"/>
      <c r="H399" s="104"/>
      <c r="I399" s="98"/>
      <c r="J399" s="98"/>
      <c r="K399" s="98"/>
      <c r="L399" s="101"/>
      <c r="M399" s="104"/>
      <c r="N399" s="98"/>
      <c r="O399" s="98"/>
      <c r="P399" s="98"/>
      <c r="Q399" s="101"/>
      <c r="R399" s="104"/>
      <c r="S399" s="98"/>
      <c r="T399" s="98"/>
      <c r="U399" s="98"/>
      <c r="V399" s="101"/>
      <c r="W399" s="113"/>
      <c r="X399" s="107"/>
      <c r="Y399" s="107"/>
      <c r="Z399" s="107"/>
      <c r="AA399" s="110"/>
      <c r="AB399" s="135"/>
    </row>
    <row r="400" spans="1:32" ht="15.75" customHeight="1" thickTop="1" thickBot="1" x14ac:dyDescent="0.3">
      <c r="A400" s="139">
        <f>ESCUADRAS!B81</f>
        <v>75</v>
      </c>
      <c r="B400" s="136">
        <f>ESCUADRAS!C81</f>
        <v>0</v>
      </c>
      <c r="C400" s="93"/>
      <c r="D400" s="123"/>
      <c r="E400" s="123"/>
      <c r="F400" s="123"/>
      <c r="G400" s="126"/>
      <c r="H400" s="102"/>
      <c r="I400" s="96"/>
      <c r="J400" s="96"/>
      <c r="K400" s="96"/>
      <c r="L400" s="99"/>
      <c r="M400" s="102"/>
      <c r="N400" s="96"/>
      <c r="O400" s="96"/>
      <c r="P400" s="96"/>
      <c r="Q400" s="99"/>
      <c r="R400" s="111"/>
      <c r="S400" s="105"/>
      <c r="T400" s="105"/>
      <c r="U400" s="105"/>
      <c r="V400" s="108"/>
      <c r="W400" s="102"/>
      <c r="X400" s="96"/>
      <c r="Y400" s="96"/>
      <c r="Z400" s="96"/>
      <c r="AA400" s="99"/>
      <c r="AB400" s="133"/>
    </row>
    <row r="401" spans="1:28" ht="15.75" customHeight="1" thickTop="1" thickBot="1" x14ac:dyDescent="0.3">
      <c r="A401" s="139"/>
      <c r="B401" s="137"/>
      <c r="C401" s="94"/>
      <c r="D401" s="124"/>
      <c r="E401" s="124"/>
      <c r="F401" s="124"/>
      <c r="G401" s="127"/>
      <c r="H401" s="103"/>
      <c r="I401" s="97"/>
      <c r="J401" s="97"/>
      <c r="K401" s="97"/>
      <c r="L401" s="100"/>
      <c r="M401" s="103"/>
      <c r="N401" s="97"/>
      <c r="O401" s="97"/>
      <c r="P401" s="97"/>
      <c r="Q401" s="100"/>
      <c r="R401" s="112"/>
      <c r="S401" s="106"/>
      <c r="T401" s="106"/>
      <c r="U401" s="106"/>
      <c r="V401" s="109"/>
      <c r="W401" s="103"/>
      <c r="X401" s="97"/>
      <c r="Y401" s="97"/>
      <c r="Z401" s="97"/>
      <c r="AA401" s="100"/>
      <c r="AB401" s="134"/>
    </row>
    <row r="402" spans="1:28" ht="15.75" customHeight="1" thickTop="1" thickBot="1" x14ac:dyDescent="0.3">
      <c r="A402" s="139"/>
      <c r="B402" s="138"/>
      <c r="C402" s="95"/>
      <c r="D402" s="125"/>
      <c r="E402" s="125"/>
      <c r="F402" s="125"/>
      <c r="G402" s="128"/>
      <c r="H402" s="104"/>
      <c r="I402" s="98"/>
      <c r="J402" s="98"/>
      <c r="K402" s="98"/>
      <c r="L402" s="101"/>
      <c r="M402" s="104"/>
      <c r="N402" s="98"/>
      <c r="O402" s="98"/>
      <c r="P402" s="98"/>
      <c r="Q402" s="101"/>
      <c r="R402" s="113"/>
      <c r="S402" s="107"/>
      <c r="T402" s="107"/>
      <c r="U402" s="107"/>
      <c r="V402" s="110"/>
      <c r="W402" s="104"/>
      <c r="X402" s="98"/>
      <c r="Y402" s="98"/>
      <c r="Z402" s="98"/>
      <c r="AA402" s="101"/>
      <c r="AB402" s="135"/>
    </row>
    <row r="403" spans="1:28" ht="15.75" customHeight="1" thickTop="1" x14ac:dyDescent="0.25">
      <c r="A403" s="140">
        <f>ESCUADRAS!B82</f>
        <v>76</v>
      </c>
      <c r="B403" s="136">
        <f>ESCUADRAS!C82</f>
        <v>0</v>
      </c>
      <c r="C403" s="93"/>
      <c r="D403" s="123"/>
      <c r="E403" s="123"/>
      <c r="F403" s="123"/>
      <c r="G403" s="126"/>
      <c r="H403" s="102"/>
      <c r="I403" s="96"/>
      <c r="J403" s="96"/>
      <c r="K403" s="96"/>
      <c r="L403" s="99"/>
      <c r="M403" s="111"/>
      <c r="N403" s="105"/>
      <c r="O403" s="105"/>
      <c r="P403" s="105"/>
      <c r="Q403" s="108"/>
      <c r="R403" s="102"/>
      <c r="S403" s="96"/>
      <c r="T403" s="96"/>
      <c r="U403" s="96"/>
      <c r="V403" s="99"/>
      <c r="W403" s="102"/>
      <c r="X403" s="96"/>
      <c r="Y403" s="96"/>
      <c r="Z403" s="96"/>
      <c r="AA403" s="99"/>
      <c r="AB403" s="133"/>
    </row>
    <row r="404" spans="1:28" ht="15.75" customHeight="1" x14ac:dyDescent="0.25">
      <c r="A404" s="141"/>
      <c r="B404" s="137"/>
      <c r="C404" s="94"/>
      <c r="D404" s="124"/>
      <c r="E404" s="124"/>
      <c r="F404" s="124"/>
      <c r="G404" s="127"/>
      <c r="H404" s="103"/>
      <c r="I404" s="97"/>
      <c r="J404" s="97"/>
      <c r="K404" s="97"/>
      <c r="L404" s="100"/>
      <c r="M404" s="112"/>
      <c r="N404" s="106"/>
      <c r="O404" s="106"/>
      <c r="P404" s="106"/>
      <c r="Q404" s="109"/>
      <c r="R404" s="103"/>
      <c r="S404" s="97"/>
      <c r="T404" s="97"/>
      <c r="U404" s="97"/>
      <c r="V404" s="100"/>
      <c r="W404" s="103"/>
      <c r="X404" s="97"/>
      <c r="Y404" s="97"/>
      <c r="Z404" s="97"/>
      <c r="AA404" s="100"/>
      <c r="AB404" s="134"/>
    </row>
    <row r="405" spans="1:28" ht="15.75" customHeight="1" thickBot="1" x14ac:dyDescent="0.3">
      <c r="A405" s="142"/>
      <c r="B405" s="138"/>
      <c r="C405" s="95"/>
      <c r="D405" s="125"/>
      <c r="E405" s="125"/>
      <c r="F405" s="125"/>
      <c r="G405" s="128"/>
      <c r="H405" s="104"/>
      <c r="I405" s="98"/>
      <c r="J405" s="98"/>
      <c r="K405" s="98"/>
      <c r="L405" s="101"/>
      <c r="M405" s="113"/>
      <c r="N405" s="107"/>
      <c r="O405" s="107"/>
      <c r="P405" s="107"/>
      <c r="Q405" s="110"/>
      <c r="R405" s="104"/>
      <c r="S405" s="98"/>
      <c r="T405" s="98"/>
      <c r="U405" s="98"/>
      <c r="V405" s="101"/>
      <c r="W405" s="104"/>
      <c r="X405" s="98"/>
      <c r="Y405" s="98"/>
      <c r="Z405" s="98"/>
      <c r="AA405" s="101"/>
      <c r="AB405" s="135"/>
    </row>
    <row r="406" spans="1:28" ht="15.75" customHeight="1" thickTop="1" thickBot="1" x14ac:dyDescent="0.3">
      <c r="A406" s="139">
        <f>ESCUADRAS!B83</f>
        <v>77</v>
      </c>
      <c r="B406" s="136">
        <f>ESCUADRAS!C83</f>
        <v>0</v>
      </c>
      <c r="C406" s="93"/>
      <c r="D406" s="123"/>
      <c r="E406" s="123"/>
      <c r="F406" s="123"/>
      <c r="G406" s="126"/>
      <c r="H406" s="111"/>
      <c r="I406" s="105"/>
      <c r="J406" s="105"/>
      <c r="K406" s="105"/>
      <c r="L406" s="108"/>
      <c r="M406" s="102"/>
      <c r="N406" s="96"/>
      <c r="O406" s="96"/>
      <c r="P406" s="96"/>
      <c r="Q406" s="99"/>
      <c r="R406" s="102"/>
      <c r="S406" s="96"/>
      <c r="T406" s="96"/>
      <c r="U406" s="96"/>
      <c r="V406" s="99"/>
      <c r="W406" s="102"/>
      <c r="X406" s="96"/>
      <c r="Y406" s="96"/>
      <c r="Z406" s="96"/>
      <c r="AA406" s="99"/>
      <c r="AB406" s="133"/>
    </row>
    <row r="407" spans="1:28" ht="15.75" customHeight="1" thickTop="1" thickBot="1" x14ac:dyDescent="0.3">
      <c r="A407" s="139"/>
      <c r="B407" s="137"/>
      <c r="C407" s="94"/>
      <c r="D407" s="124"/>
      <c r="E407" s="124"/>
      <c r="F407" s="124"/>
      <c r="G407" s="127"/>
      <c r="H407" s="112"/>
      <c r="I407" s="106"/>
      <c r="J407" s="106"/>
      <c r="K407" s="106"/>
      <c r="L407" s="109"/>
      <c r="M407" s="103"/>
      <c r="N407" s="97"/>
      <c r="O407" s="97"/>
      <c r="P407" s="97"/>
      <c r="Q407" s="100"/>
      <c r="R407" s="103"/>
      <c r="S407" s="97"/>
      <c r="T407" s="97"/>
      <c r="U407" s="97"/>
      <c r="V407" s="100"/>
      <c r="W407" s="103"/>
      <c r="X407" s="97"/>
      <c r="Y407" s="97"/>
      <c r="Z407" s="97"/>
      <c r="AA407" s="100"/>
      <c r="AB407" s="134"/>
    </row>
    <row r="408" spans="1:28" ht="15.75" customHeight="1" thickTop="1" thickBot="1" x14ac:dyDescent="0.3">
      <c r="A408" s="139"/>
      <c r="B408" s="138"/>
      <c r="C408" s="95"/>
      <c r="D408" s="125"/>
      <c r="E408" s="125"/>
      <c r="F408" s="125"/>
      <c r="G408" s="128"/>
      <c r="H408" s="113"/>
      <c r="I408" s="107"/>
      <c r="J408" s="107"/>
      <c r="K408" s="107"/>
      <c r="L408" s="110"/>
      <c r="M408" s="104"/>
      <c r="N408" s="98"/>
      <c r="O408" s="98"/>
      <c r="P408" s="98"/>
      <c r="Q408" s="101"/>
      <c r="R408" s="104"/>
      <c r="S408" s="98"/>
      <c r="T408" s="98"/>
      <c r="U408" s="98"/>
      <c r="V408" s="101"/>
      <c r="W408" s="104"/>
      <c r="X408" s="98"/>
      <c r="Y408" s="98"/>
      <c r="Z408" s="98"/>
      <c r="AA408" s="101"/>
      <c r="AB408" s="135"/>
    </row>
    <row r="409" spans="1:28" ht="15.75" customHeight="1" thickTop="1" x14ac:dyDescent="0.25">
      <c r="A409" s="140">
        <f>ESCUADRAS!B84</f>
        <v>78</v>
      </c>
      <c r="B409" s="136">
        <f>ESCUADRAS!C84</f>
        <v>0</v>
      </c>
      <c r="C409" s="111"/>
      <c r="D409" s="105"/>
      <c r="E409" s="105"/>
      <c r="F409" s="105"/>
      <c r="G409" s="108"/>
      <c r="H409" s="122"/>
      <c r="I409" s="120"/>
      <c r="J409" s="120"/>
      <c r="K409" s="120"/>
      <c r="L409" s="121"/>
      <c r="M409" s="122"/>
      <c r="N409" s="120"/>
      <c r="O409" s="120"/>
      <c r="P409" s="120"/>
      <c r="Q409" s="121"/>
      <c r="R409" s="122"/>
      <c r="S409" s="120"/>
      <c r="T409" s="120"/>
      <c r="U409" s="120"/>
      <c r="V409" s="121"/>
      <c r="W409" s="122"/>
      <c r="X409" s="120"/>
      <c r="Y409" s="120"/>
      <c r="Z409" s="120"/>
      <c r="AA409" s="121"/>
      <c r="AB409" s="133"/>
    </row>
    <row r="410" spans="1:28" ht="15.75" customHeight="1" x14ac:dyDescent="0.25">
      <c r="A410" s="141"/>
      <c r="B410" s="137"/>
      <c r="C410" s="112"/>
      <c r="D410" s="106"/>
      <c r="E410" s="106"/>
      <c r="F410" s="106"/>
      <c r="G410" s="109"/>
      <c r="H410" s="103"/>
      <c r="I410" s="97"/>
      <c r="J410" s="97"/>
      <c r="K410" s="97"/>
      <c r="L410" s="100"/>
      <c r="M410" s="103"/>
      <c r="N410" s="97"/>
      <c r="O410" s="97"/>
      <c r="P410" s="97"/>
      <c r="Q410" s="100"/>
      <c r="R410" s="103"/>
      <c r="S410" s="97"/>
      <c r="T410" s="97"/>
      <c r="U410" s="97"/>
      <c r="V410" s="100"/>
      <c r="W410" s="103"/>
      <c r="X410" s="97"/>
      <c r="Y410" s="97"/>
      <c r="Z410" s="97"/>
      <c r="AA410" s="100"/>
      <c r="AB410" s="134"/>
    </row>
    <row r="411" spans="1:28" ht="15.75" customHeight="1" thickBot="1" x14ac:dyDescent="0.3">
      <c r="A411" s="142"/>
      <c r="B411" s="138"/>
      <c r="C411" s="113"/>
      <c r="D411" s="107"/>
      <c r="E411" s="107"/>
      <c r="F411" s="107"/>
      <c r="G411" s="110"/>
      <c r="H411" s="104"/>
      <c r="I411" s="98"/>
      <c r="J411" s="98"/>
      <c r="K411" s="98"/>
      <c r="L411" s="101"/>
      <c r="M411" s="104"/>
      <c r="N411" s="98"/>
      <c r="O411" s="98"/>
      <c r="P411" s="98"/>
      <c r="Q411" s="101"/>
      <c r="R411" s="104"/>
      <c r="S411" s="98"/>
      <c r="T411" s="98"/>
      <c r="U411" s="98"/>
      <c r="V411" s="101"/>
      <c r="W411" s="104"/>
      <c r="X411" s="98"/>
      <c r="Y411" s="98"/>
      <c r="Z411" s="98"/>
      <c r="AA411" s="101"/>
      <c r="AB411" s="135"/>
    </row>
    <row r="412" spans="1:28" ht="15" x14ac:dyDescent="0.25">
      <c r="A412" s="28"/>
    </row>
    <row r="413" spans="1:28" ht="15" x14ac:dyDescent="0.25">
      <c r="A413" s="28"/>
      <c r="B413" s="26" t="s">
        <v>35</v>
      </c>
      <c r="E413" s="21" t="s">
        <v>41</v>
      </c>
      <c r="I413" s="21" t="s">
        <v>42</v>
      </c>
      <c r="M413" s="21" t="s">
        <v>43</v>
      </c>
      <c r="Q413" s="21" t="s">
        <v>44</v>
      </c>
      <c r="U413" s="21" t="s">
        <v>45</v>
      </c>
      <c r="Y413" s="21" t="s">
        <v>46</v>
      </c>
    </row>
    <row r="414" spans="1:28" ht="15" x14ac:dyDescent="0.25">
      <c r="A414" s="28"/>
    </row>
    <row r="418" spans="1:32" ht="24.6" x14ac:dyDescent="0.25">
      <c r="A418" s="144" t="str">
        <f>'INSCRIPCION '!A$1</f>
        <v>TIRADA</v>
      </c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</row>
    <row r="419" spans="1:32" ht="19.5" customHeight="1" x14ac:dyDescent="0.4">
      <c r="A419" s="23"/>
      <c r="B419" s="23"/>
    </row>
    <row r="420" spans="1:32" ht="22.5" customHeight="1" x14ac:dyDescent="0.25">
      <c r="A420" s="132" t="str">
        <f>'INSCRIPCION '!A$2</f>
        <v>CAMPO DE TIRO LA ISLA</v>
      </c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</row>
    <row r="421" spans="1:32" ht="19.5" customHeight="1" x14ac:dyDescent="0.25">
      <c r="A421" s="143" t="str">
        <f>'INSCRIPCION '!A$3</f>
        <v>XXX PLATOS</v>
      </c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</row>
    <row r="422" spans="1:32" ht="22.8" x14ac:dyDescent="0.4">
      <c r="A422" s="24"/>
      <c r="B422" s="24"/>
    </row>
    <row r="423" spans="1:32" ht="17.399999999999999" x14ac:dyDescent="0.3">
      <c r="A423" s="25" t="s">
        <v>22</v>
      </c>
      <c r="B423" s="25"/>
      <c r="J423" s="9" t="s">
        <v>6</v>
      </c>
      <c r="K423" s="9"/>
      <c r="L423" s="9"/>
      <c r="M423" s="9"/>
      <c r="N423" s="9"/>
      <c r="O423" s="22">
        <v>2</v>
      </c>
      <c r="P423" s="22"/>
      <c r="Q423" s="8"/>
      <c r="R423" s="8"/>
      <c r="S423" s="7"/>
      <c r="T423" s="8"/>
      <c r="U423" s="8"/>
      <c r="V423" s="9" t="s">
        <v>7</v>
      </c>
      <c r="W423" s="9"/>
      <c r="X423" s="9"/>
      <c r="Y423" s="9"/>
      <c r="Z423" s="22">
        <v>1</v>
      </c>
      <c r="AA423" s="22"/>
    </row>
    <row r="424" spans="1:32" ht="13.8" thickBot="1" x14ac:dyDescent="0.3"/>
    <row r="425" spans="1:32" ht="15.6" thickBot="1" x14ac:dyDescent="0.3">
      <c r="A425" s="27" t="s">
        <v>0</v>
      </c>
      <c r="B425" s="27" t="s">
        <v>8</v>
      </c>
      <c r="C425" s="47">
        <v>1</v>
      </c>
      <c r="D425" s="48">
        <v>2</v>
      </c>
      <c r="E425" s="48">
        <v>3</v>
      </c>
      <c r="F425" s="48">
        <v>4</v>
      </c>
      <c r="G425" s="49">
        <v>5</v>
      </c>
      <c r="H425" s="47">
        <v>6</v>
      </c>
      <c r="I425" s="48">
        <v>7</v>
      </c>
      <c r="J425" s="48">
        <v>8</v>
      </c>
      <c r="K425" s="48">
        <v>9</v>
      </c>
      <c r="L425" s="49">
        <v>10</v>
      </c>
      <c r="M425" s="47">
        <v>11</v>
      </c>
      <c r="N425" s="48">
        <v>12</v>
      </c>
      <c r="O425" s="48">
        <v>13</v>
      </c>
      <c r="P425" s="48">
        <v>14</v>
      </c>
      <c r="Q425" s="49">
        <v>15</v>
      </c>
      <c r="R425" s="47">
        <v>16</v>
      </c>
      <c r="S425" s="48">
        <v>17</v>
      </c>
      <c r="T425" s="48">
        <v>18</v>
      </c>
      <c r="U425" s="48">
        <v>19</v>
      </c>
      <c r="V425" s="49">
        <v>20</v>
      </c>
      <c r="W425" s="47">
        <v>21</v>
      </c>
      <c r="X425" s="48">
        <v>22</v>
      </c>
      <c r="Y425" s="48">
        <v>23</v>
      </c>
      <c r="Z425" s="48">
        <v>24</v>
      </c>
      <c r="AA425" s="49">
        <v>25</v>
      </c>
      <c r="AB425" s="30" t="s">
        <v>1</v>
      </c>
    </row>
    <row r="426" spans="1:32" ht="15.75" customHeight="1" thickTop="1" thickBot="1" x14ac:dyDescent="0.3">
      <c r="A426" s="139">
        <f>ESCUADRAS!B85</f>
        <v>79</v>
      </c>
      <c r="B426" s="136">
        <f>ESCUADRAS!C85</f>
        <v>0</v>
      </c>
      <c r="C426" s="129"/>
      <c r="D426" s="114"/>
      <c r="E426" s="114"/>
      <c r="F426" s="114"/>
      <c r="G426" s="117"/>
      <c r="H426" s="111"/>
      <c r="I426" s="105"/>
      <c r="J426" s="105"/>
      <c r="K426" s="105"/>
      <c r="L426" s="108"/>
      <c r="M426" s="111"/>
      <c r="N426" s="105"/>
      <c r="O426" s="105"/>
      <c r="P426" s="105"/>
      <c r="Q426" s="108"/>
      <c r="R426" s="111"/>
      <c r="S426" s="105"/>
      <c r="T426" s="105"/>
      <c r="U426" s="105"/>
      <c r="V426" s="108"/>
      <c r="W426" s="111"/>
      <c r="X426" s="105"/>
      <c r="Y426" s="105"/>
      <c r="Z426" s="105"/>
      <c r="AA426" s="108"/>
      <c r="AB426" s="133"/>
    </row>
    <row r="427" spans="1:32" ht="15.75" customHeight="1" thickTop="1" thickBot="1" x14ac:dyDescent="0.3">
      <c r="A427" s="139"/>
      <c r="B427" s="137"/>
      <c r="C427" s="130"/>
      <c r="D427" s="115"/>
      <c r="E427" s="115"/>
      <c r="F427" s="115"/>
      <c r="G427" s="118"/>
      <c r="H427" s="112"/>
      <c r="I427" s="106"/>
      <c r="J427" s="106"/>
      <c r="K427" s="106"/>
      <c r="L427" s="109"/>
      <c r="M427" s="112"/>
      <c r="N427" s="106"/>
      <c r="O427" s="106"/>
      <c r="P427" s="106"/>
      <c r="Q427" s="109"/>
      <c r="R427" s="112"/>
      <c r="S427" s="106"/>
      <c r="T427" s="106"/>
      <c r="U427" s="106"/>
      <c r="V427" s="109"/>
      <c r="W427" s="112"/>
      <c r="X427" s="106"/>
      <c r="Y427" s="106"/>
      <c r="Z427" s="106"/>
      <c r="AA427" s="109"/>
      <c r="AB427" s="134"/>
    </row>
    <row r="428" spans="1:32" ht="15.75" customHeight="1" thickTop="1" thickBot="1" x14ac:dyDescent="0.3">
      <c r="A428" s="139"/>
      <c r="B428" s="138"/>
      <c r="C428" s="131"/>
      <c r="D428" s="116"/>
      <c r="E428" s="116"/>
      <c r="F428" s="116"/>
      <c r="G428" s="119"/>
      <c r="H428" s="113"/>
      <c r="I428" s="107"/>
      <c r="J428" s="107"/>
      <c r="K428" s="107"/>
      <c r="L428" s="110"/>
      <c r="M428" s="113"/>
      <c r="N428" s="107"/>
      <c r="O428" s="107"/>
      <c r="P428" s="107"/>
      <c r="Q428" s="110"/>
      <c r="R428" s="113"/>
      <c r="S428" s="107"/>
      <c r="T428" s="107"/>
      <c r="U428" s="107"/>
      <c r="V428" s="110"/>
      <c r="W428" s="113"/>
      <c r="X428" s="107"/>
      <c r="Y428" s="107"/>
      <c r="Z428" s="107"/>
      <c r="AA428" s="110"/>
      <c r="AB428" s="135"/>
    </row>
    <row r="429" spans="1:32" ht="15.75" customHeight="1" thickTop="1" x14ac:dyDescent="0.25">
      <c r="A429" s="140">
        <f>ESCUADRAS!B86</f>
        <v>80</v>
      </c>
      <c r="B429" s="136">
        <f>ESCUADRAS!C86</f>
        <v>0</v>
      </c>
      <c r="C429" s="93"/>
      <c r="D429" s="123"/>
      <c r="E429" s="123"/>
      <c r="F429" s="123"/>
      <c r="G429" s="126"/>
      <c r="H429" s="102"/>
      <c r="I429" s="96"/>
      <c r="J429" s="96"/>
      <c r="K429" s="96"/>
      <c r="L429" s="99"/>
      <c r="M429" s="102"/>
      <c r="N429" s="96"/>
      <c r="O429" s="96"/>
      <c r="P429" s="96"/>
      <c r="Q429" s="99"/>
      <c r="R429" s="102"/>
      <c r="S429" s="96"/>
      <c r="T429" s="96"/>
      <c r="U429" s="96"/>
      <c r="V429" s="99"/>
      <c r="W429" s="111"/>
      <c r="X429" s="105"/>
      <c r="Y429" s="105"/>
      <c r="Z429" s="105"/>
      <c r="AA429" s="108"/>
      <c r="AB429" s="133"/>
    </row>
    <row r="430" spans="1:32" ht="15.75" customHeight="1" x14ac:dyDescent="0.25">
      <c r="A430" s="141"/>
      <c r="B430" s="137"/>
      <c r="C430" s="94"/>
      <c r="D430" s="124"/>
      <c r="E430" s="124"/>
      <c r="F430" s="124"/>
      <c r="G430" s="127"/>
      <c r="H430" s="103"/>
      <c r="I430" s="97"/>
      <c r="J430" s="97"/>
      <c r="K430" s="97"/>
      <c r="L430" s="100"/>
      <c r="M430" s="103"/>
      <c r="N430" s="97"/>
      <c r="O430" s="97"/>
      <c r="P430" s="97"/>
      <c r="Q430" s="100"/>
      <c r="R430" s="103"/>
      <c r="S430" s="97"/>
      <c r="T430" s="97"/>
      <c r="U430" s="97"/>
      <c r="V430" s="100"/>
      <c r="W430" s="112"/>
      <c r="X430" s="106"/>
      <c r="Y430" s="106"/>
      <c r="Z430" s="106"/>
      <c r="AA430" s="109"/>
      <c r="AB430" s="134"/>
    </row>
    <row r="431" spans="1:32" ht="15.75" customHeight="1" thickBot="1" x14ac:dyDescent="0.3">
      <c r="A431" s="142"/>
      <c r="B431" s="138"/>
      <c r="C431" s="95"/>
      <c r="D431" s="125"/>
      <c r="E431" s="125"/>
      <c r="F431" s="125"/>
      <c r="G431" s="128"/>
      <c r="H431" s="104"/>
      <c r="I431" s="98"/>
      <c r="J431" s="98"/>
      <c r="K431" s="98"/>
      <c r="L431" s="101"/>
      <c r="M431" s="104"/>
      <c r="N431" s="98"/>
      <c r="O431" s="98"/>
      <c r="P431" s="98"/>
      <c r="Q431" s="101"/>
      <c r="R431" s="104"/>
      <c r="S431" s="98"/>
      <c r="T431" s="98"/>
      <c r="U431" s="98"/>
      <c r="V431" s="101"/>
      <c r="W431" s="113"/>
      <c r="X431" s="107"/>
      <c r="Y431" s="107"/>
      <c r="Z431" s="107"/>
      <c r="AA431" s="110"/>
      <c r="AB431" s="135"/>
    </row>
    <row r="432" spans="1:32" ht="15.75" customHeight="1" thickTop="1" thickBot="1" x14ac:dyDescent="0.3">
      <c r="A432" s="139">
        <f>ESCUADRAS!B87</f>
        <v>81</v>
      </c>
      <c r="B432" s="136">
        <f>ESCUADRAS!C87</f>
        <v>0</v>
      </c>
      <c r="C432" s="93"/>
      <c r="D432" s="123"/>
      <c r="E432" s="123"/>
      <c r="F432" s="123"/>
      <c r="G432" s="126"/>
      <c r="H432" s="102"/>
      <c r="I432" s="96"/>
      <c r="J432" s="96"/>
      <c r="K432" s="96"/>
      <c r="L432" s="99"/>
      <c r="M432" s="102"/>
      <c r="N432" s="96"/>
      <c r="O432" s="96"/>
      <c r="P432" s="96"/>
      <c r="Q432" s="99"/>
      <c r="R432" s="111"/>
      <c r="S432" s="105"/>
      <c r="T432" s="105"/>
      <c r="U432" s="105"/>
      <c r="V432" s="108"/>
      <c r="W432" s="102"/>
      <c r="X432" s="96"/>
      <c r="Y432" s="96"/>
      <c r="Z432" s="96"/>
      <c r="AA432" s="99"/>
      <c r="AB432" s="133"/>
    </row>
    <row r="433" spans="1:28" ht="15.75" customHeight="1" thickTop="1" thickBot="1" x14ac:dyDescent="0.3">
      <c r="A433" s="139"/>
      <c r="B433" s="137"/>
      <c r="C433" s="94"/>
      <c r="D433" s="124"/>
      <c r="E433" s="124"/>
      <c r="F433" s="124"/>
      <c r="G433" s="127"/>
      <c r="H433" s="103"/>
      <c r="I433" s="97"/>
      <c r="J433" s="97"/>
      <c r="K433" s="97"/>
      <c r="L433" s="100"/>
      <c r="M433" s="103"/>
      <c r="N433" s="97"/>
      <c r="O433" s="97"/>
      <c r="P433" s="97"/>
      <c r="Q433" s="100"/>
      <c r="R433" s="112"/>
      <c r="S433" s="106"/>
      <c r="T433" s="106"/>
      <c r="U433" s="106"/>
      <c r="V433" s="109"/>
      <c r="W433" s="103"/>
      <c r="X433" s="97"/>
      <c r="Y433" s="97"/>
      <c r="Z433" s="97"/>
      <c r="AA433" s="100"/>
      <c r="AB433" s="134"/>
    </row>
    <row r="434" spans="1:28" ht="15.75" customHeight="1" thickTop="1" thickBot="1" x14ac:dyDescent="0.3">
      <c r="A434" s="139"/>
      <c r="B434" s="138"/>
      <c r="C434" s="95"/>
      <c r="D434" s="125"/>
      <c r="E434" s="125"/>
      <c r="F434" s="125"/>
      <c r="G434" s="128"/>
      <c r="H434" s="104"/>
      <c r="I434" s="98"/>
      <c r="J434" s="98"/>
      <c r="K434" s="98"/>
      <c r="L434" s="101"/>
      <c r="M434" s="104"/>
      <c r="N434" s="98"/>
      <c r="O434" s="98"/>
      <c r="P434" s="98"/>
      <c r="Q434" s="101"/>
      <c r="R434" s="113"/>
      <c r="S434" s="107"/>
      <c r="T434" s="107"/>
      <c r="U434" s="107"/>
      <c r="V434" s="110"/>
      <c r="W434" s="104"/>
      <c r="X434" s="98"/>
      <c r="Y434" s="98"/>
      <c r="Z434" s="98"/>
      <c r="AA434" s="101"/>
      <c r="AB434" s="135"/>
    </row>
    <row r="435" spans="1:28" ht="15.75" customHeight="1" thickTop="1" x14ac:dyDescent="0.25">
      <c r="A435" s="140">
        <f>ESCUADRAS!B88</f>
        <v>82</v>
      </c>
      <c r="B435" s="136">
        <f>ESCUADRAS!C88</f>
        <v>0</v>
      </c>
      <c r="C435" s="93"/>
      <c r="D435" s="123"/>
      <c r="E435" s="123"/>
      <c r="F435" s="123"/>
      <c r="G435" s="126"/>
      <c r="H435" s="102"/>
      <c r="I435" s="96"/>
      <c r="J435" s="96"/>
      <c r="K435" s="96"/>
      <c r="L435" s="99"/>
      <c r="M435" s="111"/>
      <c r="N435" s="105"/>
      <c r="O435" s="105"/>
      <c r="P435" s="105"/>
      <c r="Q435" s="108"/>
      <c r="R435" s="102"/>
      <c r="S435" s="96"/>
      <c r="T435" s="96"/>
      <c r="U435" s="96"/>
      <c r="V435" s="99"/>
      <c r="W435" s="102"/>
      <c r="X435" s="96"/>
      <c r="Y435" s="96"/>
      <c r="Z435" s="96"/>
      <c r="AA435" s="99"/>
      <c r="AB435" s="133"/>
    </row>
    <row r="436" spans="1:28" ht="15.75" customHeight="1" x14ac:dyDescent="0.25">
      <c r="A436" s="141"/>
      <c r="B436" s="137"/>
      <c r="C436" s="94"/>
      <c r="D436" s="124"/>
      <c r="E436" s="124"/>
      <c r="F436" s="124"/>
      <c r="G436" s="127"/>
      <c r="H436" s="103"/>
      <c r="I436" s="97"/>
      <c r="J436" s="97"/>
      <c r="K436" s="97"/>
      <c r="L436" s="100"/>
      <c r="M436" s="112"/>
      <c r="N436" s="106"/>
      <c r="O436" s="106"/>
      <c r="P436" s="106"/>
      <c r="Q436" s="109"/>
      <c r="R436" s="103"/>
      <c r="S436" s="97"/>
      <c r="T436" s="97"/>
      <c r="U436" s="97"/>
      <c r="V436" s="100"/>
      <c r="W436" s="103"/>
      <c r="X436" s="97"/>
      <c r="Y436" s="97"/>
      <c r="Z436" s="97"/>
      <c r="AA436" s="100"/>
      <c r="AB436" s="134"/>
    </row>
    <row r="437" spans="1:28" ht="15.75" customHeight="1" thickBot="1" x14ac:dyDescent="0.3">
      <c r="A437" s="142"/>
      <c r="B437" s="138"/>
      <c r="C437" s="95"/>
      <c r="D437" s="125"/>
      <c r="E437" s="125"/>
      <c r="F437" s="125"/>
      <c r="G437" s="128"/>
      <c r="H437" s="104"/>
      <c r="I437" s="98"/>
      <c r="J437" s="98"/>
      <c r="K437" s="98"/>
      <c r="L437" s="101"/>
      <c r="M437" s="113"/>
      <c r="N437" s="107"/>
      <c r="O437" s="107"/>
      <c r="P437" s="107"/>
      <c r="Q437" s="110"/>
      <c r="R437" s="104"/>
      <c r="S437" s="98"/>
      <c r="T437" s="98"/>
      <c r="U437" s="98"/>
      <c r="V437" s="101"/>
      <c r="W437" s="104"/>
      <c r="X437" s="98"/>
      <c r="Y437" s="98"/>
      <c r="Z437" s="98"/>
      <c r="AA437" s="101"/>
      <c r="AB437" s="135"/>
    </row>
    <row r="438" spans="1:28" ht="15.75" customHeight="1" thickTop="1" thickBot="1" x14ac:dyDescent="0.3">
      <c r="A438" s="139">
        <f>ESCUADRAS!B89</f>
        <v>83</v>
      </c>
      <c r="B438" s="136">
        <f>ESCUADRAS!C89</f>
        <v>0</v>
      </c>
      <c r="C438" s="93"/>
      <c r="D438" s="123"/>
      <c r="E438" s="123"/>
      <c r="F438" s="123"/>
      <c r="G438" s="126"/>
      <c r="H438" s="111"/>
      <c r="I438" s="105"/>
      <c r="J438" s="105"/>
      <c r="K438" s="105"/>
      <c r="L438" s="108"/>
      <c r="M438" s="102"/>
      <c r="N438" s="96"/>
      <c r="O438" s="96"/>
      <c r="P438" s="96"/>
      <c r="Q438" s="99"/>
      <c r="R438" s="102"/>
      <c r="S438" s="96"/>
      <c r="T438" s="96"/>
      <c r="U438" s="96"/>
      <c r="V438" s="99"/>
      <c r="W438" s="102"/>
      <c r="X438" s="96"/>
      <c r="Y438" s="96"/>
      <c r="Z438" s="96"/>
      <c r="AA438" s="99"/>
      <c r="AB438" s="133"/>
    </row>
    <row r="439" spans="1:28" ht="15.75" customHeight="1" thickTop="1" thickBot="1" x14ac:dyDescent="0.3">
      <c r="A439" s="139"/>
      <c r="B439" s="137"/>
      <c r="C439" s="94"/>
      <c r="D439" s="124"/>
      <c r="E439" s="124"/>
      <c r="F439" s="124"/>
      <c r="G439" s="127"/>
      <c r="H439" s="112"/>
      <c r="I439" s="106"/>
      <c r="J439" s="106"/>
      <c r="K439" s="106"/>
      <c r="L439" s="109"/>
      <c r="M439" s="103"/>
      <c r="N439" s="97"/>
      <c r="O439" s="97"/>
      <c r="P439" s="97"/>
      <c r="Q439" s="100"/>
      <c r="R439" s="103"/>
      <c r="S439" s="97"/>
      <c r="T439" s="97"/>
      <c r="U439" s="97"/>
      <c r="V439" s="100"/>
      <c r="W439" s="103"/>
      <c r="X439" s="97"/>
      <c r="Y439" s="97"/>
      <c r="Z439" s="97"/>
      <c r="AA439" s="100"/>
      <c r="AB439" s="134"/>
    </row>
    <row r="440" spans="1:28" ht="15.75" customHeight="1" thickTop="1" thickBot="1" x14ac:dyDescent="0.3">
      <c r="A440" s="139"/>
      <c r="B440" s="138"/>
      <c r="C440" s="95"/>
      <c r="D440" s="125"/>
      <c r="E440" s="125"/>
      <c r="F440" s="125"/>
      <c r="G440" s="128"/>
      <c r="H440" s="113"/>
      <c r="I440" s="107"/>
      <c r="J440" s="107"/>
      <c r="K440" s="107"/>
      <c r="L440" s="110"/>
      <c r="M440" s="104"/>
      <c r="N440" s="98"/>
      <c r="O440" s="98"/>
      <c r="P440" s="98"/>
      <c r="Q440" s="101"/>
      <c r="R440" s="104"/>
      <c r="S440" s="98"/>
      <c r="T440" s="98"/>
      <c r="U440" s="98"/>
      <c r="V440" s="101"/>
      <c r="W440" s="104"/>
      <c r="X440" s="98"/>
      <c r="Y440" s="98"/>
      <c r="Z440" s="98"/>
      <c r="AA440" s="101"/>
      <c r="AB440" s="135"/>
    </row>
    <row r="441" spans="1:28" ht="15.75" customHeight="1" thickTop="1" x14ac:dyDescent="0.25">
      <c r="A441" s="140">
        <f>ESCUADRAS!B90</f>
        <v>84</v>
      </c>
      <c r="B441" s="136">
        <f>ESCUADRAS!C90</f>
        <v>0</v>
      </c>
      <c r="C441" s="111"/>
      <c r="D441" s="105"/>
      <c r="E441" s="105"/>
      <c r="F441" s="105"/>
      <c r="G441" s="108"/>
      <c r="H441" s="122"/>
      <c r="I441" s="120"/>
      <c r="J441" s="120"/>
      <c r="K441" s="120"/>
      <c r="L441" s="121"/>
      <c r="M441" s="122"/>
      <c r="N441" s="120"/>
      <c r="O441" s="120"/>
      <c r="P441" s="120"/>
      <c r="Q441" s="121"/>
      <c r="R441" s="122"/>
      <c r="S441" s="120"/>
      <c r="T441" s="120"/>
      <c r="U441" s="120"/>
      <c r="V441" s="121"/>
      <c r="W441" s="122"/>
      <c r="X441" s="120"/>
      <c r="Y441" s="120"/>
      <c r="Z441" s="120"/>
      <c r="AA441" s="121"/>
      <c r="AB441" s="133"/>
    </row>
    <row r="442" spans="1:28" ht="15.75" customHeight="1" x14ac:dyDescent="0.25">
      <c r="A442" s="141"/>
      <c r="B442" s="137"/>
      <c r="C442" s="112"/>
      <c r="D442" s="106"/>
      <c r="E442" s="106"/>
      <c r="F442" s="106"/>
      <c r="G442" s="109"/>
      <c r="H442" s="103"/>
      <c r="I442" s="97"/>
      <c r="J442" s="97"/>
      <c r="K442" s="97"/>
      <c r="L442" s="100"/>
      <c r="M442" s="103"/>
      <c r="N442" s="97"/>
      <c r="O442" s="97"/>
      <c r="P442" s="97"/>
      <c r="Q442" s="100"/>
      <c r="R442" s="103"/>
      <c r="S442" s="97"/>
      <c r="T442" s="97"/>
      <c r="U442" s="97"/>
      <c r="V442" s="100"/>
      <c r="W442" s="103"/>
      <c r="X442" s="97"/>
      <c r="Y442" s="97"/>
      <c r="Z442" s="97"/>
      <c r="AA442" s="100"/>
      <c r="AB442" s="134"/>
    </row>
    <row r="443" spans="1:28" ht="15.75" customHeight="1" thickBot="1" x14ac:dyDescent="0.3">
      <c r="A443" s="142"/>
      <c r="B443" s="138"/>
      <c r="C443" s="113"/>
      <c r="D443" s="107"/>
      <c r="E443" s="107"/>
      <c r="F443" s="107"/>
      <c r="G443" s="110"/>
      <c r="H443" s="104"/>
      <c r="I443" s="98"/>
      <c r="J443" s="98"/>
      <c r="K443" s="98"/>
      <c r="L443" s="101"/>
      <c r="M443" s="104"/>
      <c r="N443" s="98"/>
      <c r="O443" s="98"/>
      <c r="P443" s="98"/>
      <c r="Q443" s="101"/>
      <c r="R443" s="104"/>
      <c r="S443" s="98"/>
      <c r="T443" s="98"/>
      <c r="U443" s="98"/>
      <c r="V443" s="101"/>
      <c r="W443" s="104"/>
      <c r="X443" s="98"/>
      <c r="Y443" s="98"/>
      <c r="Z443" s="98"/>
      <c r="AA443" s="101"/>
      <c r="AB443" s="135"/>
    </row>
    <row r="444" spans="1:28" ht="15" x14ac:dyDescent="0.25">
      <c r="A444" s="28"/>
    </row>
    <row r="445" spans="1:28" ht="15" x14ac:dyDescent="0.25">
      <c r="A445" s="28"/>
      <c r="B445" s="26" t="s">
        <v>35</v>
      </c>
      <c r="E445" s="21" t="s">
        <v>41</v>
      </c>
      <c r="I445" s="21" t="s">
        <v>42</v>
      </c>
      <c r="M445" s="21" t="s">
        <v>43</v>
      </c>
      <c r="Q445" s="21" t="s">
        <v>44</v>
      </c>
      <c r="U445" s="21" t="s">
        <v>45</v>
      </c>
      <c r="Y445" s="21" t="s">
        <v>46</v>
      </c>
    </row>
    <row r="450" spans="1:32" ht="24.6" x14ac:dyDescent="0.25">
      <c r="A450" s="144" t="str">
        <f>'INSCRIPCION '!A$1</f>
        <v>TIRADA</v>
      </c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</row>
    <row r="451" spans="1:32" ht="19.5" customHeight="1" x14ac:dyDescent="0.4">
      <c r="A451" s="23"/>
      <c r="B451" s="23"/>
    </row>
    <row r="452" spans="1:32" ht="22.5" customHeight="1" x14ac:dyDescent="0.25">
      <c r="A452" s="132" t="str">
        <f>'INSCRIPCION '!A$2</f>
        <v>CAMPO DE TIRO LA ISLA</v>
      </c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</row>
    <row r="453" spans="1:32" ht="19.5" customHeight="1" x14ac:dyDescent="0.25">
      <c r="A453" s="143" t="str">
        <f>'INSCRIPCION '!A$3</f>
        <v>XXX PLATOS</v>
      </c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</row>
    <row r="454" spans="1:32" ht="22.8" x14ac:dyDescent="0.4">
      <c r="A454" s="24"/>
      <c r="B454" s="24"/>
    </row>
    <row r="455" spans="1:32" ht="17.399999999999999" x14ac:dyDescent="0.3">
      <c r="A455" s="25" t="s">
        <v>24</v>
      </c>
      <c r="B455" s="25"/>
      <c r="J455" s="9" t="s">
        <v>6</v>
      </c>
      <c r="K455" s="9"/>
      <c r="L455" s="9"/>
      <c r="M455" s="9"/>
      <c r="N455" s="9"/>
      <c r="O455" s="22">
        <v>3</v>
      </c>
      <c r="P455" s="22"/>
      <c r="Q455" s="8"/>
      <c r="R455" s="8"/>
      <c r="S455" s="7"/>
      <c r="T455" s="8"/>
      <c r="U455" s="8"/>
      <c r="V455" s="9" t="s">
        <v>7</v>
      </c>
      <c r="W455" s="9"/>
      <c r="X455" s="9"/>
      <c r="Y455" s="9"/>
      <c r="Z455" s="22">
        <v>1</v>
      </c>
      <c r="AA455" s="22"/>
    </row>
    <row r="456" spans="1:32" ht="13.8" thickBot="1" x14ac:dyDescent="0.3"/>
    <row r="457" spans="1:32" ht="15.6" thickBot="1" x14ac:dyDescent="0.3">
      <c r="A457" s="27" t="s">
        <v>0</v>
      </c>
      <c r="B457" s="27" t="s">
        <v>8</v>
      </c>
      <c r="C457" s="47">
        <v>1</v>
      </c>
      <c r="D457" s="48">
        <v>2</v>
      </c>
      <c r="E457" s="48">
        <v>3</v>
      </c>
      <c r="F457" s="48">
        <v>4</v>
      </c>
      <c r="G457" s="49">
        <v>5</v>
      </c>
      <c r="H457" s="47">
        <v>6</v>
      </c>
      <c r="I457" s="48">
        <v>7</v>
      </c>
      <c r="J457" s="48">
        <v>8</v>
      </c>
      <c r="K457" s="48">
        <v>9</v>
      </c>
      <c r="L457" s="49">
        <v>10</v>
      </c>
      <c r="M457" s="47">
        <v>11</v>
      </c>
      <c r="N457" s="48">
        <v>12</v>
      </c>
      <c r="O457" s="48">
        <v>13</v>
      </c>
      <c r="P457" s="48">
        <v>14</v>
      </c>
      <c r="Q457" s="49">
        <v>15</v>
      </c>
      <c r="R457" s="47">
        <v>16</v>
      </c>
      <c r="S457" s="48">
        <v>17</v>
      </c>
      <c r="T457" s="48">
        <v>18</v>
      </c>
      <c r="U457" s="48">
        <v>19</v>
      </c>
      <c r="V457" s="49">
        <v>20</v>
      </c>
      <c r="W457" s="47">
        <v>21</v>
      </c>
      <c r="X457" s="48">
        <v>22</v>
      </c>
      <c r="Y457" s="48">
        <v>23</v>
      </c>
      <c r="Z457" s="48">
        <v>24</v>
      </c>
      <c r="AA457" s="49">
        <v>25</v>
      </c>
      <c r="AB457" s="30" t="s">
        <v>1</v>
      </c>
    </row>
    <row r="458" spans="1:32" ht="15.75" customHeight="1" thickTop="1" thickBot="1" x14ac:dyDescent="0.3">
      <c r="A458" s="139">
        <f>ESCUADRAS!B91</f>
        <v>85</v>
      </c>
      <c r="B458" s="136">
        <f>ESCUADRAS!C91</f>
        <v>0</v>
      </c>
      <c r="C458" s="129"/>
      <c r="D458" s="114"/>
      <c r="E458" s="114"/>
      <c r="F458" s="114"/>
      <c r="G458" s="117"/>
      <c r="H458" s="111"/>
      <c r="I458" s="105"/>
      <c r="J458" s="105"/>
      <c r="K458" s="105"/>
      <c r="L458" s="108"/>
      <c r="M458" s="111"/>
      <c r="N458" s="105"/>
      <c r="O458" s="105"/>
      <c r="P458" s="105"/>
      <c r="Q458" s="108"/>
      <c r="R458" s="111"/>
      <c r="S458" s="105"/>
      <c r="T458" s="105"/>
      <c r="U458" s="105"/>
      <c r="V458" s="108"/>
      <c r="W458" s="111"/>
      <c r="X458" s="105"/>
      <c r="Y458" s="105"/>
      <c r="Z458" s="105"/>
      <c r="AA458" s="108"/>
      <c r="AB458" s="133"/>
    </row>
    <row r="459" spans="1:32" ht="15.75" customHeight="1" thickTop="1" thickBot="1" x14ac:dyDescent="0.3">
      <c r="A459" s="139"/>
      <c r="B459" s="137"/>
      <c r="C459" s="130"/>
      <c r="D459" s="115"/>
      <c r="E459" s="115"/>
      <c r="F459" s="115"/>
      <c r="G459" s="118"/>
      <c r="H459" s="112"/>
      <c r="I459" s="106"/>
      <c r="J459" s="106"/>
      <c r="K459" s="106"/>
      <c r="L459" s="109"/>
      <c r="M459" s="112"/>
      <c r="N459" s="106"/>
      <c r="O459" s="106"/>
      <c r="P459" s="106"/>
      <c r="Q459" s="109"/>
      <c r="R459" s="112"/>
      <c r="S459" s="106"/>
      <c r="T459" s="106"/>
      <c r="U459" s="106"/>
      <c r="V459" s="109"/>
      <c r="W459" s="112"/>
      <c r="X459" s="106"/>
      <c r="Y459" s="106"/>
      <c r="Z459" s="106"/>
      <c r="AA459" s="109"/>
      <c r="AB459" s="134"/>
    </row>
    <row r="460" spans="1:32" ht="15.75" customHeight="1" thickTop="1" thickBot="1" x14ac:dyDescent="0.3">
      <c r="A460" s="139"/>
      <c r="B460" s="138"/>
      <c r="C460" s="131"/>
      <c r="D460" s="116"/>
      <c r="E460" s="116"/>
      <c r="F460" s="116"/>
      <c r="G460" s="119"/>
      <c r="H460" s="113"/>
      <c r="I460" s="107"/>
      <c r="J460" s="107"/>
      <c r="K460" s="107"/>
      <c r="L460" s="110"/>
      <c r="M460" s="113"/>
      <c r="N460" s="107"/>
      <c r="O460" s="107"/>
      <c r="P460" s="107"/>
      <c r="Q460" s="110"/>
      <c r="R460" s="113"/>
      <c r="S460" s="107"/>
      <c r="T460" s="107"/>
      <c r="U460" s="107"/>
      <c r="V460" s="110"/>
      <c r="W460" s="113"/>
      <c r="X460" s="107"/>
      <c r="Y460" s="107"/>
      <c r="Z460" s="107"/>
      <c r="AA460" s="110"/>
      <c r="AB460" s="135"/>
    </row>
    <row r="461" spans="1:32" ht="15.75" customHeight="1" thickTop="1" x14ac:dyDescent="0.25">
      <c r="A461" s="140">
        <f>ESCUADRAS!B92</f>
        <v>86</v>
      </c>
      <c r="B461" s="136">
        <f>ESCUADRAS!C92</f>
        <v>0</v>
      </c>
      <c r="C461" s="93"/>
      <c r="D461" s="123"/>
      <c r="E461" s="123"/>
      <c r="F461" s="123"/>
      <c r="G461" s="126"/>
      <c r="H461" s="102"/>
      <c r="I461" s="96"/>
      <c r="J461" s="96"/>
      <c r="K461" s="96"/>
      <c r="L461" s="99"/>
      <c r="M461" s="102"/>
      <c r="N461" s="96"/>
      <c r="O461" s="96"/>
      <c r="P461" s="96"/>
      <c r="Q461" s="99"/>
      <c r="R461" s="102"/>
      <c r="S461" s="96"/>
      <c r="T461" s="96"/>
      <c r="U461" s="96"/>
      <c r="V461" s="99"/>
      <c r="W461" s="111"/>
      <c r="X461" s="105"/>
      <c r="Y461" s="105"/>
      <c r="Z461" s="105"/>
      <c r="AA461" s="108"/>
      <c r="AB461" s="133"/>
    </row>
    <row r="462" spans="1:32" ht="15.75" customHeight="1" x14ac:dyDescent="0.25">
      <c r="A462" s="141"/>
      <c r="B462" s="137"/>
      <c r="C462" s="94"/>
      <c r="D462" s="124"/>
      <c r="E462" s="124"/>
      <c r="F462" s="124"/>
      <c r="G462" s="127"/>
      <c r="H462" s="103"/>
      <c r="I462" s="97"/>
      <c r="J462" s="97"/>
      <c r="K462" s="97"/>
      <c r="L462" s="100"/>
      <c r="M462" s="103"/>
      <c r="N462" s="97"/>
      <c r="O462" s="97"/>
      <c r="P462" s="97"/>
      <c r="Q462" s="100"/>
      <c r="R462" s="103"/>
      <c r="S462" s="97"/>
      <c r="T462" s="97"/>
      <c r="U462" s="97"/>
      <c r="V462" s="100"/>
      <c r="W462" s="112"/>
      <c r="X462" s="106"/>
      <c r="Y462" s="106"/>
      <c r="Z462" s="106"/>
      <c r="AA462" s="109"/>
      <c r="AB462" s="134"/>
    </row>
    <row r="463" spans="1:32" ht="15.75" customHeight="1" thickBot="1" x14ac:dyDescent="0.3">
      <c r="A463" s="142"/>
      <c r="B463" s="138"/>
      <c r="C463" s="95"/>
      <c r="D463" s="125"/>
      <c r="E463" s="125"/>
      <c r="F463" s="125"/>
      <c r="G463" s="128"/>
      <c r="H463" s="104"/>
      <c r="I463" s="98"/>
      <c r="J463" s="98"/>
      <c r="K463" s="98"/>
      <c r="L463" s="101"/>
      <c r="M463" s="104"/>
      <c r="N463" s="98"/>
      <c r="O463" s="98"/>
      <c r="P463" s="98"/>
      <c r="Q463" s="101"/>
      <c r="R463" s="104"/>
      <c r="S463" s="98"/>
      <c r="T463" s="98"/>
      <c r="U463" s="98"/>
      <c r="V463" s="101"/>
      <c r="W463" s="113"/>
      <c r="X463" s="107"/>
      <c r="Y463" s="107"/>
      <c r="Z463" s="107"/>
      <c r="AA463" s="110"/>
      <c r="AB463" s="135"/>
    </row>
    <row r="464" spans="1:32" ht="15.75" customHeight="1" thickTop="1" thickBot="1" x14ac:dyDescent="0.3">
      <c r="A464" s="139">
        <f>ESCUADRAS!B93</f>
        <v>87</v>
      </c>
      <c r="B464" s="136">
        <f>ESCUADRAS!C93</f>
        <v>0</v>
      </c>
      <c r="C464" s="93"/>
      <c r="D464" s="123"/>
      <c r="E464" s="123"/>
      <c r="F464" s="123"/>
      <c r="G464" s="126"/>
      <c r="H464" s="102"/>
      <c r="I464" s="96"/>
      <c r="J464" s="96"/>
      <c r="K464" s="96"/>
      <c r="L464" s="99"/>
      <c r="M464" s="102"/>
      <c r="N464" s="96"/>
      <c r="O464" s="96"/>
      <c r="P464" s="96"/>
      <c r="Q464" s="99"/>
      <c r="R464" s="111"/>
      <c r="S464" s="105"/>
      <c r="T464" s="105"/>
      <c r="U464" s="105"/>
      <c r="V464" s="108"/>
      <c r="W464" s="102"/>
      <c r="X464" s="96"/>
      <c r="Y464" s="96"/>
      <c r="Z464" s="96"/>
      <c r="AA464" s="99"/>
      <c r="AB464" s="133"/>
    </row>
    <row r="465" spans="1:28" ht="15.75" customHeight="1" thickTop="1" thickBot="1" x14ac:dyDescent="0.3">
      <c r="A465" s="139"/>
      <c r="B465" s="137"/>
      <c r="C465" s="94"/>
      <c r="D465" s="124"/>
      <c r="E465" s="124"/>
      <c r="F465" s="124"/>
      <c r="G465" s="127"/>
      <c r="H465" s="103"/>
      <c r="I465" s="97"/>
      <c r="J465" s="97"/>
      <c r="K465" s="97"/>
      <c r="L465" s="100"/>
      <c r="M465" s="103"/>
      <c r="N465" s="97"/>
      <c r="O465" s="97"/>
      <c r="P465" s="97"/>
      <c r="Q465" s="100"/>
      <c r="R465" s="112"/>
      <c r="S465" s="106"/>
      <c r="T465" s="106"/>
      <c r="U465" s="106"/>
      <c r="V465" s="109"/>
      <c r="W465" s="103"/>
      <c r="X465" s="97"/>
      <c r="Y465" s="97"/>
      <c r="Z465" s="97"/>
      <c r="AA465" s="100"/>
      <c r="AB465" s="134"/>
    </row>
    <row r="466" spans="1:28" ht="15.75" customHeight="1" thickTop="1" thickBot="1" x14ac:dyDescent="0.3">
      <c r="A466" s="139"/>
      <c r="B466" s="138"/>
      <c r="C466" s="95"/>
      <c r="D466" s="125"/>
      <c r="E466" s="125"/>
      <c r="F466" s="125"/>
      <c r="G466" s="128"/>
      <c r="H466" s="104"/>
      <c r="I466" s="98"/>
      <c r="J466" s="98"/>
      <c r="K466" s="98"/>
      <c r="L466" s="101"/>
      <c r="M466" s="104"/>
      <c r="N466" s="98"/>
      <c r="O466" s="98"/>
      <c r="P466" s="98"/>
      <c r="Q466" s="101"/>
      <c r="R466" s="113"/>
      <c r="S466" s="107"/>
      <c r="T466" s="107"/>
      <c r="U466" s="107"/>
      <c r="V466" s="110"/>
      <c r="W466" s="104"/>
      <c r="X466" s="98"/>
      <c r="Y466" s="98"/>
      <c r="Z466" s="98"/>
      <c r="AA466" s="101"/>
      <c r="AB466" s="135"/>
    </row>
    <row r="467" spans="1:28" ht="15.75" customHeight="1" thickTop="1" x14ac:dyDescent="0.25">
      <c r="A467" s="140">
        <f>ESCUADRAS!B94</f>
        <v>88</v>
      </c>
      <c r="B467" s="136">
        <f>ESCUADRAS!C94</f>
        <v>0</v>
      </c>
      <c r="C467" s="93"/>
      <c r="D467" s="123"/>
      <c r="E467" s="123"/>
      <c r="F467" s="123"/>
      <c r="G467" s="126"/>
      <c r="H467" s="102"/>
      <c r="I467" s="96"/>
      <c r="J467" s="96"/>
      <c r="K467" s="96"/>
      <c r="L467" s="99"/>
      <c r="M467" s="111"/>
      <c r="N467" s="105"/>
      <c r="O467" s="105"/>
      <c r="P467" s="105"/>
      <c r="Q467" s="108"/>
      <c r="R467" s="102"/>
      <c r="S467" s="96"/>
      <c r="T467" s="96"/>
      <c r="U467" s="96"/>
      <c r="V467" s="99"/>
      <c r="W467" s="102"/>
      <c r="X467" s="96"/>
      <c r="Y467" s="96"/>
      <c r="Z467" s="96"/>
      <c r="AA467" s="99"/>
      <c r="AB467" s="133"/>
    </row>
    <row r="468" spans="1:28" ht="15.75" customHeight="1" x14ac:dyDescent="0.25">
      <c r="A468" s="141"/>
      <c r="B468" s="137"/>
      <c r="C468" s="94"/>
      <c r="D468" s="124"/>
      <c r="E468" s="124"/>
      <c r="F468" s="124"/>
      <c r="G468" s="127"/>
      <c r="H468" s="103"/>
      <c r="I468" s="97"/>
      <c r="J468" s="97"/>
      <c r="K468" s="97"/>
      <c r="L468" s="100"/>
      <c r="M468" s="112"/>
      <c r="N468" s="106"/>
      <c r="O468" s="106"/>
      <c r="P468" s="106"/>
      <c r="Q468" s="109"/>
      <c r="R468" s="103"/>
      <c r="S468" s="97"/>
      <c r="T468" s="97"/>
      <c r="U468" s="97"/>
      <c r="V468" s="100"/>
      <c r="W468" s="103"/>
      <c r="X468" s="97"/>
      <c r="Y468" s="97"/>
      <c r="Z468" s="97"/>
      <c r="AA468" s="100"/>
      <c r="AB468" s="134"/>
    </row>
    <row r="469" spans="1:28" ht="15.75" customHeight="1" thickBot="1" x14ac:dyDescent="0.3">
      <c r="A469" s="142"/>
      <c r="B469" s="138"/>
      <c r="C469" s="95"/>
      <c r="D469" s="125"/>
      <c r="E469" s="125"/>
      <c r="F469" s="125"/>
      <c r="G469" s="128"/>
      <c r="H469" s="104"/>
      <c r="I469" s="98"/>
      <c r="J469" s="98"/>
      <c r="K469" s="98"/>
      <c r="L469" s="101"/>
      <c r="M469" s="113"/>
      <c r="N469" s="107"/>
      <c r="O469" s="107"/>
      <c r="P469" s="107"/>
      <c r="Q469" s="110"/>
      <c r="R469" s="104"/>
      <c r="S469" s="98"/>
      <c r="T469" s="98"/>
      <c r="U469" s="98"/>
      <c r="V469" s="101"/>
      <c r="W469" s="104"/>
      <c r="X469" s="98"/>
      <c r="Y469" s="98"/>
      <c r="Z469" s="98"/>
      <c r="AA469" s="101"/>
      <c r="AB469" s="135"/>
    </row>
    <row r="470" spans="1:28" ht="15.75" customHeight="1" thickTop="1" thickBot="1" x14ac:dyDescent="0.3">
      <c r="A470" s="139">
        <f>ESCUADRAS!B95</f>
        <v>89</v>
      </c>
      <c r="B470" s="136">
        <f>ESCUADRAS!C95</f>
        <v>0</v>
      </c>
      <c r="C470" s="93"/>
      <c r="D470" s="123"/>
      <c r="E470" s="123"/>
      <c r="F470" s="123"/>
      <c r="G470" s="126"/>
      <c r="H470" s="111"/>
      <c r="I470" s="105"/>
      <c r="J470" s="105"/>
      <c r="K470" s="105"/>
      <c r="L470" s="108"/>
      <c r="M470" s="102"/>
      <c r="N470" s="96"/>
      <c r="O470" s="96"/>
      <c r="P470" s="96"/>
      <c r="Q470" s="99"/>
      <c r="R470" s="102"/>
      <c r="S470" s="96"/>
      <c r="T470" s="96"/>
      <c r="U470" s="96"/>
      <c r="V470" s="99"/>
      <c r="W470" s="102"/>
      <c r="X470" s="96"/>
      <c r="Y470" s="96"/>
      <c r="Z470" s="96"/>
      <c r="AA470" s="99"/>
      <c r="AB470" s="133"/>
    </row>
    <row r="471" spans="1:28" ht="15.75" customHeight="1" thickTop="1" thickBot="1" x14ac:dyDescent="0.3">
      <c r="A471" s="139"/>
      <c r="B471" s="137"/>
      <c r="C471" s="94"/>
      <c r="D471" s="124"/>
      <c r="E471" s="124"/>
      <c r="F471" s="124"/>
      <c r="G471" s="127"/>
      <c r="H471" s="112"/>
      <c r="I471" s="106"/>
      <c r="J471" s="106"/>
      <c r="K471" s="106"/>
      <c r="L471" s="109"/>
      <c r="M471" s="103"/>
      <c r="N471" s="97"/>
      <c r="O471" s="97"/>
      <c r="P471" s="97"/>
      <c r="Q471" s="100"/>
      <c r="R471" s="103"/>
      <c r="S471" s="97"/>
      <c r="T471" s="97"/>
      <c r="U471" s="97"/>
      <c r="V471" s="100"/>
      <c r="W471" s="103"/>
      <c r="X471" s="97"/>
      <c r="Y471" s="97"/>
      <c r="Z471" s="97"/>
      <c r="AA471" s="100"/>
      <c r="AB471" s="134"/>
    </row>
    <row r="472" spans="1:28" ht="15.75" customHeight="1" thickTop="1" thickBot="1" x14ac:dyDescent="0.3">
      <c r="A472" s="139"/>
      <c r="B472" s="138"/>
      <c r="C472" s="95"/>
      <c r="D472" s="125"/>
      <c r="E472" s="125"/>
      <c r="F472" s="125"/>
      <c r="G472" s="128"/>
      <c r="H472" s="113"/>
      <c r="I472" s="107"/>
      <c r="J472" s="107"/>
      <c r="K472" s="107"/>
      <c r="L472" s="110"/>
      <c r="M472" s="104"/>
      <c r="N472" s="98"/>
      <c r="O472" s="98"/>
      <c r="P472" s="98"/>
      <c r="Q472" s="101"/>
      <c r="R472" s="104"/>
      <c r="S472" s="98"/>
      <c r="T472" s="98"/>
      <c r="U472" s="98"/>
      <c r="V472" s="101"/>
      <c r="W472" s="104"/>
      <c r="X472" s="98"/>
      <c r="Y472" s="98"/>
      <c r="Z472" s="98"/>
      <c r="AA472" s="101"/>
      <c r="AB472" s="135"/>
    </row>
    <row r="473" spans="1:28" ht="15.75" customHeight="1" thickTop="1" x14ac:dyDescent="0.25">
      <c r="A473" s="140">
        <f>ESCUADRAS!B96</f>
        <v>90</v>
      </c>
      <c r="B473" s="136">
        <f>ESCUADRAS!C96</f>
        <v>0</v>
      </c>
      <c r="C473" s="111"/>
      <c r="D473" s="105"/>
      <c r="E473" s="105"/>
      <c r="F473" s="105"/>
      <c r="G473" s="108"/>
      <c r="H473" s="122"/>
      <c r="I473" s="120"/>
      <c r="J473" s="120"/>
      <c r="K473" s="120"/>
      <c r="L473" s="121"/>
      <c r="M473" s="122"/>
      <c r="N473" s="120"/>
      <c r="O473" s="120"/>
      <c r="P473" s="120"/>
      <c r="Q473" s="121"/>
      <c r="R473" s="122"/>
      <c r="S473" s="120"/>
      <c r="T473" s="120"/>
      <c r="U473" s="120"/>
      <c r="V473" s="121"/>
      <c r="W473" s="122"/>
      <c r="X473" s="120"/>
      <c r="Y473" s="120"/>
      <c r="Z473" s="120"/>
      <c r="AA473" s="121"/>
      <c r="AB473" s="133"/>
    </row>
    <row r="474" spans="1:28" ht="15.75" customHeight="1" x14ac:dyDescent="0.25">
      <c r="A474" s="141"/>
      <c r="B474" s="137"/>
      <c r="C474" s="112"/>
      <c r="D474" s="106"/>
      <c r="E474" s="106"/>
      <c r="F474" s="106"/>
      <c r="G474" s="109"/>
      <c r="H474" s="103"/>
      <c r="I474" s="97"/>
      <c r="J474" s="97"/>
      <c r="K474" s="97"/>
      <c r="L474" s="100"/>
      <c r="M474" s="103"/>
      <c r="N474" s="97"/>
      <c r="O474" s="97"/>
      <c r="P474" s="97"/>
      <c r="Q474" s="100"/>
      <c r="R474" s="103"/>
      <c r="S474" s="97"/>
      <c r="T474" s="97"/>
      <c r="U474" s="97"/>
      <c r="V474" s="100"/>
      <c r="W474" s="103"/>
      <c r="X474" s="97"/>
      <c r="Y474" s="97"/>
      <c r="Z474" s="97"/>
      <c r="AA474" s="100"/>
      <c r="AB474" s="134"/>
    </row>
    <row r="475" spans="1:28" ht="15.75" customHeight="1" thickBot="1" x14ac:dyDescent="0.3">
      <c r="A475" s="142"/>
      <c r="B475" s="138"/>
      <c r="C475" s="113"/>
      <c r="D475" s="107"/>
      <c r="E475" s="107"/>
      <c r="F475" s="107"/>
      <c r="G475" s="110"/>
      <c r="H475" s="104"/>
      <c r="I475" s="98"/>
      <c r="J475" s="98"/>
      <c r="K475" s="98"/>
      <c r="L475" s="101"/>
      <c r="M475" s="104"/>
      <c r="N475" s="98"/>
      <c r="O475" s="98"/>
      <c r="P475" s="98"/>
      <c r="Q475" s="101"/>
      <c r="R475" s="104"/>
      <c r="S475" s="98"/>
      <c r="T475" s="98"/>
      <c r="U475" s="98"/>
      <c r="V475" s="101"/>
      <c r="W475" s="104"/>
      <c r="X475" s="98"/>
      <c r="Y475" s="98"/>
      <c r="Z475" s="98"/>
      <c r="AA475" s="101"/>
      <c r="AB475" s="135"/>
    </row>
    <row r="476" spans="1:28" ht="15" x14ac:dyDescent="0.25">
      <c r="A476" s="28"/>
    </row>
    <row r="477" spans="1:28" ht="15" x14ac:dyDescent="0.25">
      <c r="A477" s="28"/>
      <c r="B477" s="26" t="s">
        <v>35</v>
      </c>
      <c r="E477" s="21" t="s">
        <v>41</v>
      </c>
      <c r="I477" s="21" t="s">
        <v>42</v>
      </c>
      <c r="M477" s="21" t="s">
        <v>43</v>
      </c>
      <c r="Q477" s="21" t="s">
        <v>44</v>
      </c>
      <c r="U477" s="21" t="s">
        <v>45</v>
      </c>
      <c r="Y477" s="21" t="s">
        <v>46</v>
      </c>
    </row>
    <row r="482" spans="1:32" ht="24.6" x14ac:dyDescent="0.25">
      <c r="A482" s="144" t="str">
        <f>'INSCRIPCION '!A$1</f>
        <v>TIRADA</v>
      </c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</row>
    <row r="483" spans="1:32" ht="19.5" customHeight="1" x14ac:dyDescent="0.4">
      <c r="A483" s="23"/>
      <c r="B483" s="23"/>
    </row>
    <row r="484" spans="1:32" ht="22.8" x14ac:dyDescent="0.25">
      <c r="A484" s="132" t="str">
        <f>'INSCRIPCION '!A$2</f>
        <v>CAMPO DE TIRO LA ISLA</v>
      </c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</row>
    <row r="485" spans="1:32" ht="20.399999999999999" x14ac:dyDescent="0.25">
      <c r="A485" s="143" t="str">
        <f>'INSCRIPCION '!A$3</f>
        <v>XXX PLATOS</v>
      </c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</row>
    <row r="486" spans="1:32" ht="22.8" x14ac:dyDescent="0.4">
      <c r="A486" s="24"/>
      <c r="B486" s="24"/>
    </row>
    <row r="487" spans="1:32" ht="17.399999999999999" x14ac:dyDescent="0.3">
      <c r="A487" s="25" t="s">
        <v>25</v>
      </c>
      <c r="B487" s="25"/>
      <c r="J487" s="9" t="s">
        <v>6</v>
      </c>
      <c r="K487" s="9"/>
      <c r="L487" s="9"/>
      <c r="M487" s="9"/>
      <c r="N487" s="9"/>
      <c r="O487" s="22">
        <v>4</v>
      </c>
      <c r="P487" s="22"/>
      <c r="Q487" s="8"/>
      <c r="R487" s="8"/>
      <c r="S487" s="7"/>
      <c r="T487" s="8"/>
      <c r="U487" s="8"/>
      <c r="V487" s="9" t="s">
        <v>7</v>
      </c>
      <c r="W487" s="9"/>
      <c r="X487" s="9"/>
      <c r="Y487" s="9"/>
      <c r="Z487" s="22">
        <v>1</v>
      </c>
      <c r="AA487" s="22"/>
    </row>
    <row r="488" spans="1:32" ht="13.8" thickBot="1" x14ac:dyDescent="0.3"/>
    <row r="489" spans="1:32" ht="15.6" thickBot="1" x14ac:dyDescent="0.3">
      <c r="A489" s="27" t="s">
        <v>0</v>
      </c>
      <c r="B489" s="27" t="s">
        <v>8</v>
      </c>
      <c r="C489" s="47">
        <v>1</v>
      </c>
      <c r="D489" s="48">
        <v>2</v>
      </c>
      <c r="E489" s="48">
        <v>3</v>
      </c>
      <c r="F489" s="48">
        <v>4</v>
      </c>
      <c r="G489" s="49">
        <v>5</v>
      </c>
      <c r="H489" s="47">
        <v>6</v>
      </c>
      <c r="I489" s="48">
        <v>7</v>
      </c>
      <c r="J489" s="48">
        <v>8</v>
      </c>
      <c r="K489" s="48">
        <v>9</v>
      </c>
      <c r="L489" s="49">
        <v>10</v>
      </c>
      <c r="M489" s="47">
        <v>11</v>
      </c>
      <c r="N489" s="48">
        <v>12</v>
      </c>
      <c r="O489" s="48">
        <v>13</v>
      </c>
      <c r="P489" s="48">
        <v>14</v>
      </c>
      <c r="Q489" s="49">
        <v>15</v>
      </c>
      <c r="R489" s="47">
        <v>16</v>
      </c>
      <c r="S489" s="48">
        <v>17</v>
      </c>
      <c r="T489" s="48">
        <v>18</v>
      </c>
      <c r="U489" s="48">
        <v>19</v>
      </c>
      <c r="V489" s="49">
        <v>20</v>
      </c>
      <c r="W489" s="47">
        <v>21</v>
      </c>
      <c r="X489" s="48">
        <v>22</v>
      </c>
      <c r="Y489" s="48">
        <v>23</v>
      </c>
      <c r="Z489" s="48">
        <v>24</v>
      </c>
      <c r="AA489" s="49">
        <v>25</v>
      </c>
      <c r="AB489" s="30" t="s">
        <v>1</v>
      </c>
    </row>
    <row r="490" spans="1:32" ht="14.25" customHeight="1" thickTop="1" thickBot="1" x14ac:dyDescent="0.3">
      <c r="A490" s="139">
        <f>ESCUADRAS!B97</f>
        <v>91</v>
      </c>
      <c r="B490" s="136">
        <f>ESCUADRAS!C97</f>
        <v>0</v>
      </c>
      <c r="C490" s="129"/>
      <c r="D490" s="114"/>
      <c r="E490" s="114"/>
      <c r="F490" s="114"/>
      <c r="G490" s="117"/>
      <c r="H490" s="111"/>
      <c r="I490" s="105"/>
      <c r="J490" s="105"/>
      <c r="K490" s="105"/>
      <c r="L490" s="108"/>
      <c r="M490" s="111"/>
      <c r="N490" s="105"/>
      <c r="O490" s="105"/>
      <c r="P490" s="105"/>
      <c r="Q490" s="108"/>
      <c r="R490" s="111"/>
      <c r="S490" s="105"/>
      <c r="T490" s="105"/>
      <c r="U490" s="105"/>
      <c r="V490" s="108"/>
      <c r="W490" s="111"/>
      <c r="X490" s="105"/>
      <c r="Y490" s="105"/>
      <c r="Z490" s="105"/>
      <c r="AA490" s="108"/>
      <c r="AB490" s="133"/>
    </row>
    <row r="491" spans="1:32" ht="14.25" customHeight="1" thickTop="1" thickBot="1" x14ac:dyDescent="0.3">
      <c r="A491" s="139"/>
      <c r="B491" s="137"/>
      <c r="C491" s="130"/>
      <c r="D491" s="115"/>
      <c r="E491" s="115"/>
      <c r="F491" s="115"/>
      <c r="G491" s="118"/>
      <c r="H491" s="112"/>
      <c r="I491" s="106"/>
      <c r="J491" s="106"/>
      <c r="K491" s="106"/>
      <c r="L491" s="109"/>
      <c r="M491" s="112"/>
      <c r="N491" s="106"/>
      <c r="O491" s="106"/>
      <c r="P491" s="106"/>
      <c r="Q491" s="109"/>
      <c r="R491" s="112"/>
      <c r="S491" s="106"/>
      <c r="T491" s="106"/>
      <c r="U491" s="106"/>
      <c r="V491" s="109"/>
      <c r="W491" s="112"/>
      <c r="X491" s="106"/>
      <c r="Y491" s="106"/>
      <c r="Z491" s="106"/>
      <c r="AA491" s="109"/>
      <c r="AB491" s="134"/>
    </row>
    <row r="492" spans="1:32" ht="13.5" customHeight="1" thickTop="1" thickBot="1" x14ac:dyDescent="0.3">
      <c r="A492" s="139"/>
      <c r="B492" s="138"/>
      <c r="C492" s="131"/>
      <c r="D492" s="116"/>
      <c r="E492" s="116"/>
      <c r="F492" s="116"/>
      <c r="G492" s="119"/>
      <c r="H492" s="113"/>
      <c r="I492" s="107"/>
      <c r="J492" s="107"/>
      <c r="K492" s="107"/>
      <c r="L492" s="110"/>
      <c r="M492" s="113"/>
      <c r="N492" s="107"/>
      <c r="O492" s="107"/>
      <c r="P492" s="107"/>
      <c r="Q492" s="110"/>
      <c r="R492" s="113"/>
      <c r="S492" s="107"/>
      <c r="T492" s="107"/>
      <c r="U492" s="107"/>
      <c r="V492" s="110"/>
      <c r="W492" s="113"/>
      <c r="X492" s="107"/>
      <c r="Y492" s="107"/>
      <c r="Z492" s="107"/>
      <c r="AA492" s="110"/>
      <c r="AB492" s="135"/>
    </row>
    <row r="493" spans="1:32" ht="14.25" customHeight="1" thickTop="1" x14ac:dyDescent="0.25">
      <c r="A493" s="140">
        <f>ESCUADRAS!B98</f>
        <v>92</v>
      </c>
      <c r="B493" s="136">
        <f>ESCUADRAS!C98</f>
        <v>0</v>
      </c>
      <c r="C493" s="93"/>
      <c r="D493" s="123"/>
      <c r="E493" s="123"/>
      <c r="F493" s="123"/>
      <c r="G493" s="126"/>
      <c r="H493" s="102"/>
      <c r="I493" s="96"/>
      <c r="J493" s="96"/>
      <c r="K493" s="96"/>
      <c r="L493" s="99"/>
      <c r="M493" s="102"/>
      <c r="N493" s="96"/>
      <c r="O493" s="96"/>
      <c r="P493" s="96"/>
      <c r="Q493" s="99"/>
      <c r="R493" s="102"/>
      <c r="S493" s="96"/>
      <c r="T493" s="96"/>
      <c r="U493" s="96"/>
      <c r="V493" s="99"/>
      <c r="W493" s="111"/>
      <c r="X493" s="105"/>
      <c r="Y493" s="105"/>
      <c r="Z493" s="105"/>
      <c r="AA493" s="108"/>
      <c r="AB493" s="133"/>
    </row>
    <row r="494" spans="1:32" ht="14.25" customHeight="1" x14ac:dyDescent="0.25">
      <c r="A494" s="141"/>
      <c r="B494" s="137"/>
      <c r="C494" s="94"/>
      <c r="D494" s="124"/>
      <c r="E494" s="124"/>
      <c r="F494" s="124"/>
      <c r="G494" s="127"/>
      <c r="H494" s="103"/>
      <c r="I494" s="97"/>
      <c r="J494" s="97"/>
      <c r="K494" s="97"/>
      <c r="L494" s="100"/>
      <c r="M494" s="103"/>
      <c r="N494" s="97"/>
      <c r="O494" s="97"/>
      <c r="P494" s="97"/>
      <c r="Q494" s="100"/>
      <c r="R494" s="103"/>
      <c r="S494" s="97"/>
      <c r="T494" s="97"/>
      <c r="U494" s="97"/>
      <c r="V494" s="100"/>
      <c r="W494" s="112"/>
      <c r="X494" s="106"/>
      <c r="Y494" s="106"/>
      <c r="Z494" s="106"/>
      <c r="AA494" s="109"/>
      <c r="AB494" s="134"/>
    </row>
    <row r="495" spans="1:32" ht="13.5" customHeight="1" thickBot="1" x14ac:dyDescent="0.3">
      <c r="A495" s="142"/>
      <c r="B495" s="138"/>
      <c r="C495" s="95"/>
      <c r="D495" s="125"/>
      <c r="E495" s="125"/>
      <c r="F495" s="125"/>
      <c r="G495" s="128"/>
      <c r="H495" s="104"/>
      <c r="I495" s="98"/>
      <c r="J495" s="98"/>
      <c r="K495" s="98"/>
      <c r="L495" s="101"/>
      <c r="M495" s="104"/>
      <c r="N495" s="98"/>
      <c r="O495" s="98"/>
      <c r="P495" s="98"/>
      <c r="Q495" s="101"/>
      <c r="R495" s="104"/>
      <c r="S495" s="98"/>
      <c r="T495" s="98"/>
      <c r="U495" s="98"/>
      <c r="V495" s="101"/>
      <c r="W495" s="113"/>
      <c r="X495" s="107"/>
      <c r="Y495" s="107"/>
      <c r="Z495" s="107"/>
      <c r="AA495" s="110"/>
      <c r="AB495" s="135"/>
    </row>
    <row r="496" spans="1:32" ht="14.25" customHeight="1" thickTop="1" thickBot="1" x14ac:dyDescent="0.3">
      <c r="A496" s="139">
        <f>ESCUADRAS!B99</f>
        <v>93</v>
      </c>
      <c r="B496" s="136">
        <f>ESCUADRAS!C99</f>
        <v>0</v>
      </c>
      <c r="C496" s="93"/>
      <c r="D496" s="123"/>
      <c r="E496" s="123"/>
      <c r="F496" s="123"/>
      <c r="G496" s="126"/>
      <c r="H496" s="102"/>
      <c r="I496" s="96"/>
      <c r="J496" s="96"/>
      <c r="K496" s="96"/>
      <c r="L496" s="99"/>
      <c r="M496" s="102"/>
      <c r="N496" s="96"/>
      <c r="O496" s="96"/>
      <c r="P496" s="96"/>
      <c r="Q496" s="99"/>
      <c r="R496" s="111"/>
      <c r="S496" s="105"/>
      <c r="T496" s="105"/>
      <c r="U496" s="105"/>
      <c r="V496" s="108"/>
      <c r="W496" s="102"/>
      <c r="X496" s="96"/>
      <c r="Y496" s="96"/>
      <c r="Z496" s="96"/>
      <c r="AA496" s="99"/>
      <c r="AB496" s="133"/>
    </row>
    <row r="497" spans="1:28" ht="14.25" customHeight="1" thickTop="1" thickBot="1" x14ac:dyDescent="0.3">
      <c r="A497" s="139"/>
      <c r="B497" s="137"/>
      <c r="C497" s="94"/>
      <c r="D497" s="124"/>
      <c r="E497" s="124"/>
      <c r="F497" s="124"/>
      <c r="G497" s="127"/>
      <c r="H497" s="103"/>
      <c r="I497" s="97"/>
      <c r="J497" s="97"/>
      <c r="K497" s="97"/>
      <c r="L497" s="100"/>
      <c r="M497" s="103"/>
      <c r="N497" s="97"/>
      <c r="O497" s="97"/>
      <c r="P497" s="97"/>
      <c r="Q497" s="100"/>
      <c r="R497" s="112"/>
      <c r="S497" s="106"/>
      <c r="T497" s="106"/>
      <c r="U497" s="106"/>
      <c r="V497" s="109"/>
      <c r="W497" s="103"/>
      <c r="X497" s="97"/>
      <c r="Y497" s="97"/>
      <c r="Z497" s="97"/>
      <c r="AA497" s="100"/>
      <c r="AB497" s="134"/>
    </row>
    <row r="498" spans="1:28" ht="13.5" customHeight="1" thickTop="1" thickBot="1" x14ac:dyDescent="0.3">
      <c r="A498" s="139"/>
      <c r="B498" s="138"/>
      <c r="C498" s="95"/>
      <c r="D498" s="125"/>
      <c r="E498" s="125"/>
      <c r="F498" s="125"/>
      <c r="G498" s="128"/>
      <c r="H498" s="104"/>
      <c r="I498" s="98"/>
      <c r="J498" s="98"/>
      <c r="K498" s="98"/>
      <c r="L498" s="101"/>
      <c r="M498" s="104"/>
      <c r="N498" s="98"/>
      <c r="O498" s="98"/>
      <c r="P498" s="98"/>
      <c r="Q498" s="101"/>
      <c r="R498" s="113"/>
      <c r="S498" s="107"/>
      <c r="T498" s="107"/>
      <c r="U498" s="107"/>
      <c r="V498" s="110"/>
      <c r="W498" s="104"/>
      <c r="X498" s="98"/>
      <c r="Y498" s="98"/>
      <c r="Z498" s="98"/>
      <c r="AA498" s="101"/>
      <c r="AB498" s="135"/>
    </row>
    <row r="499" spans="1:28" ht="13.5" customHeight="1" thickTop="1" x14ac:dyDescent="0.25">
      <c r="A499" s="140">
        <f>ESCUADRAS!B100</f>
        <v>94</v>
      </c>
      <c r="B499" s="136">
        <f>ESCUADRAS!C100</f>
        <v>0</v>
      </c>
      <c r="C499" s="93"/>
      <c r="D499" s="123"/>
      <c r="E499" s="123"/>
      <c r="F499" s="123"/>
      <c r="G499" s="126"/>
      <c r="H499" s="102"/>
      <c r="I499" s="96"/>
      <c r="J499" s="96"/>
      <c r="K499" s="96"/>
      <c r="L499" s="99"/>
      <c r="M499" s="111"/>
      <c r="N499" s="105"/>
      <c r="O499" s="105"/>
      <c r="P499" s="105"/>
      <c r="Q499" s="108"/>
      <c r="R499" s="102"/>
      <c r="S499" s="96"/>
      <c r="T499" s="96"/>
      <c r="U499" s="96"/>
      <c r="V499" s="99"/>
      <c r="W499" s="102"/>
      <c r="X499" s="96"/>
      <c r="Y499" s="96"/>
      <c r="Z499" s="96"/>
      <c r="AA499" s="99"/>
      <c r="AB499" s="133"/>
    </row>
    <row r="500" spans="1:28" ht="14.25" customHeight="1" x14ac:dyDescent="0.25">
      <c r="A500" s="141"/>
      <c r="B500" s="137"/>
      <c r="C500" s="94"/>
      <c r="D500" s="124"/>
      <c r="E500" s="124"/>
      <c r="F500" s="124"/>
      <c r="G500" s="127"/>
      <c r="H500" s="103"/>
      <c r="I500" s="97"/>
      <c r="J500" s="97"/>
      <c r="K500" s="97"/>
      <c r="L500" s="100"/>
      <c r="M500" s="112"/>
      <c r="N500" s="106"/>
      <c r="O500" s="106"/>
      <c r="P500" s="106"/>
      <c r="Q500" s="109"/>
      <c r="R500" s="103"/>
      <c r="S500" s="97"/>
      <c r="T500" s="97"/>
      <c r="U500" s="97"/>
      <c r="V500" s="100"/>
      <c r="W500" s="103"/>
      <c r="X500" s="97"/>
      <c r="Y500" s="97"/>
      <c r="Z500" s="97"/>
      <c r="AA500" s="100"/>
      <c r="AB500" s="134"/>
    </row>
    <row r="501" spans="1:28" ht="13.5" customHeight="1" thickBot="1" x14ac:dyDescent="0.3">
      <c r="A501" s="142"/>
      <c r="B501" s="138"/>
      <c r="C501" s="95"/>
      <c r="D501" s="125"/>
      <c r="E501" s="125"/>
      <c r="F501" s="125"/>
      <c r="G501" s="128"/>
      <c r="H501" s="104"/>
      <c r="I501" s="98"/>
      <c r="J501" s="98"/>
      <c r="K501" s="98"/>
      <c r="L501" s="101"/>
      <c r="M501" s="113"/>
      <c r="N501" s="107"/>
      <c r="O501" s="107"/>
      <c r="P501" s="107"/>
      <c r="Q501" s="110"/>
      <c r="R501" s="104"/>
      <c r="S501" s="98"/>
      <c r="T501" s="98"/>
      <c r="U501" s="98"/>
      <c r="V501" s="101"/>
      <c r="W501" s="104"/>
      <c r="X501" s="98"/>
      <c r="Y501" s="98"/>
      <c r="Z501" s="98"/>
      <c r="AA501" s="101"/>
      <c r="AB501" s="135"/>
    </row>
    <row r="502" spans="1:28" ht="14.25" customHeight="1" thickTop="1" thickBot="1" x14ac:dyDescent="0.3">
      <c r="A502" s="139">
        <f>ESCUADRAS!B101</f>
        <v>95</v>
      </c>
      <c r="B502" s="136">
        <f>ESCUADRAS!C101</f>
        <v>0</v>
      </c>
      <c r="C502" s="93"/>
      <c r="D502" s="123"/>
      <c r="E502" s="123"/>
      <c r="F502" s="123"/>
      <c r="G502" s="126"/>
      <c r="H502" s="111"/>
      <c r="I502" s="105"/>
      <c r="J502" s="105"/>
      <c r="K502" s="105"/>
      <c r="L502" s="108"/>
      <c r="M502" s="102"/>
      <c r="N502" s="96"/>
      <c r="O502" s="96"/>
      <c r="P502" s="96"/>
      <c r="Q502" s="99"/>
      <c r="R502" s="102"/>
      <c r="S502" s="96"/>
      <c r="T502" s="96"/>
      <c r="U502" s="96"/>
      <c r="V502" s="99"/>
      <c r="W502" s="102"/>
      <c r="X502" s="96"/>
      <c r="Y502" s="96"/>
      <c r="Z502" s="96"/>
      <c r="AA502" s="99"/>
      <c r="AB502" s="133"/>
    </row>
    <row r="503" spans="1:28" ht="14.25" customHeight="1" thickTop="1" thickBot="1" x14ac:dyDescent="0.3">
      <c r="A503" s="139"/>
      <c r="B503" s="137"/>
      <c r="C503" s="94"/>
      <c r="D503" s="124"/>
      <c r="E503" s="124"/>
      <c r="F503" s="124"/>
      <c r="G503" s="127"/>
      <c r="H503" s="112"/>
      <c r="I503" s="106"/>
      <c r="J503" s="106"/>
      <c r="K503" s="106"/>
      <c r="L503" s="109"/>
      <c r="M503" s="103"/>
      <c r="N503" s="97"/>
      <c r="O503" s="97"/>
      <c r="P503" s="97"/>
      <c r="Q503" s="100"/>
      <c r="R503" s="103"/>
      <c r="S503" s="97"/>
      <c r="T503" s="97"/>
      <c r="U503" s="97"/>
      <c r="V503" s="100"/>
      <c r="W503" s="103"/>
      <c r="X503" s="97"/>
      <c r="Y503" s="97"/>
      <c r="Z503" s="97"/>
      <c r="AA503" s="100"/>
      <c r="AB503" s="134"/>
    </row>
    <row r="504" spans="1:28" ht="13.5" customHeight="1" thickTop="1" thickBot="1" x14ac:dyDescent="0.3">
      <c r="A504" s="139"/>
      <c r="B504" s="138"/>
      <c r="C504" s="95"/>
      <c r="D504" s="125"/>
      <c r="E504" s="125"/>
      <c r="F504" s="125"/>
      <c r="G504" s="128"/>
      <c r="H504" s="113"/>
      <c r="I504" s="107"/>
      <c r="J504" s="107"/>
      <c r="K504" s="107"/>
      <c r="L504" s="110"/>
      <c r="M504" s="104"/>
      <c r="N504" s="98"/>
      <c r="O504" s="98"/>
      <c r="P504" s="98"/>
      <c r="Q504" s="101"/>
      <c r="R504" s="104"/>
      <c r="S504" s="98"/>
      <c r="T504" s="98"/>
      <c r="U504" s="98"/>
      <c r="V504" s="101"/>
      <c r="W504" s="104"/>
      <c r="X504" s="98"/>
      <c r="Y504" s="98"/>
      <c r="Z504" s="98"/>
      <c r="AA504" s="101"/>
      <c r="AB504" s="135"/>
    </row>
    <row r="505" spans="1:28" ht="13.5" customHeight="1" thickTop="1" x14ac:dyDescent="0.25">
      <c r="A505" s="140">
        <f>ESCUADRAS!B102</f>
        <v>96</v>
      </c>
      <c r="B505" s="136">
        <f>ESCUADRAS!C102</f>
        <v>0</v>
      </c>
      <c r="C505" s="111"/>
      <c r="D505" s="105"/>
      <c r="E505" s="105"/>
      <c r="F505" s="105"/>
      <c r="G505" s="108"/>
      <c r="H505" s="122"/>
      <c r="I505" s="120"/>
      <c r="J505" s="120"/>
      <c r="K505" s="120"/>
      <c r="L505" s="121"/>
      <c r="M505" s="122"/>
      <c r="N505" s="120"/>
      <c r="O505" s="120"/>
      <c r="P505" s="120"/>
      <c r="Q505" s="121"/>
      <c r="R505" s="122"/>
      <c r="S505" s="120"/>
      <c r="T505" s="120"/>
      <c r="U505" s="120"/>
      <c r="V505" s="121"/>
      <c r="W505" s="122"/>
      <c r="X505" s="120"/>
      <c r="Y505" s="120"/>
      <c r="Z505" s="120"/>
      <c r="AA505" s="121"/>
      <c r="AB505" s="133"/>
    </row>
    <row r="506" spans="1:28" ht="14.25" customHeight="1" x14ac:dyDescent="0.25">
      <c r="A506" s="141"/>
      <c r="B506" s="137"/>
      <c r="C506" s="112"/>
      <c r="D506" s="106"/>
      <c r="E506" s="106"/>
      <c r="F506" s="106"/>
      <c r="G506" s="109"/>
      <c r="H506" s="103"/>
      <c r="I506" s="97"/>
      <c r="J506" s="97"/>
      <c r="K506" s="97"/>
      <c r="L506" s="100"/>
      <c r="M506" s="103"/>
      <c r="N506" s="97"/>
      <c r="O506" s="97"/>
      <c r="P506" s="97"/>
      <c r="Q506" s="100"/>
      <c r="R506" s="103"/>
      <c r="S506" s="97"/>
      <c r="T506" s="97"/>
      <c r="U506" s="97"/>
      <c r="V506" s="100"/>
      <c r="W506" s="103"/>
      <c r="X506" s="97"/>
      <c r="Y506" s="97"/>
      <c r="Z506" s="97"/>
      <c r="AA506" s="100"/>
      <c r="AB506" s="134"/>
    </row>
    <row r="507" spans="1:28" ht="13.5" customHeight="1" thickBot="1" x14ac:dyDescent="0.3">
      <c r="A507" s="142"/>
      <c r="B507" s="138"/>
      <c r="C507" s="113"/>
      <c r="D507" s="107"/>
      <c r="E507" s="107"/>
      <c r="F507" s="107"/>
      <c r="G507" s="110"/>
      <c r="H507" s="104"/>
      <c r="I507" s="98"/>
      <c r="J507" s="98"/>
      <c r="K507" s="98"/>
      <c r="L507" s="101"/>
      <c r="M507" s="104"/>
      <c r="N507" s="98"/>
      <c r="O507" s="98"/>
      <c r="P507" s="98"/>
      <c r="Q507" s="101"/>
      <c r="R507" s="104"/>
      <c r="S507" s="98"/>
      <c r="T507" s="98"/>
      <c r="U507" s="98"/>
      <c r="V507" s="101"/>
      <c r="W507" s="104"/>
      <c r="X507" s="98"/>
      <c r="Y507" s="98"/>
      <c r="Z507" s="98"/>
      <c r="AA507" s="101"/>
      <c r="AB507" s="135"/>
    </row>
    <row r="509" spans="1:28" ht="15" x14ac:dyDescent="0.25">
      <c r="A509" s="28"/>
      <c r="B509" s="26" t="s">
        <v>35</v>
      </c>
      <c r="E509" s="21" t="s">
        <v>41</v>
      </c>
      <c r="I509" s="21" t="s">
        <v>42</v>
      </c>
      <c r="M509" s="21" t="s">
        <v>43</v>
      </c>
      <c r="Q509" s="21" t="s">
        <v>44</v>
      </c>
      <c r="U509" s="21" t="s">
        <v>45</v>
      </c>
      <c r="Y509" s="21" t="s">
        <v>46</v>
      </c>
    </row>
    <row r="515" spans="1:32" ht="26.25" customHeight="1" x14ac:dyDescent="0.25">
      <c r="A515" s="144" t="str">
        <f>'INSCRIPCION '!A$1</f>
        <v>TIRADA</v>
      </c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</row>
    <row r="516" spans="1:32" ht="19.5" customHeight="1" x14ac:dyDescent="0.4">
      <c r="A516" s="23"/>
      <c r="B516" s="23"/>
    </row>
    <row r="517" spans="1:32" ht="22.8" x14ac:dyDescent="0.25">
      <c r="A517" s="132" t="str">
        <f>'INSCRIPCION '!A$2</f>
        <v>CAMPO DE TIRO LA ISLA</v>
      </c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</row>
    <row r="518" spans="1:32" ht="20.399999999999999" x14ac:dyDescent="0.25">
      <c r="A518" s="143" t="str">
        <f>'INSCRIPCION '!A$3</f>
        <v>XXX PLATOS</v>
      </c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</row>
    <row r="519" spans="1:32" ht="22.8" x14ac:dyDescent="0.4">
      <c r="A519" s="24"/>
      <c r="B519" s="24"/>
    </row>
    <row r="520" spans="1:32" ht="17.399999999999999" x14ac:dyDescent="0.3">
      <c r="A520" s="25" t="s">
        <v>26</v>
      </c>
      <c r="B520" s="25"/>
      <c r="J520" s="9" t="s">
        <v>6</v>
      </c>
      <c r="K520" s="9"/>
      <c r="L520" s="9"/>
      <c r="M520" s="9"/>
      <c r="N520" s="9"/>
      <c r="O520" s="22">
        <v>1</v>
      </c>
      <c r="P520" s="22"/>
      <c r="Q520" s="8"/>
      <c r="R520" s="8"/>
      <c r="S520" s="7"/>
      <c r="T520" s="8"/>
      <c r="U520" s="8"/>
      <c r="V520" s="9" t="s">
        <v>7</v>
      </c>
      <c r="W520" s="9"/>
      <c r="X520" s="9"/>
      <c r="Y520" s="9"/>
      <c r="Z520" s="22">
        <v>1</v>
      </c>
      <c r="AA520" s="22"/>
    </row>
    <row r="521" spans="1:32" ht="13.8" thickBot="1" x14ac:dyDescent="0.3"/>
    <row r="522" spans="1:32" ht="15.6" thickBot="1" x14ac:dyDescent="0.3">
      <c r="A522" s="27" t="s">
        <v>0</v>
      </c>
      <c r="B522" s="27" t="s">
        <v>8</v>
      </c>
      <c r="C522" s="47">
        <v>1</v>
      </c>
      <c r="D522" s="48">
        <v>2</v>
      </c>
      <c r="E522" s="48">
        <v>3</v>
      </c>
      <c r="F522" s="48">
        <v>4</v>
      </c>
      <c r="G522" s="49">
        <v>5</v>
      </c>
      <c r="H522" s="47">
        <v>6</v>
      </c>
      <c r="I522" s="48">
        <v>7</v>
      </c>
      <c r="J522" s="48">
        <v>8</v>
      </c>
      <c r="K522" s="48">
        <v>9</v>
      </c>
      <c r="L522" s="49">
        <v>10</v>
      </c>
      <c r="M522" s="47">
        <v>11</v>
      </c>
      <c r="N522" s="48">
        <v>12</v>
      </c>
      <c r="O522" s="48">
        <v>13</v>
      </c>
      <c r="P522" s="48">
        <v>14</v>
      </c>
      <c r="Q522" s="49">
        <v>15</v>
      </c>
      <c r="R522" s="47">
        <v>16</v>
      </c>
      <c r="S522" s="48">
        <v>17</v>
      </c>
      <c r="T522" s="48">
        <v>18</v>
      </c>
      <c r="U522" s="48">
        <v>19</v>
      </c>
      <c r="V522" s="49">
        <v>20</v>
      </c>
      <c r="W522" s="47">
        <v>21</v>
      </c>
      <c r="X522" s="48">
        <v>22</v>
      </c>
      <c r="Y522" s="48">
        <v>23</v>
      </c>
      <c r="Z522" s="48">
        <v>24</v>
      </c>
      <c r="AA522" s="49">
        <v>25</v>
      </c>
      <c r="AB522" s="30" t="s">
        <v>1</v>
      </c>
    </row>
    <row r="523" spans="1:32" ht="14.25" customHeight="1" thickTop="1" thickBot="1" x14ac:dyDescent="0.3">
      <c r="A523" s="139">
        <f>ESCUADRAS!B103</f>
        <v>97</v>
      </c>
      <c r="B523" s="136">
        <f>ESCUADRAS!C103</f>
        <v>0</v>
      </c>
      <c r="C523" s="129"/>
      <c r="D523" s="114"/>
      <c r="E523" s="114"/>
      <c r="F523" s="114"/>
      <c r="G523" s="117"/>
      <c r="H523" s="111"/>
      <c r="I523" s="105"/>
      <c r="J523" s="105"/>
      <c r="K523" s="105"/>
      <c r="L523" s="108"/>
      <c r="M523" s="111"/>
      <c r="N523" s="105"/>
      <c r="O523" s="105"/>
      <c r="P523" s="105"/>
      <c r="Q523" s="108"/>
      <c r="R523" s="111"/>
      <c r="S523" s="105"/>
      <c r="T523" s="105"/>
      <c r="U523" s="105"/>
      <c r="V523" s="108"/>
      <c r="W523" s="111"/>
      <c r="X523" s="105"/>
      <c r="Y523" s="105"/>
      <c r="Z523" s="105"/>
      <c r="AA523" s="108"/>
      <c r="AB523" s="133"/>
    </row>
    <row r="524" spans="1:32" ht="14.25" customHeight="1" thickTop="1" thickBot="1" x14ac:dyDescent="0.3">
      <c r="A524" s="139"/>
      <c r="B524" s="137"/>
      <c r="C524" s="130"/>
      <c r="D524" s="115"/>
      <c r="E524" s="115"/>
      <c r="F524" s="115"/>
      <c r="G524" s="118"/>
      <c r="H524" s="112"/>
      <c r="I524" s="106"/>
      <c r="J524" s="106"/>
      <c r="K524" s="106"/>
      <c r="L524" s="109"/>
      <c r="M524" s="112"/>
      <c r="N524" s="106"/>
      <c r="O524" s="106"/>
      <c r="P524" s="106"/>
      <c r="Q524" s="109"/>
      <c r="R524" s="112"/>
      <c r="S524" s="106"/>
      <c r="T524" s="106"/>
      <c r="U524" s="106"/>
      <c r="V524" s="109"/>
      <c r="W524" s="112"/>
      <c r="X524" s="106"/>
      <c r="Y524" s="106"/>
      <c r="Z524" s="106"/>
      <c r="AA524" s="109"/>
      <c r="AB524" s="134"/>
    </row>
    <row r="525" spans="1:32" ht="13.5" customHeight="1" thickTop="1" thickBot="1" x14ac:dyDescent="0.3">
      <c r="A525" s="139"/>
      <c r="B525" s="138"/>
      <c r="C525" s="131"/>
      <c r="D525" s="116"/>
      <c r="E525" s="116"/>
      <c r="F525" s="116"/>
      <c r="G525" s="119"/>
      <c r="H525" s="113"/>
      <c r="I525" s="107"/>
      <c r="J525" s="107"/>
      <c r="K525" s="107"/>
      <c r="L525" s="110"/>
      <c r="M525" s="113"/>
      <c r="N525" s="107"/>
      <c r="O525" s="107"/>
      <c r="P525" s="107"/>
      <c r="Q525" s="110"/>
      <c r="R525" s="113"/>
      <c r="S525" s="107"/>
      <c r="T525" s="107"/>
      <c r="U525" s="107"/>
      <c r="V525" s="110"/>
      <c r="W525" s="113"/>
      <c r="X525" s="107"/>
      <c r="Y525" s="107"/>
      <c r="Z525" s="107"/>
      <c r="AA525" s="110"/>
      <c r="AB525" s="135"/>
    </row>
    <row r="526" spans="1:32" ht="14.25" customHeight="1" thickTop="1" x14ac:dyDescent="0.25">
      <c r="A526" s="140">
        <f>ESCUADRAS!B104</f>
        <v>98</v>
      </c>
      <c r="B526" s="136">
        <f>ESCUADRAS!C104</f>
        <v>0</v>
      </c>
      <c r="C526" s="93"/>
      <c r="D526" s="123"/>
      <c r="E526" s="123"/>
      <c r="F526" s="123"/>
      <c r="G526" s="126"/>
      <c r="H526" s="102"/>
      <c r="I526" s="96"/>
      <c r="J526" s="96"/>
      <c r="K526" s="96"/>
      <c r="L526" s="99"/>
      <c r="M526" s="102"/>
      <c r="N526" s="96"/>
      <c r="O526" s="96"/>
      <c r="P526" s="96"/>
      <c r="Q526" s="99"/>
      <c r="R526" s="102"/>
      <c r="S526" s="96"/>
      <c r="T526" s="96"/>
      <c r="U526" s="96"/>
      <c r="V526" s="99"/>
      <c r="W526" s="111"/>
      <c r="X526" s="105"/>
      <c r="Y526" s="105"/>
      <c r="Z526" s="105"/>
      <c r="AA526" s="108"/>
      <c r="AB526" s="133"/>
    </row>
    <row r="527" spans="1:32" ht="14.25" customHeight="1" x14ac:dyDescent="0.25">
      <c r="A527" s="141"/>
      <c r="B527" s="137"/>
      <c r="C527" s="94"/>
      <c r="D527" s="124"/>
      <c r="E527" s="124"/>
      <c r="F527" s="124"/>
      <c r="G527" s="127"/>
      <c r="H527" s="103"/>
      <c r="I527" s="97"/>
      <c r="J527" s="97"/>
      <c r="K527" s="97"/>
      <c r="L527" s="100"/>
      <c r="M527" s="103"/>
      <c r="N527" s="97"/>
      <c r="O527" s="97"/>
      <c r="P527" s="97"/>
      <c r="Q527" s="100"/>
      <c r="R527" s="103"/>
      <c r="S527" s="97"/>
      <c r="T527" s="97"/>
      <c r="U527" s="97"/>
      <c r="V527" s="100"/>
      <c r="W527" s="112"/>
      <c r="X527" s="106"/>
      <c r="Y527" s="106"/>
      <c r="Z527" s="106"/>
      <c r="AA527" s="109"/>
      <c r="AB527" s="134"/>
    </row>
    <row r="528" spans="1:32" ht="13.5" customHeight="1" thickBot="1" x14ac:dyDescent="0.3">
      <c r="A528" s="142"/>
      <c r="B528" s="138"/>
      <c r="C528" s="95"/>
      <c r="D528" s="125"/>
      <c r="E528" s="125"/>
      <c r="F528" s="125"/>
      <c r="G528" s="128"/>
      <c r="H528" s="104"/>
      <c r="I528" s="98"/>
      <c r="J528" s="98"/>
      <c r="K528" s="98"/>
      <c r="L528" s="101"/>
      <c r="M528" s="104"/>
      <c r="N528" s="98"/>
      <c r="O528" s="98"/>
      <c r="P528" s="98"/>
      <c r="Q528" s="101"/>
      <c r="R528" s="104"/>
      <c r="S528" s="98"/>
      <c r="T528" s="98"/>
      <c r="U528" s="98"/>
      <c r="V528" s="101"/>
      <c r="W528" s="113"/>
      <c r="X528" s="107"/>
      <c r="Y528" s="107"/>
      <c r="Z528" s="107"/>
      <c r="AA528" s="110"/>
      <c r="AB528" s="135"/>
    </row>
    <row r="529" spans="1:28" ht="14.25" customHeight="1" thickTop="1" thickBot="1" x14ac:dyDescent="0.3">
      <c r="A529" s="139">
        <f>ESCUADRAS!B105</f>
        <v>99</v>
      </c>
      <c r="B529" s="136">
        <f>ESCUADRAS!C105</f>
        <v>0</v>
      </c>
      <c r="C529" s="93"/>
      <c r="D529" s="123"/>
      <c r="E529" s="123"/>
      <c r="F529" s="123"/>
      <c r="G529" s="126"/>
      <c r="H529" s="102"/>
      <c r="I529" s="96"/>
      <c r="J529" s="96"/>
      <c r="K529" s="96"/>
      <c r="L529" s="99"/>
      <c r="M529" s="102"/>
      <c r="N529" s="96"/>
      <c r="O529" s="96"/>
      <c r="P529" s="96"/>
      <c r="Q529" s="99"/>
      <c r="R529" s="111"/>
      <c r="S529" s="105"/>
      <c r="T529" s="105"/>
      <c r="U529" s="105"/>
      <c r="V529" s="108"/>
      <c r="W529" s="102"/>
      <c r="X529" s="96"/>
      <c r="Y529" s="96"/>
      <c r="Z529" s="96"/>
      <c r="AA529" s="99"/>
      <c r="AB529" s="133"/>
    </row>
    <row r="530" spans="1:28" ht="14.25" customHeight="1" thickTop="1" thickBot="1" x14ac:dyDescent="0.3">
      <c r="A530" s="139"/>
      <c r="B530" s="137"/>
      <c r="C530" s="94"/>
      <c r="D530" s="124"/>
      <c r="E530" s="124"/>
      <c r="F530" s="124"/>
      <c r="G530" s="127"/>
      <c r="H530" s="103"/>
      <c r="I530" s="97"/>
      <c r="J530" s="97"/>
      <c r="K530" s="97"/>
      <c r="L530" s="100"/>
      <c r="M530" s="103"/>
      <c r="N530" s="97"/>
      <c r="O530" s="97"/>
      <c r="P530" s="97"/>
      <c r="Q530" s="100"/>
      <c r="R530" s="112"/>
      <c r="S530" s="106"/>
      <c r="T530" s="106"/>
      <c r="U530" s="106"/>
      <c r="V530" s="109"/>
      <c r="W530" s="103"/>
      <c r="X530" s="97"/>
      <c r="Y530" s="97"/>
      <c r="Z530" s="97"/>
      <c r="AA530" s="100"/>
      <c r="AB530" s="134"/>
    </row>
    <row r="531" spans="1:28" ht="13.5" customHeight="1" thickTop="1" thickBot="1" x14ac:dyDescent="0.3">
      <c r="A531" s="139"/>
      <c r="B531" s="138"/>
      <c r="C531" s="95"/>
      <c r="D531" s="125"/>
      <c r="E531" s="125"/>
      <c r="F531" s="125"/>
      <c r="G531" s="128"/>
      <c r="H531" s="104"/>
      <c r="I531" s="98"/>
      <c r="J531" s="98"/>
      <c r="K531" s="98"/>
      <c r="L531" s="101"/>
      <c r="M531" s="104"/>
      <c r="N531" s="98"/>
      <c r="O531" s="98"/>
      <c r="P531" s="98"/>
      <c r="Q531" s="101"/>
      <c r="R531" s="113"/>
      <c r="S531" s="107"/>
      <c r="T531" s="107"/>
      <c r="U531" s="107"/>
      <c r="V531" s="110"/>
      <c r="W531" s="104"/>
      <c r="X531" s="98"/>
      <c r="Y531" s="98"/>
      <c r="Z531" s="98"/>
      <c r="AA531" s="101"/>
      <c r="AB531" s="135"/>
    </row>
    <row r="532" spans="1:28" ht="13.5" customHeight="1" thickTop="1" x14ac:dyDescent="0.25">
      <c r="A532" s="140">
        <f>ESCUADRAS!B106</f>
        <v>100</v>
      </c>
      <c r="B532" s="136">
        <f>ESCUADRAS!C106</f>
        <v>0</v>
      </c>
      <c r="C532" s="93"/>
      <c r="D532" s="123"/>
      <c r="E532" s="123"/>
      <c r="F532" s="123"/>
      <c r="G532" s="126"/>
      <c r="H532" s="102"/>
      <c r="I532" s="96"/>
      <c r="J532" s="96"/>
      <c r="K532" s="96"/>
      <c r="L532" s="99"/>
      <c r="M532" s="111"/>
      <c r="N532" s="105"/>
      <c r="O532" s="105"/>
      <c r="P532" s="105"/>
      <c r="Q532" s="108"/>
      <c r="R532" s="102"/>
      <c r="S532" s="96"/>
      <c r="T532" s="96"/>
      <c r="U532" s="96"/>
      <c r="V532" s="99"/>
      <c r="W532" s="102"/>
      <c r="X532" s="96"/>
      <c r="Y532" s="96"/>
      <c r="Z532" s="96"/>
      <c r="AA532" s="99"/>
      <c r="AB532" s="133"/>
    </row>
    <row r="533" spans="1:28" ht="14.25" customHeight="1" x14ac:dyDescent="0.25">
      <c r="A533" s="141"/>
      <c r="B533" s="137"/>
      <c r="C533" s="94"/>
      <c r="D533" s="124"/>
      <c r="E533" s="124"/>
      <c r="F533" s="124"/>
      <c r="G533" s="127"/>
      <c r="H533" s="103"/>
      <c r="I533" s="97"/>
      <c r="J533" s="97"/>
      <c r="K533" s="97"/>
      <c r="L533" s="100"/>
      <c r="M533" s="112"/>
      <c r="N533" s="106"/>
      <c r="O533" s="106"/>
      <c r="P533" s="106"/>
      <c r="Q533" s="109"/>
      <c r="R533" s="103"/>
      <c r="S533" s="97"/>
      <c r="T533" s="97"/>
      <c r="U533" s="97"/>
      <c r="V533" s="100"/>
      <c r="W533" s="103"/>
      <c r="X533" s="97"/>
      <c r="Y533" s="97"/>
      <c r="Z533" s="97"/>
      <c r="AA533" s="100"/>
      <c r="AB533" s="134"/>
    </row>
    <row r="534" spans="1:28" ht="13.5" customHeight="1" thickBot="1" x14ac:dyDescent="0.3">
      <c r="A534" s="142"/>
      <c r="B534" s="138"/>
      <c r="C534" s="95"/>
      <c r="D534" s="125"/>
      <c r="E534" s="125"/>
      <c r="F534" s="125"/>
      <c r="G534" s="128"/>
      <c r="H534" s="104"/>
      <c r="I534" s="98"/>
      <c r="J534" s="98"/>
      <c r="K534" s="98"/>
      <c r="L534" s="101"/>
      <c r="M534" s="113"/>
      <c r="N534" s="107"/>
      <c r="O534" s="107"/>
      <c r="P534" s="107"/>
      <c r="Q534" s="110"/>
      <c r="R534" s="104"/>
      <c r="S534" s="98"/>
      <c r="T534" s="98"/>
      <c r="U534" s="98"/>
      <c r="V534" s="101"/>
      <c r="W534" s="104"/>
      <c r="X534" s="98"/>
      <c r="Y534" s="98"/>
      <c r="Z534" s="98"/>
      <c r="AA534" s="101"/>
      <c r="AB534" s="135"/>
    </row>
    <row r="535" spans="1:28" ht="14.25" customHeight="1" thickTop="1" thickBot="1" x14ac:dyDescent="0.3">
      <c r="A535" s="139">
        <f>ESCUADRAS!B107</f>
        <v>101</v>
      </c>
      <c r="B535" s="136">
        <f>ESCUADRAS!C107</f>
        <v>0</v>
      </c>
      <c r="C535" s="93"/>
      <c r="D535" s="123"/>
      <c r="E535" s="123"/>
      <c r="F535" s="123"/>
      <c r="G535" s="126"/>
      <c r="H535" s="111"/>
      <c r="I535" s="105"/>
      <c r="J535" s="105"/>
      <c r="K535" s="105"/>
      <c r="L535" s="108"/>
      <c r="M535" s="102"/>
      <c r="N535" s="96"/>
      <c r="O535" s="96"/>
      <c r="P535" s="96"/>
      <c r="Q535" s="99"/>
      <c r="R535" s="102"/>
      <c r="S535" s="96"/>
      <c r="T535" s="96"/>
      <c r="U535" s="96"/>
      <c r="V535" s="99"/>
      <c r="W535" s="102"/>
      <c r="X535" s="96"/>
      <c r="Y535" s="96"/>
      <c r="Z535" s="96"/>
      <c r="AA535" s="99"/>
      <c r="AB535" s="133"/>
    </row>
    <row r="536" spans="1:28" ht="14.25" customHeight="1" thickTop="1" thickBot="1" x14ac:dyDescent="0.3">
      <c r="A536" s="139"/>
      <c r="B536" s="137"/>
      <c r="C536" s="94"/>
      <c r="D536" s="124"/>
      <c r="E536" s="124"/>
      <c r="F536" s="124"/>
      <c r="G536" s="127"/>
      <c r="H536" s="112"/>
      <c r="I536" s="106"/>
      <c r="J536" s="106"/>
      <c r="K536" s="106"/>
      <c r="L536" s="109"/>
      <c r="M536" s="103"/>
      <c r="N536" s="97"/>
      <c r="O536" s="97"/>
      <c r="P536" s="97"/>
      <c r="Q536" s="100"/>
      <c r="R536" s="103"/>
      <c r="S536" s="97"/>
      <c r="T536" s="97"/>
      <c r="U536" s="97"/>
      <c r="V536" s="100"/>
      <c r="W536" s="103"/>
      <c r="X536" s="97"/>
      <c r="Y536" s="97"/>
      <c r="Z536" s="97"/>
      <c r="AA536" s="100"/>
      <c r="AB536" s="134"/>
    </row>
    <row r="537" spans="1:28" ht="13.5" customHeight="1" thickTop="1" thickBot="1" x14ac:dyDescent="0.3">
      <c r="A537" s="139"/>
      <c r="B537" s="138"/>
      <c r="C537" s="95"/>
      <c r="D537" s="125"/>
      <c r="E537" s="125"/>
      <c r="F537" s="125"/>
      <c r="G537" s="128"/>
      <c r="H537" s="113"/>
      <c r="I537" s="107"/>
      <c r="J537" s="107"/>
      <c r="K537" s="107"/>
      <c r="L537" s="110"/>
      <c r="M537" s="104"/>
      <c r="N537" s="98"/>
      <c r="O537" s="98"/>
      <c r="P537" s="98"/>
      <c r="Q537" s="101"/>
      <c r="R537" s="104"/>
      <c r="S537" s="98"/>
      <c r="T537" s="98"/>
      <c r="U537" s="98"/>
      <c r="V537" s="101"/>
      <c r="W537" s="104"/>
      <c r="X537" s="98"/>
      <c r="Y537" s="98"/>
      <c r="Z537" s="98"/>
      <c r="AA537" s="101"/>
      <c r="AB537" s="135"/>
    </row>
    <row r="538" spans="1:28" ht="13.5" customHeight="1" thickTop="1" x14ac:dyDescent="0.25">
      <c r="A538" s="140">
        <f>ESCUADRAS!B108</f>
        <v>102</v>
      </c>
      <c r="B538" s="136">
        <f>ESCUADRAS!C108</f>
        <v>0</v>
      </c>
      <c r="C538" s="111"/>
      <c r="D538" s="105"/>
      <c r="E538" s="105"/>
      <c r="F538" s="105"/>
      <c r="G538" s="108"/>
      <c r="H538" s="122"/>
      <c r="I538" s="120"/>
      <c r="J538" s="120"/>
      <c r="K538" s="120"/>
      <c r="L538" s="121"/>
      <c r="M538" s="122"/>
      <c r="N538" s="120"/>
      <c r="O538" s="120"/>
      <c r="P538" s="120"/>
      <c r="Q538" s="121"/>
      <c r="R538" s="122"/>
      <c r="S538" s="120"/>
      <c r="T538" s="120"/>
      <c r="U538" s="120"/>
      <c r="V538" s="121"/>
      <c r="W538" s="122"/>
      <c r="X538" s="120"/>
      <c r="Y538" s="120"/>
      <c r="Z538" s="120"/>
      <c r="AA538" s="121"/>
      <c r="AB538" s="133"/>
    </row>
    <row r="539" spans="1:28" ht="14.25" customHeight="1" x14ac:dyDescent="0.25">
      <c r="A539" s="141"/>
      <c r="B539" s="137"/>
      <c r="C539" s="112"/>
      <c r="D539" s="106"/>
      <c r="E539" s="106"/>
      <c r="F539" s="106"/>
      <c r="G539" s="109"/>
      <c r="H539" s="103"/>
      <c r="I539" s="97"/>
      <c r="J539" s="97"/>
      <c r="K539" s="97"/>
      <c r="L539" s="100"/>
      <c r="M539" s="103"/>
      <c r="N539" s="97"/>
      <c r="O539" s="97"/>
      <c r="P539" s="97"/>
      <c r="Q539" s="100"/>
      <c r="R539" s="103"/>
      <c r="S539" s="97"/>
      <c r="T539" s="97"/>
      <c r="U539" s="97"/>
      <c r="V539" s="100"/>
      <c r="W539" s="103"/>
      <c r="X539" s="97"/>
      <c r="Y539" s="97"/>
      <c r="Z539" s="97"/>
      <c r="AA539" s="100"/>
      <c r="AB539" s="134"/>
    </row>
    <row r="540" spans="1:28" ht="13.5" customHeight="1" thickBot="1" x14ac:dyDescent="0.3">
      <c r="A540" s="142"/>
      <c r="B540" s="138"/>
      <c r="C540" s="113"/>
      <c r="D540" s="107"/>
      <c r="E540" s="107"/>
      <c r="F540" s="107"/>
      <c r="G540" s="110"/>
      <c r="H540" s="104"/>
      <c r="I540" s="98"/>
      <c r="J540" s="98"/>
      <c r="K540" s="98"/>
      <c r="L540" s="101"/>
      <c r="M540" s="104"/>
      <c r="N540" s="98"/>
      <c r="O540" s="98"/>
      <c r="P540" s="98"/>
      <c r="Q540" s="101"/>
      <c r="R540" s="104"/>
      <c r="S540" s="98"/>
      <c r="T540" s="98"/>
      <c r="U540" s="98"/>
      <c r="V540" s="101"/>
      <c r="W540" s="104"/>
      <c r="X540" s="98"/>
      <c r="Y540" s="98"/>
      <c r="Z540" s="98"/>
      <c r="AA540" s="101"/>
      <c r="AB540" s="135"/>
    </row>
    <row r="542" spans="1:28" ht="15" x14ac:dyDescent="0.25">
      <c r="A542" s="28"/>
      <c r="B542" s="26" t="s">
        <v>35</v>
      </c>
      <c r="E542" s="21" t="s">
        <v>41</v>
      </c>
      <c r="I542" s="21" t="s">
        <v>42</v>
      </c>
      <c r="M542" s="21" t="s">
        <v>43</v>
      </c>
      <c r="Q542" s="21" t="s">
        <v>44</v>
      </c>
      <c r="U542" s="21" t="s">
        <v>45</v>
      </c>
      <c r="Y542" s="21" t="s">
        <v>46</v>
      </c>
    </row>
    <row r="549" spans="1:32" ht="24.6" x14ac:dyDescent="0.25">
      <c r="A549" s="144" t="str">
        <f>'INSCRIPCION '!A$1</f>
        <v>TIRADA</v>
      </c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</row>
    <row r="550" spans="1:32" ht="24.6" x14ac:dyDescent="0.4">
      <c r="A550" s="23"/>
      <c r="B550" s="23"/>
    </row>
    <row r="551" spans="1:32" ht="22.8" x14ac:dyDescent="0.25">
      <c r="A551" s="132" t="str">
        <f>'INSCRIPCION '!A$2</f>
        <v>CAMPO DE TIRO LA ISLA</v>
      </c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</row>
    <row r="552" spans="1:32" ht="20.399999999999999" x14ac:dyDescent="0.25">
      <c r="A552" s="143" t="str">
        <f>'INSCRIPCION '!A$3</f>
        <v>XXX PLATOS</v>
      </c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</row>
    <row r="553" spans="1:32" ht="22.8" x14ac:dyDescent="0.4">
      <c r="A553" s="24"/>
      <c r="B553" s="24"/>
    </row>
    <row r="554" spans="1:32" ht="17.399999999999999" x14ac:dyDescent="0.3">
      <c r="A554" s="25" t="s">
        <v>27</v>
      </c>
      <c r="B554" s="25"/>
      <c r="J554" s="9" t="s">
        <v>6</v>
      </c>
      <c r="K554" s="9"/>
      <c r="L554" s="9"/>
      <c r="M554" s="9"/>
      <c r="N554" s="9"/>
      <c r="O554" s="22">
        <v>2</v>
      </c>
      <c r="P554" s="22"/>
      <c r="Q554" s="8"/>
      <c r="R554" s="8"/>
      <c r="S554" s="7"/>
      <c r="T554" s="8"/>
      <c r="U554" s="8"/>
      <c r="V554" s="9" t="s">
        <v>7</v>
      </c>
      <c r="W554" s="9"/>
      <c r="X554" s="9"/>
      <c r="Y554" s="9"/>
      <c r="Z554" s="22">
        <v>1</v>
      </c>
      <c r="AA554" s="22"/>
    </row>
    <row r="555" spans="1:32" ht="13.8" thickBot="1" x14ac:dyDescent="0.3"/>
    <row r="556" spans="1:32" ht="15.6" thickBot="1" x14ac:dyDescent="0.3">
      <c r="A556" s="27" t="s">
        <v>0</v>
      </c>
      <c r="B556" s="27" t="s">
        <v>8</v>
      </c>
      <c r="C556" s="47">
        <v>1</v>
      </c>
      <c r="D556" s="48">
        <v>2</v>
      </c>
      <c r="E556" s="48">
        <v>3</v>
      </c>
      <c r="F556" s="48">
        <v>4</v>
      </c>
      <c r="G556" s="49">
        <v>5</v>
      </c>
      <c r="H556" s="47">
        <v>6</v>
      </c>
      <c r="I556" s="48">
        <v>7</v>
      </c>
      <c r="J556" s="48">
        <v>8</v>
      </c>
      <c r="K556" s="48">
        <v>9</v>
      </c>
      <c r="L556" s="49">
        <v>10</v>
      </c>
      <c r="M556" s="47">
        <v>11</v>
      </c>
      <c r="N556" s="48">
        <v>12</v>
      </c>
      <c r="O556" s="48">
        <v>13</v>
      </c>
      <c r="P556" s="48">
        <v>14</v>
      </c>
      <c r="Q556" s="49">
        <v>15</v>
      </c>
      <c r="R556" s="47">
        <v>16</v>
      </c>
      <c r="S556" s="48">
        <v>17</v>
      </c>
      <c r="T556" s="48">
        <v>18</v>
      </c>
      <c r="U556" s="48">
        <v>19</v>
      </c>
      <c r="V556" s="49">
        <v>20</v>
      </c>
      <c r="W556" s="47">
        <v>21</v>
      </c>
      <c r="X556" s="48">
        <v>22</v>
      </c>
      <c r="Y556" s="48">
        <v>23</v>
      </c>
      <c r="Z556" s="48">
        <v>24</v>
      </c>
      <c r="AA556" s="49">
        <v>25</v>
      </c>
      <c r="AB556" s="30" t="s">
        <v>1</v>
      </c>
    </row>
    <row r="557" spans="1:32" ht="14.25" customHeight="1" thickTop="1" thickBot="1" x14ac:dyDescent="0.3">
      <c r="A557" s="139">
        <f>ESCUADRAS!B109</f>
        <v>103</v>
      </c>
      <c r="B557" s="136">
        <f>ESCUADRAS!C109</f>
        <v>0</v>
      </c>
      <c r="C557" s="129"/>
      <c r="D557" s="114"/>
      <c r="E557" s="114"/>
      <c r="F557" s="114"/>
      <c r="G557" s="117"/>
      <c r="H557" s="111"/>
      <c r="I557" s="105"/>
      <c r="J557" s="105"/>
      <c r="K557" s="105"/>
      <c r="L557" s="108"/>
      <c r="M557" s="111"/>
      <c r="N557" s="105"/>
      <c r="O557" s="105"/>
      <c r="P557" s="105"/>
      <c r="Q557" s="108"/>
      <c r="R557" s="111"/>
      <c r="S557" s="105"/>
      <c r="T557" s="105"/>
      <c r="U557" s="105"/>
      <c r="V557" s="108"/>
      <c r="W557" s="111"/>
      <c r="X557" s="105"/>
      <c r="Y557" s="105"/>
      <c r="Z557" s="105"/>
      <c r="AA557" s="108"/>
      <c r="AB557" s="133"/>
    </row>
    <row r="558" spans="1:32" ht="14.25" customHeight="1" thickTop="1" thickBot="1" x14ac:dyDescent="0.3">
      <c r="A558" s="139"/>
      <c r="B558" s="137"/>
      <c r="C558" s="130"/>
      <c r="D558" s="115"/>
      <c r="E558" s="115"/>
      <c r="F558" s="115"/>
      <c r="G558" s="118"/>
      <c r="H558" s="112"/>
      <c r="I558" s="106"/>
      <c r="J558" s="106"/>
      <c r="K558" s="106"/>
      <c r="L558" s="109"/>
      <c r="M558" s="112"/>
      <c r="N558" s="106"/>
      <c r="O558" s="106"/>
      <c r="P558" s="106"/>
      <c r="Q558" s="109"/>
      <c r="R558" s="112"/>
      <c r="S558" s="106"/>
      <c r="T558" s="106"/>
      <c r="U558" s="106"/>
      <c r="V558" s="109"/>
      <c r="W558" s="112"/>
      <c r="X558" s="106"/>
      <c r="Y558" s="106"/>
      <c r="Z558" s="106"/>
      <c r="AA558" s="109"/>
      <c r="AB558" s="134"/>
    </row>
    <row r="559" spans="1:32" ht="13.5" customHeight="1" thickTop="1" thickBot="1" x14ac:dyDescent="0.3">
      <c r="A559" s="139"/>
      <c r="B559" s="138"/>
      <c r="C559" s="131"/>
      <c r="D559" s="116"/>
      <c r="E559" s="116"/>
      <c r="F559" s="116"/>
      <c r="G559" s="119"/>
      <c r="H559" s="113"/>
      <c r="I559" s="107"/>
      <c r="J559" s="107"/>
      <c r="K559" s="107"/>
      <c r="L559" s="110"/>
      <c r="M559" s="113"/>
      <c r="N559" s="107"/>
      <c r="O559" s="107"/>
      <c r="P559" s="107"/>
      <c r="Q559" s="110"/>
      <c r="R559" s="113"/>
      <c r="S559" s="107"/>
      <c r="T559" s="107"/>
      <c r="U559" s="107"/>
      <c r="V559" s="110"/>
      <c r="W559" s="113"/>
      <c r="X559" s="107"/>
      <c r="Y559" s="107"/>
      <c r="Z559" s="107"/>
      <c r="AA559" s="110"/>
      <c r="AB559" s="135"/>
    </row>
    <row r="560" spans="1:32" ht="14.25" customHeight="1" thickTop="1" x14ac:dyDescent="0.25">
      <c r="A560" s="140">
        <f>ESCUADRAS!B110</f>
        <v>104</v>
      </c>
      <c r="B560" s="136">
        <f>ESCUADRAS!C110</f>
        <v>0</v>
      </c>
      <c r="C560" s="93"/>
      <c r="D560" s="123"/>
      <c r="E560" s="123"/>
      <c r="F560" s="123"/>
      <c r="G560" s="126"/>
      <c r="H560" s="102"/>
      <c r="I560" s="96"/>
      <c r="J560" s="96"/>
      <c r="K560" s="96"/>
      <c r="L560" s="99"/>
      <c r="M560" s="102"/>
      <c r="N560" s="96"/>
      <c r="O560" s="96"/>
      <c r="P560" s="96"/>
      <c r="Q560" s="99"/>
      <c r="R560" s="102"/>
      <c r="S560" s="96"/>
      <c r="T560" s="96"/>
      <c r="U560" s="96"/>
      <c r="V560" s="99"/>
      <c r="W560" s="111"/>
      <c r="X560" s="105"/>
      <c r="Y560" s="105"/>
      <c r="Z560" s="105"/>
      <c r="AA560" s="108"/>
      <c r="AB560" s="133"/>
    </row>
    <row r="561" spans="1:28" ht="14.25" customHeight="1" x14ac:dyDescent="0.25">
      <c r="A561" s="141"/>
      <c r="B561" s="137"/>
      <c r="C561" s="94"/>
      <c r="D561" s="124"/>
      <c r="E561" s="124"/>
      <c r="F561" s="124"/>
      <c r="G561" s="127"/>
      <c r="H561" s="103"/>
      <c r="I561" s="97"/>
      <c r="J561" s="97"/>
      <c r="K561" s="97"/>
      <c r="L561" s="100"/>
      <c r="M561" s="103"/>
      <c r="N561" s="97"/>
      <c r="O561" s="97"/>
      <c r="P561" s="97"/>
      <c r="Q561" s="100"/>
      <c r="R561" s="103"/>
      <c r="S561" s="97"/>
      <c r="T561" s="97"/>
      <c r="U561" s="97"/>
      <c r="V561" s="100"/>
      <c r="W561" s="112"/>
      <c r="X561" s="106"/>
      <c r="Y561" s="106"/>
      <c r="Z561" s="106"/>
      <c r="AA561" s="109"/>
      <c r="AB561" s="134"/>
    </row>
    <row r="562" spans="1:28" ht="13.5" customHeight="1" thickBot="1" x14ac:dyDescent="0.3">
      <c r="A562" s="142"/>
      <c r="B562" s="138"/>
      <c r="C562" s="95"/>
      <c r="D562" s="125"/>
      <c r="E562" s="125"/>
      <c r="F562" s="125"/>
      <c r="G562" s="128"/>
      <c r="H562" s="104"/>
      <c r="I562" s="98"/>
      <c r="J562" s="98"/>
      <c r="K562" s="98"/>
      <c r="L562" s="101"/>
      <c r="M562" s="104"/>
      <c r="N562" s="98"/>
      <c r="O562" s="98"/>
      <c r="P562" s="98"/>
      <c r="Q562" s="101"/>
      <c r="R562" s="104"/>
      <c r="S562" s="98"/>
      <c r="T562" s="98"/>
      <c r="U562" s="98"/>
      <c r="V562" s="101"/>
      <c r="W562" s="113"/>
      <c r="X562" s="107"/>
      <c r="Y562" s="107"/>
      <c r="Z562" s="107"/>
      <c r="AA562" s="110"/>
      <c r="AB562" s="135"/>
    </row>
    <row r="563" spans="1:28" ht="14.25" customHeight="1" thickTop="1" thickBot="1" x14ac:dyDescent="0.3">
      <c r="A563" s="139">
        <f>ESCUADRAS!B111</f>
        <v>105</v>
      </c>
      <c r="B563" s="136">
        <f>ESCUADRAS!C111</f>
        <v>0</v>
      </c>
      <c r="C563" s="93"/>
      <c r="D563" s="123"/>
      <c r="E563" s="123"/>
      <c r="F563" s="123"/>
      <c r="G563" s="126"/>
      <c r="H563" s="102"/>
      <c r="I563" s="96"/>
      <c r="J563" s="96"/>
      <c r="K563" s="96"/>
      <c r="L563" s="99"/>
      <c r="M563" s="102"/>
      <c r="N563" s="96"/>
      <c r="O563" s="96"/>
      <c r="P563" s="96"/>
      <c r="Q563" s="99"/>
      <c r="R563" s="111"/>
      <c r="S563" s="105"/>
      <c r="T563" s="105"/>
      <c r="U563" s="105"/>
      <c r="V563" s="108"/>
      <c r="W563" s="102"/>
      <c r="X563" s="96"/>
      <c r="Y563" s="96"/>
      <c r="Z563" s="96"/>
      <c r="AA563" s="99"/>
      <c r="AB563" s="133"/>
    </row>
    <row r="564" spans="1:28" ht="14.25" customHeight="1" thickTop="1" thickBot="1" x14ac:dyDescent="0.3">
      <c r="A564" s="139"/>
      <c r="B564" s="137"/>
      <c r="C564" s="94"/>
      <c r="D564" s="124"/>
      <c r="E564" s="124"/>
      <c r="F564" s="124"/>
      <c r="G564" s="127"/>
      <c r="H564" s="103"/>
      <c r="I564" s="97"/>
      <c r="J564" s="97"/>
      <c r="K564" s="97"/>
      <c r="L564" s="100"/>
      <c r="M564" s="103"/>
      <c r="N564" s="97"/>
      <c r="O564" s="97"/>
      <c r="P564" s="97"/>
      <c r="Q564" s="100"/>
      <c r="R564" s="112"/>
      <c r="S564" s="106"/>
      <c r="T564" s="106"/>
      <c r="U564" s="106"/>
      <c r="V564" s="109"/>
      <c r="W564" s="103"/>
      <c r="X564" s="97"/>
      <c r="Y564" s="97"/>
      <c r="Z564" s="97"/>
      <c r="AA564" s="100"/>
      <c r="AB564" s="134"/>
    </row>
    <row r="565" spans="1:28" ht="13.5" customHeight="1" thickTop="1" thickBot="1" x14ac:dyDescent="0.3">
      <c r="A565" s="139"/>
      <c r="B565" s="138"/>
      <c r="C565" s="95"/>
      <c r="D565" s="125"/>
      <c r="E565" s="125"/>
      <c r="F565" s="125"/>
      <c r="G565" s="128"/>
      <c r="H565" s="104"/>
      <c r="I565" s="98"/>
      <c r="J565" s="98"/>
      <c r="K565" s="98"/>
      <c r="L565" s="101"/>
      <c r="M565" s="104"/>
      <c r="N565" s="98"/>
      <c r="O565" s="98"/>
      <c r="P565" s="98"/>
      <c r="Q565" s="101"/>
      <c r="R565" s="113"/>
      <c r="S565" s="107"/>
      <c r="T565" s="107"/>
      <c r="U565" s="107"/>
      <c r="V565" s="110"/>
      <c r="W565" s="104"/>
      <c r="X565" s="98"/>
      <c r="Y565" s="98"/>
      <c r="Z565" s="98"/>
      <c r="AA565" s="101"/>
      <c r="AB565" s="135"/>
    </row>
    <row r="566" spans="1:28" ht="13.5" customHeight="1" thickTop="1" x14ac:dyDescent="0.25">
      <c r="A566" s="140">
        <f>ESCUADRAS!B112</f>
        <v>106</v>
      </c>
      <c r="B566" s="136">
        <f>ESCUADRAS!C112</f>
        <v>0</v>
      </c>
      <c r="C566" s="93"/>
      <c r="D566" s="123"/>
      <c r="E566" s="123"/>
      <c r="F566" s="123"/>
      <c r="G566" s="126"/>
      <c r="H566" s="102"/>
      <c r="I566" s="96"/>
      <c r="J566" s="96"/>
      <c r="K566" s="96"/>
      <c r="L566" s="99"/>
      <c r="M566" s="111"/>
      <c r="N566" s="105"/>
      <c r="O566" s="105"/>
      <c r="P566" s="105"/>
      <c r="Q566" s="108"/>
      <c r="R566" s="102"/>
      <c r="S566" s="96"/>
      <c r="T566" s="96"/>
      <c r="U566" s="96"/>
      <c r="V566" s="99"/>
      <c r="W566" s="102"/>
      <c r="X566" s="96"/>
      <c r="Y566" s="96"/>
      <c r="Z566" s="96"/>
      <c r="AA566" s="99"/>
      <c r="AB566" s="133"/>
    </row>
    <row r="567" spans="1:28" ht="14.25" customHeight="1" x14ac:dyDescent="0.25">
      <c r="A567" s="141"/>
      <c r="B567" s="137"/>
      <c r="C567" s="94"/>
      <c r="D567" s="124"/>
      <c r="E567" s="124"/>
      <c r="F567" s="124"/>
      <c r="G567" s="127"/>
      <c r="H567" s="103"/>
      <c r="I567" s="97"/>
      <c r="J567" s="97"/>
      <c r="K567" s="97"/>
      <c r="L567" s="100"/>
      <c r="M567" s="112"/>
      <c r="N567" s="106"/>
      <c r="O567" s="106"/>
      <c r="P567" s="106"/>
      <c r="Q567" s="109"/>
      <c r="R567" s="103"/>
      <c r="S567" s="97"/>
      <c r="T567" s="97"/>
      <c r="U567" s="97"/>
      <c r="V567" s="100"/>
      <c r="W567" s="103"/>
      <c r="X567" s="97"/>
      <c r="Y567" s="97"/>
      <c r="Z567" s="97"/>
      <c r="AA567" s="100"/>
      <c r="AB567" s="134"/>
    </row>
    <row r="568" spans="1:28" ht="13.5" customHeight="1" thickBot="1" x14ac:dyDescent="0.3">
      <c r="A568" s="142"/>
      <c r="B568" s="138"/>
      <c r="C568" s="95"/>
      <c r="D568" s="125"/>
      <c r="E568" s="125"/>
      <c r="F568" s="125"/>
      <c r="G568" s="128"/>
      <c r="H568" s="104"/>
      <c r="I568" s="98"/>
      <c r="J568" s="98"/>
      <c r="K568" s="98"/>
      <c r="L568" s="101"/>
      <c r="M568" s="113"/>
      <c r="N568" s="107"/>
      <c r="O568" s="107"/>
      <c r="P568" s="107"/>
      <c r="Q568" s="110"/>
      <c r="R568" s="104"/>
      <c r="S568" s="98"/>
      <c r="T568" s="98"/>
      <c r="U568" s="98"/>
      <c r="V568" s="101"/>
      <c r="W568" s="104"/>
      <c r="X568" s="98"/>
      <c r="Y568" s="98"/>
      <c r="Z568" s="98"/>
      <c r="AA568" s="101"/>
      <c r="AB568" s="135"/>
    </row>
    <row r="569" spans="1:28" ht="14.25" customHeight="1" thickTop="1" thickBot="1" x14ac:dyDescent="0.3">
      <c r="A569" s="139">
        <f>ESCUADRAS!B113</f>
        <v>107</v>
      </c>
      <c r="B569" s="136">
        <f>ESCUADRAS!C113</f>
        <v>0</v>
      </c>
      <c r="C569" s="93"/>
      <c r="D569" s="123"/>
      <c r="E569" s="123"/>
      <c r="F569" s="123"/>
      <c r="G569" s="126"/>
      <c r="H569" s="111"/>
      <c r="I569" s="105"/>
      <c r="J569" s="105"/>
      <c r="K569" s="105"/>
      <c r="L569" s="108"/>
      <c r="M569" s="102"/>
      <c r="N569" s="96"/>
      <c r="O569" s="96"/>
      <c r="P569" s="96"/>
      <c r="Q569" s="99"/>
      <c r="R569" s="102"/>
      <c r="S569" s="96"/>
      <c r="T569" s="96"/>
      <c r="U569" s="96"/>
      <c r="V569" s="99"/>
      <c r="W569" s="102"/>
      <c r="X569" s="96"/>
      <c r="Y569" s="96"/>
      <c r="Z569" s="96"/>
      <c r="AA569" s="99"/>
      <c r="AB569" s="133"/>
    </row>
    <row r="570" spans="1:28" ht="14.25" customHeight="1" thickTop="1" thickBot="1" x14ac:dyDescent="0.3">
      <c r="A570" s="139"/>
      <c r="B570" s="137"/>
      <c r="C570" s="94"/>
      <c r="D570" s="124"/>
      <c r="E570" s="124"/>
      <c r="F570" s="124"/>
      <c r="G570" s="127"/>
      <c r="H570" s="112"/>
      <c r="I570" s="106"/>
      <c r="J570" s="106"/>
      <c r="K570" s="106"/>
      <c r="L570" s="109"/>
      <c r="M570" s="103"/>
      <c r="N570" s="97"/>
      <c r="O570" s="97"/>
      <c r="P570" s="97"/>
      <c r="Q570" s="100"/>
      <c r="R570" s="103"/>
      <c r="S570" s="97"/>
      <c r="T570" s="97"/>
      <c r="U570" s="97"/>
      <c r="V570" s="100"/>
      <c r="W570" s="103"/>
      <c r="X570" s="97"/>
      <c r="Y570" s="97"/>
      <c r="Z570" s="97"/>
      <c r="AA570" s="100"/>
      <c r="AB570" s="134"/>
    </row>
    <row r="571" spans="1:28" ht="13.5" customHeight="1" thickTop="1" thickBot="1" x14ac:dyDescent="0.3">
      <c r="A571" s="139"/>
      <c r="B571" s="138"/>
      <c r="C571" s="95"/>
      <c r="D571" s="125"/>
      <c r="E571" s="125"/>
      <c r="F571" s="125"/>
      <c r="G571" s="128"/>
      <c r="H571" s="113"/>
      <c r="I571" s="107"/>
      <c r="J571" s="107"/>
      <c r="K571" s="107"/>
      <c r="L571" s="110"/>
      <c r="M571" s="104"/>
      <c r="N571" s="98"/>
      <c r="O571" s="98"/>
      <c r="P571" s="98"/>
      <c r="Q571" s="101"/>
      <c r="R571" s="104"/>
      <c r="S571" s="98"/>
      <c r="T571" s="98"/>
      <c r="U571" s="98"/>
      <c r="V571" s="101"/>
      <c r="W571" s="104"/>
      <c r="X571" s="98"/>
      <c r="Y571" s="98"/>
      <c r="Z571" s="98"/>
      <c r="AA571" s="101"/>
      <c r="AB571" s="135"/>
    </row>
    <row r="572" spans="1:28" ht="13.5" customHeight="1" thickTop="1" x14ac:dyDescent="0.25">
      <c r="A572" s="140">
        <f>ESCUADRAS!B114</f>
        <v>108</v>
      </c>
      <c r="B572" s="136">
        <f>ESCUADRAS!C114</f>
        <v>0</v>
      </c>
      <c r="C572" s="111"/>
      <c r="D572" s="105"/>
      <c r="E572" s="105"/>
      <c r="F572" s="105"/>
      <c r="G572" s="108"/>
      <c r="H572" s="122"/>
      <c r="I572" s="120"/>
      <c r="J572" s="120"/>
      <c r="K572" s="120"/>
      <c r="L572" s="121"/>
      <c r="M572" s="122"/>
      <c r="N572" s="120"/>
      <c r="O572" s="120"/>
      <c r="P572" s="120"/>
      <c r="Q572" s="121"/>
      <c r="R572" s="122"/>
      <c r="S572" s="120"/>
      <c r="T572" s="120"/>
      <c r="U572" s="120"/>
      <c r="V572" s="121"/>
      <c r="W572" s="122"/>
      <c r="X572" s="120"/>
      <c r="Y572" s="120"/>
      <c r="Z572" s="120"/>
      <c r="AA572" s="121"/>
      <c r="AB572" s="133"/>
    </row>
    <row r="573" spans="1:28" ht="14.25" customHeight="1" x14ac:dyDescent="0.25">
      <c r="A573" s="141"/>
      <c r="B573" s="137"/>
      <c r="C573" s="112"/>
      <c r="D573" s="106"/>
      <c r="E573" s="106"/>
      <c r="F573" s="106"/>
      <c r="G573" s="109"/>
      <c r="H573" s="103"/>
      <c r="I573" s="97"/>
      <c r="J573" s="97"/>
      <c r="K573" s="97"/>
      <c r="L573" s="100"/>
      <c r="M573" s="103"/>
      <c r="N573" s="97"/>
      <c r="O573" s="97"/>
      <c r="P573" s="97"/>
      <c r="Q573" s="100"/>
      <c r="R573" s="103"/>
      <c r="S573" s="97"/>
      <c r="T573" s="97"/>
      <c r="U573" s="97"/>
      <c r="V573" s="100"/>
      <c r="W573" s="103"/>
      <c r="X573" s="97"/>
      <c r="Y573" s="97"/>
      <c r="Z573" s="97"/>
      <c r="AA573" s="100"/>
      <c r="AB573" s="134"/>
    </row>
    <row r="574" spans="1:28" ht="13.5" customHeight="1" thickBot="1" x14ac:dyDescent="0.3">
      <c r="A574" s="142"/>
      <c r="B574" s="138"/>
      <c r="C574" s="113"/>
      <c r="D574" s="107"/>
      <c r="E574" s="107"/>
      <c r="F574" s="107"/>
      <c r="G574" s="110"/>
      <c r="H574" s="104"/>
      <c r="I574" s="98"/>
      <c r="J574" s="98"/>
      <c r="K574" s="98"/>
      <c r="L574" s="101"/>
      <c r="M574" s="104"/>
      <c r="N574" s="98"/>
      <c r="O574" s="98"/>
      <c r="P574" s="98"/>
      <c r="Q574" s="101"/>
      <c r="R574" s="104"/>
      <c r="S574" s="98"/>
      <c r="T574" s="98"/>
      <c r="U574" s="98"/>
      <c r="V574" s="101"/>
      <c r="W574" s="104"/>
      <c r="X574" s="98"/>
      <c r="Y574" s="98"/>
      <c r="Z574" s="98"/>
      <c r="AA574" s="101"/>
      <c r="AB574" s="135"/>
    </row>
    <row r="576" spans="1:28" ht="15" x14ac:dyDescent="0.25">
      <c r="A576" s="28"/>
      <c r="B576" s="26" t="s">
        <v>35</v>
      </c>
      <c r="E576" s="21" t="s">
        <v>41</v>
      </c>
      <c r="I576" s="21" t="s">
        <v>42</v>
      </c>
      <c r="M576" s="21" t="s">
        <v>43</v>
      </c>
      <c r="Q576" s="21" t="s">
        <v>44</v>
      </c>
      <c r="U576" s="21" t="s">
        <v>45</v>
      </c>
      <c r="Y576" s="21" t="s">
        <v>46</v>
      </c>
    </row>
    <row r="583" spans="1:32" ht="24.6" x14ac:dyDescent="0.25">
      <c r="A583" s="144" t="str">
        <f>'INSCRIPCION '!A$1</f>
        <v>TIRADA</v>
      </c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</row>
    <row r="584" spans="1:32" ht="24.6" x14ac:dyDescent="0.4">
      <c r="A584" s="23"/>
      <c r="B584" s="23"/>
    </row>
    <row r="585" spans="1:32" ht="22.8" x14ac:dyDescent="0.25">
      <c r="A585" s="132" t="str">
        <f>'INSCRIPCION '!A$2</f>
        <v>CAMPO DE TIRO LA ISLA</v>
      </c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</row>
    <row r="586" spans="1:32" ht="20.399999999999999" x14ac:dyDescent="0.25">
      <c r="A586" s="143" t="str">
        <f>'INSCRIPCION '!A$3</f>
        <v>XXX PLATOS</v>
      </c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</row>
    <row r="587" spans="1:32" ht="22.8" x14ac:dyDescent="0.4">
      <c r="A587" s="24"/>
      <c r="B587" s="24"/>
    </row>
    <row r="588" spans="1:32" ht="17.399999999999999" x14ac:dyDescent="0.3">
      <c r="A588" s="25" t="s">
        <v>28</v>
      </c>
      <c r="B588" s="25"/>
      <c r="J588" s="9" t="s">
        <v>6</v>
      </c>
      <c r="K588" s="9"/>
      <c r="L588" s="9"/>
      <c r="M588" s="9"/>
      <c r="N588" s="9"/>
      <c r="O588" s="22">
        <v>3</v>
      </c>
      <c r="P588" s="22"/>
      <c r="Q588" s="8"/>
      <c r="R588" s="8"/>
      <c r="S588" s="7"/>
      <c r="T588" s="8"/>
      <c r="U588" s="8"/>
      <c r="V588" s="9" t="s">
        <v>7</v>
      </c>
      <c r="W588" s="9"/>
      <c r="X588" s="9"/>
      <c r="Y588" s="9"/>
      <c r="Z588" s="22">
        <v>1</v>
      </c>
      <c r="AA588" s="22"/>
    </row>
    <row r="589" spans="1:32" ht="13.8" thickBot="1" x14ac:dyDescent="0.3"/>
    <row r="590" spans="1:32" ht="15.6" thickBot="1" x14ac:dyDescent="0.3">
      <c r="A590" s="27" t="s">
        <v>0</v>
      </c>
      <c r="B590" s="27" t="s">
        <v>8</v>
      </c>
      <c r="C590" s="47">
        <v>1</v>
      </c>
      <c r="D590" s="48">
        <v>2</v>
      </c>
      <c r="E590" s="48">
        <v>3</v>
      </c>
      <c r="F590" s="48">
        <v>4</v>
      </c>
      <c r="G590" s="49">
        <v>5</v>
      </c>
      <c r="H590" s="47">
        <v>6</v>
      </c>
      <c r="I590" s="48">
        <v>7</v>
      </c>
      <c r="J590" s="48">
        <v>8</v>
      </c>
      <c r="K590" s="48">
        <v>9</v>
      </c>
      <c r="L590" s="49">
        <v>10</v>
      </c>
      <c r="M590" s="47">
        <v>11</v>
      </c>
      <c r="N590" s="48">
        <v>12</v>
      </c>
      <c r="O590" s="48">
        <v>13</v>
      </c>
      <c r="P590" s="48">
        <v>14</v>
      </c>
      <c r="Q590" s="49">
        <v>15</v>
      </c>
      <c r="R590" s="47">
        <v>16</v>
      </c>
      <c r="S590" s="48">
        <v>17</v>
      </c>
      <c r="T590" s="48">
        <v>18</v>
      </c>
      <c r="U590" s="48">
        <v>19</v>
      </c>
      <c r="V590" s="49">
        <v>20</v>
      </c>
      <c r="W590" s="47">
        <v>21</v>
      </c>
      <c r="X590" s="48">
        <v>22</v>
      </c>
      <c r="Y590" s="48">
        <v>23</v>
      </c>
      <c r="Z590" s="48">
        <v>24</v>
      </c>
      <c r="AA590" s="49">
        <v>25</v>
      </c>
      <c r="AB590" s="30" t="s">
        <v>1</v>
      </c>
    </row>
    <row r="591" spans="1:32" ht="14.25" customHeight="1" thickTop="1" thickBot="1" x14ac:dyDescent="0.3">
      <c r="A591" s="139">
        <f>ESCUADRAS!B115</f>
        <v>109</v>
      </c>
      <c r="B591" s="136">
        <f>ESCUADRAS!C115</f>
        <v>0</v>
      </c>
      <c r="C591" s="129"/>
      <c r="D591" s="114"/>
      <c r="E591" s="114"/>
      <c r="F591" s="114"/>
      <c r="G591" s="117"/>
      <c r="H591" s="111"/>
      <c r="I591" s="105"/>
      <c r="J591" s="105"/>
      <c r="K591" s="105"/>
      <c r="L591" s="108"/>
      <c r="M591" s="111"/>
      <c r="N591" s="105"/>
      <c r="O591" s="105"/>
      <c r="P591" s="105"/>
      <c r="Q591" s="108"/>
      <c r="R591" s="111"/>
      <c r="S591" s="105"/>
      <c r="T591" s="105"/>
      <c r="U591" s="105"/>
      <c r="V591" s="108"/>
      <c r="W591" s="111"/>
      <c r="X591" s="105"/>
      <c r="Y591" s="105"/>
      <c r="Z591" s="105"/>
      <c r="AA591" s="108"/>
      <c r="AB591" s="133"/>
    </row>
    <row r="592" spans="1:32" ht="14.25" customHeight="1" thickTop="1" thickBot="1" x14ac:dyDescent="0.3">
      <c r="A592" s="139"/>
      <c r="B592" s="137"/>
      <c r="C592" s="130"/>
      <c r="D592" s="115"/>
      <c r="E592" s="115"/>
      <c r="F592" s="115"/>
      <c r="G592" s="118"/>
      <c r="H592" s="112"/>
      <c r="I592" s="106"/>
      <c r="J592" s="106"/>
      <c r="K592" s="106"/>
      <c r="L592" s="109"/>
      <c r="M592" s="112"/>
      <c r="N592" s="106"/>
      <c r="O592" s="106"/>
      <c r="P592" s="106"/>
      <c r="Q592" s="109"/>
      <c r="R592" s="112"/>
      <c r="S592" s="106"/>
      <c r="T592" s="106"/>
      <c r="U592" s="106"/>
      <c r="V592" s="109"/>
      <c r="W592" s="112"/>
      <c r="X592" s="106"/>
      <c r="Y592" s="106"/>
      <c r="Z592" s="106"/>
      <c r="AA592" s="109"/>
      <c r="AB592" s="134"/>
    </row>
    <row r="593" spans="1:28" ht="13.5" customHeight="1" thickTop="1" thickBot="1" x14ac:dyDescent="0.3">
      <c r="A593" s="139"/>
      <c r="B593" s="138"/>
      <c r="C593" s="131"/>
      <c r="D593" s="116"/>
      <c r="E593" s="116"/>
      <c r="F593" s="116"/>
      <c r="G593" s="119"/>
      <c r="H593" s="113"/>
      <c r="I593" s="107"/>
      <c r="J593" s="107"/>
      <c r="K593" s="107"/>
      <c r="L593" s="110"/>
      <c r="M593" s="113"/>
      <c r="N593" s="107"/>
      <c r="O593" s="107"/>
      <c r="P593" s="107"/>
      <c r="Q593" s="110"/>
      <c r="R593" s="113"/>
      <c r="S593" s="107"/>
      <c r="T593" s="107"/>
      <c r="U593" s="107"/>
      <c r="V593" s="110"/>
      <c r="W593" s="113"/>
      <c r="X593" s="107"/>
      <c r="Y593" s="107"/>
      <c r="Z593" s="107"/>
      <c r="AA593" s="110"/>
      <c r="AB593" s="135"/>
    </row>
    <row r="594" spans="1:28" ht="14.25" customHeight="1" thickTop="1" x14ac:dyDescent="0.25">
      <c r="A594" s="140">
        <f>ESCUADRAS!B116</f>
        <v>110</v>
      </c>
      <c r="B594" s="136">
        <f>ESCUADRAS!C116</f>
        <v>0</v>
      </c>
      <c r="C594" s="93"/>
      <c r="D594" s="123"/>
      <c r="E594" s="123"/>
      <c r="F594" s="123"/>
      <c r="G594" s="126"/>
      <c r="H594" s="102"/>
      <c r="I594" s="96"/>
      <c r="J594" s="96"/>
      <c r="K594" s="96"/>
      <c r="L594" s="99"/>
      <c r="M594" s="102"/>
      <c r="N594" s="96"/>
      <c r="O594" s="96"/>
      <c r="P594" s="96"/>
      <c r="Q594" s="99"/>
      <c r="R594" s="102"/>
      <c r="S594" s="96"/>
      <c r="T594" s="96"/>
      <c r="U594" s="96"/>
      <c r="V594" s="99"/>
      <c r="W594" s="111"/>
      <c r="X594" s="105"/>
      <c r="Y594" s="105"/>
      <c r="Z594" s="105"/>
      <c r="AA594" s="108"/>
      <c r="AB594" s="133"/>
    </row>
    <row r="595" spans="1:28" ht="14.25" customHeight="1" x14ac:dyDescent="0.25">
      <c r="A595" s="141"/>
      <c r="B595" s="137"/>
      <c r="C595" s="94"/>
      <c r="D595" s="124"/>
      <c r="E595" s="124"/>
      <c r="F595" s="124"/>
      <c r="G595" s="127"/>
      <c r="H595" s="103"/>
      <c r="I595" s="97"/>
      <c r="J595" s="97"/>
      <c r="K595" s="97"/>
      <c r="L595" s="100"/>
      <c r="M595" s="103"/>
      <c r="N595" s="97"/>
      <c r="O595" s="97"/>
      <c r="P595" s="97"/>
      <c r="Q595" s="100"/>
      <c r="R595" s="103"/>
      <c r="S595" s="97"/>
      <c r="T595" s="97"/>
      <c r="U595" s="97"/>
      <c r="V595" s="100"/>
      <c r="W595" s="112"/>
      <c r="X595" s="106"/>
      <c r="Y595" s="106"/>
      <c r="Z595" s="106"/>
      <c r="AA595" s="109"/>
      <c r="AB595" s="134"/>
    </row>
    <row r="596" spans="1:28" ht="13.5" customHeight="1" thickBot="1" x14ac:dyDescent="0.3">
      <c r="A596" s="142"/>
      <c r="B596" s="138"/>
      <c r="C596" s="95"/>
      <c r="D596" s="125"/>
      <c r="E596" s="125"/>
      <c r="F596" s="125"/>
      <c r="G596" s="128"/>
      <c r="H596" s="104"/>
      <c r="I596" s="98"/>
      <c r="J596" s="98"/>
      <c r="K596" s="98"/>
      <c r="L596" s="101"/>
      <c r="M596" s="104"/>
      <c r="N596" s="98"/>
      <c r="O596" s="98"/>
      <c r="P596" s="98"/>
      <c r="Q596" s="101"/>
      <c r="R596" s="104"/>
      <c r="S596" s="98"/>
      <c r="T596" s="98"/>
      <c r="U596" s="98"/>
      <c r="V596" s="101"/>
      <c r="W596" s="113"/>
      <c r="X596" s="107"/>
      <c r="Y596" s="107"/>
      <c r="Z596" s="107"/>
      <c r="AA596" s="110"/>
      <c r="AB596" s="135"/>
    </row>
    <row r="597" spans="1:28" ht="14.25" customHeight="1" thickTop="1" thickBot="1" x14ac:dyDescent="0.3">
      <c r="A597" s="139">
        <f>ESCUADRAS!B117</f>
        <v>111</v>
      </c>
      <c r="B597" s="136">
        <f>ESCUADRAS!C117</f>
        <v>0</v>
      </c>
      <c r="C597" s="93"/>
      <c r="D597" s="123"/>
      <c r="E597" s="123"/>
      <c r="F597" s="123"/>
      <c r="G597" s="126"/>
      <c r="H597" s="102"/>
      <c r="I597" s="96"/>
      <c r="J597" s="96"/>
      <c r="K597" s="96"/>
      <c r="L597" s="99"/>
      <c r="M597" s="102"/>
      <c r="N597" s="96"/>
      <c r="O597" s="96"/>
      <c r="P597" s="96"/>
      <c r="Q597" s="99"/>
      <c r="R597" s="111"/>
      <c r="S597" s="105"/>
      <c r="T597" s="105"/>
      <c r="U597" s="105"/>
      <c r="V597" s="108"/>
      <c r="W597" s="102"/>
      <c r="X597" s="96"/>
      <c r="Y597" s="96"/>
      <c r="Z597" s="96"/>
      <c r="AA597" s="99"/>
      <c r="AB597" s="133"/>
    </row>
    <row r="598" spans="1:28" ht="14.25" customHeight="1" thickTop="1" thickBot="1" x14ac:dyDescent="0.3">
      <c r="A598" s="139"/>
      <c r="B598" s="137"/>
      <c r="C598" s="94"/>
      <c r="D598" s="124"/>
      <c r="E598" s="124"/>
      <c r="F598" s="124"/>
      <c r="G598" s="127"/>
      <c r="H598" s="103"/>
      <c r="I598" s="97"/>
      <c r="J598" s="97"/>
      <c r="K598" s="97"/>
      <c r="L598" s="100"/>
      <c r="M598" s="103"/>
      <c r="N598" s="97"/>
      <c r="O598" s="97"/>
      <c r="P598" s="97"/>
      <c r="Q598" s="100"/>
      <c r="R598" s="112"/>
      <c r="S598" s="106"/>
      <c r="T598" s="106"/>
      <c r="U598" s="106"/>
      <c r="V598" s="109"/>
      <c r="W598" s="103"/>
      <c r="X598" s="97"/>
      <c r="Y598" s="97"/>
      <c r="Z598" s="97"/>
      <c r="AA598" s="100"/>
      <c r="AB598" s="134"/>
    </row>
    <row r="599" spans="1:28" ht="13.5" customHeight="1" thickTop="1" thickBot="1" x14ac:dyDescent="0.3">
      <c r="A599" s="139"/>
      <c r="B599" s="138"/>
      <c r="C599" s="95"/>
      <c r="D599" s="125"/>
      <c r="E599" s="125"/>
      <c r="F599" s="125"/>
      <c r="G599" s="128"/>
      <c r="H599" s="104"/>
      <c r="I599" s="98"/>
      <c r="J599" s="98"/>
      <c r="K599" s="98"/>
      <c r="L599" s="101"/>
      <c r="M599" s="104"/>
      <c r="N599" s="98"/>
      <c r="O599" s="98"/>
      <c r="P599" s="98"/>
      <c r="Q599" s="101"/>
      <c r="R599" s="113"/>
      <c r="S599" s="107"/>
      <c r="T599" s="107"/>
      <c r="U599" s="107"/>
      <c r="V599" s="110"/>
      <c r="W599" s="104"/>
      <c r="X599" s="98"/>
      <c r="Y599" s="98"/>
      <c r="Z599" s="98"/>
      <c r="AA599" s="101"/>
      <c r="AB599" s="135"/>
    </row>
    <row r="600" spans="1:28" ht="13.5" customHeight="1" thickTop="1" x14ac:dyDescent="0.25">
      <c r="A600" s="140">
        <f>ESCUADRAS!B118</f>
        <v>112</v>
      </c>
      <c r="B600" s="136">
        <f>ESCUADRAS!C118</f>
        <v>0</v>
      </c>
      <c r="C600" s="93"/>
      <c r="D600" s="123"/>
      <c r="E600" s="123"/>
      <c r="F600" s="123"/>
      <c r="G600" s="126"/>
      <c r="H600" s="102"/>
      <c r="I600" s="96"/>
      <c r="J600" s="96"/>
      <c r="K600" s="96"/>
      <c r="L600" s="99"/>
      <c r="M600" s="111"/>
      <c r="N600" s="105"/>
      <c r="O600" s="105"/>
      <c r="P600" s="105"/>
      <c r="Q600" s="108"/>
      <c r="R600" s="102"/>
      <c r="S600" s="96"/>
      <c r="T600" s="96"/>
      <c r="U600" s="96"/>
      <c r="V600" s="99"/>
      <c r="W600" s="102"/>
      <c r="X600" s="96"/>
      <c r="Y600" s="96"/>
      <c r="Z600" s="96"/>
      <c r="AA600" s="99"/>
      <c r="AB600" s="133"/>
    </row>
    <row r="601" spans="1:28" ht="14.25" customHeight="1" x14ac:dyDescent="0.25">
      <c r="A601" s="141"/>
      <c r="B601" s="137"/>
      <c r="C601" s="94"/>
      <c r="D601" s="124"/>
      <c r="E601" s="124"/>
      <c r="F601" s="124"/>
      <c r="G601" s="127"/>
      <c r="H601" s="103"/>
      <c r="I601" s="97"/>
      <c r="J601" s="97"/>
      <c r="K601" s="97"/>
      <c r="L601" s="100"/>
      <c r="M601" s="112"/>
      <c r="N601" s="106"/>
      <c r="O601" s="106"/>
      <c r="P601" s="106"/>
      <c r="Q601" s="109"/>
      <c r="R601" s="103"/>
      <c r="S601" s="97"/>
      <c r="T601" s="97"/>
      <c r="U601" s="97"/>
      <c r="V601" s="100"/>
      <c r="W601" s="103"/>
      <c r="X601" s="97"/>
      <c r="Y601" s="97"/>
      <c r="Z601" s="97"/>
      <c r="AA601" s="100"/>
      <c r="AB601" s="134"/>
    </row>
    <row r="602" spans="1:28" ht="13.5" customHeight="1" thickBot="1" x14ac:dyDescent="0.3">
      <c r="A602" s="142"/>
      <c r="B602" s="138"/>
      <c r="C602" s="95"/>
      <c r="D602" s="125"/>
      <c r="E602" s="125"/>
      <c r="F602" s="125"/>
      <c r="G602" s="128"/>
      <c r="H602" s="104"/>
      <c r="I602" s="98"/>
      <c r="J602" s="98"/>
      <c r="K602" s="98"/>
      <c r="L602" s="101"/>
      <c r="M602" s="113"/>
      <c r="N602" s="107"/>
      <c r="O602" s="107"/>
      <c r="P602" s="107"/>
      <c r="Q602" s="110"/>
      <c r="R602" s="104"/>
      <c r="S602" s="98"/>
      <c r="T602" s="98"/>
      <c r="U602" s="98"/>
      <c r="V602" s="101"/>
      <c r="W602" s="104"/>
      <c r="X602" s="98"/>
      <c r="Y602" s="98"/>
      <c r="Z602" s="98"/>
      <c r="AA602" s="101"/>
      <c r="AB602" s="135"/>
    </row>
    <row r="603" spans="1:28" ht="14.25" customHeight="1" thickTop="1" thickBot="1" x14ac:dyDescent="0.3">
      <c r="A603" s="139">
        <f>ESCUADRAS!B119</f>
        <v>113</v>
      </c>
      <c r="B603" s="136">
        <f>ESCUADRAS!C119</f>
        <v>0</v>
      </c>
      <c r="C603" s="93"/>
      <c r="D603" s="123"/>
      <c r="E603" s="123"/>
      <c r="F603" s="123"/>
      <c r="G603" s="126"/>
      <c r="H603" s="111"/>
      <c r="I603" s="105"/>
      <c r="J603" s="105"/>
      <c r="K603" s="105"/>
      <c r="L603" s="108"/>
      <c r="M603" s="102"/>
      <c r="N603" s="96"/>
      <c r="O603" s="96"/>
      <c r="P603" s="96"/>
      <c r="Q603" s="99"/>
      <c r="R603" s="102"/>
      <c r="S603" s="96"/>
      <c r="T603" s="96"/>
      <c r="U603" s="96"/>
      <c r="V603" s="99"/>
      <c r="W603" s="102"/>
      <c r="X603" s="96"/>
      <c r="Y603" s="96"/>
      <c r="Z603" s="96"/>
      <c r="AA603" s="99"/>
      <c r="AB603" s="133"/>
    </row>
    <row r="604" spans="1:28" ht="14.25" customHeight="1" thickTop="1" thickBot="1" x14ac:dyDescent="0.3">
      <c r="A604" s="139"/>
      <c r="B604" s="137"/>
      <c r="C604" s="94"/>
      <c r="D604" s="124"/>
      <c r="E604" s="124"/>
      <c r="F604" s="124"/>
      <c r="G604" s="127"/>
      <c r="H604" s="112"/>
      <c r="I604" s="106"/>
      <c r="J604" s="106"/>
      <c r="K604" s="106"/>
      <c r="L604" s="109"/>
      <c r="M604" s="103"/>
      <c r="N604" s="97"/>
      <c r="O604" s="97"/>
      <c r="P604" s="97"/>
      <c r="Q604" s="100"/>
      <c r="R604" s="103"/>
      <c r="S604" s="97"/>
      <c r="T604" s="97"/>
      <c r="U604" s="97"/>
      <c r="V604" s="100"/>
      <c r="W604" s="103"/>
      <c r="X604" s="97"/>
      <c r="Y604" s="97"/>
      <c r="Z604" s="97"/>
      <c r="AA604" s="100"/>
      <c r="AB604" s="134"/>
    </row>
    <row r="605" spans="1:28" ht="13.5" customHeight="1" thickTop="1" thickBot="1" x14ac:dyDescent="0.3">
      <c r="A605" s="139"/>
      <c r="B605" s="138"/>
      <c r="C605" s="95"/>
      <c r="D605" s="125"/>
      <c r="E605" s="125"/>
      <c r="F605" s="125"/>
      <c r="G605" s="128"/>
      <c r="H605" s="113"/>
      <c r="I605" s="107"/>
      <c r="J605" s="107"/>
      <c r="K605" s="107"/>
      <c r="L605" s="110"/>
      <c r="M605" s="104"/>
      <c r="N605" s="98"/>
      <c r="O605" s="98"/>
      <c r="P605" s="98"/>
      <c r="Q605" s="101"/>
      <c r="R605" s="104"/>
      <c r="S605" s="98"/>
      <c r="T605" s="98"/>
      <c r="U605" s="98"/>
      <c r="V605" s="101"/>
      <c r="W605" s="104"/>
      <c r="X605" s="98"/>
      <c r="Y605" s="98"/>
      <c r="Z605" s="98"/>
      <c r="AA605" s="101"/>
      <c r="AB605" s="135"/>
    </row>
    <row r="606" spans="1:28" ht="13.5" customHeight="1" thickTop="1" x14ac:dyDescent="0.25">
      <c r="A606" s="140">
        <f>ESCUADRAS!B120</f>
        <v>114</v>
      </c>
      <c r="B606" s="136">
        <f>ESCUADRAS!C120</f>
        <v>0</v>
      </c>
      <c r="C606" s="111"/>
      <c r="D606" s="105"/>
      <c r="E606" s="105"/>
      <c r="F606" s="105"/>
      <c r="G606" s="108"/>
      <c r="H606" s="122"/>
      <c r="I606" s="120"/>
      <c r="J606" s="120"/>
      <c r="K606" s="120"/>
      <c r="L606" s="121"/>
      <c r="M606" s="122"/>
      <c r="N606" s="120"/>
      <c r="O606" s="120"/>
      <c r="P606" s="120"/>
      <c r="Q606" s="121"/>
      <c r="R606" s="122"/>
      <c r="S606" s="120"/>
      <c r="T606" s="120"/>
      <c r="U606" s="120"/>
      <c r="V606" s="121"/>
      <c r="W606" s="122"/>
      <c r="X606" s="120"/>
      <c r="Y606" s="120"/>
      <c r="Z606" s="120"/>
      <c r="AA606" s="121"/>
      <c r="AB606" s="133"/>
    </row>
    <row r="607" spans="1:28" ht="14.25" customHeight="1" x14ac:dyDescent="0.25">
      <c r="A607" s="141"/>
      <c r="B607" s="137"/>
      <c r="C607" s="112"/>
      <c r="D607" s="106"/>
      <c r="E607" s="106"/>
      <c r="F607" s="106"/>
      <c r="G607" s="109"/>
      <c r="H607" s="103"/>
      <c r="I607" s="97"/>
      <c r="J607" s="97"/>
      <c r="K607" s="97"/>
      <c r="L607" s="100"/>
      <c r="M607" s="103"/>
      <c r="N607" s="97"/>
      <c r="O607" s="97"/>
      <c r="P607" s="97"/>
      <c r="Q607" s="100"/>
      <c r="R607" s="103"/>
      <c r="S607" s="97"/>
      <c r="T607" s="97"/>
      <c r="U607" s="97"/>
      <c r="V607" s="100"/>
      <c r="W607" s="103"/>
      <c r="X607" s="97"/>
      <c r="Y607" s="97"/>
      <c r="Z607" s="97"/>
      <c r="AA607" s="100"/>
      <c r="AB607" s="134"/>
    </row>
    <row r="608" spans="1:28" ht="13.5" customHeight="1" thickBot="1" x14ac:dyDescent="0.3">
      <c r="A608" s="142"/>
      <c r="B608" s="138"/>
      <c r="C608" s="113"/>
      <c r="D608" s="107"/>
      <c r="E608" s="107"/>
      <c r="F608" s="107"/>
      <c r="G608" s="110"/>
      <c r="H608" s="104"/>
      <c r="I608" s="98"/>
      <c r="J608" s="98"/>
      <c r="K608" s="98"/>
      <c r="L608" s="101"/>
      <c r="M608" s="104"/>
      <c r="N608" s="98"/>
      <c r="O608" s="98"/>
      <c r="P608" s="98"/>
      <c r="Q608" s="101"/>
      <c r="R608" s="104"/>
      <c r="S608" s="98"/>
      <c r="T608" s="98"/>
      <c r="U608" s="98"/>
      <c r="V608" s="101"/>
      <c r="W608" s="104"/>
      <c r="X608" s="98"/>
      <c r="Y608" s="98"/>
      <c r="Z608" s="98"/>
      <c r="AA608" s="101"/>
      <c r="AB608" s="135"/>
    </row>
    <row r="610" spans="1:32" ht="15" x14ac:dyDescent="0.25">
      <c r="A610" s="28"/>
      <c r="B610" s="26" t="s">
        <v>35</v>
      </c>
      <c r="E610" s="21" t="s">
        <v>41</v>
      </c>
      <c r="I610" s="21" t="s">
        <v>42</v>
      </c>
      <c r="M610" s="21" t="s">
        <v>43</v>
      </c>
      <c r="Q610" s="21" t="s">
        <v>44</v>
      </c>
      <c r="U610" s="21" t="s">
        <v>45</v>
      </c>
      <c r="Y610" s="21" t="s">
        <v>46</v>
      </c>
    </row>
    <row r="616" spans="1:32" ht="27" customHeight="1" x14ac:dyDescent="0.25">
      <c r="A616" s="144" t="str">
        <f>'INSCRIPCION '!A$1</f>
        <v>TIRADA</v>
      </c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</row>
    <row r="617" spans="1:32" ht="24.6" customHeight="1" x14ac:dyDescent="0.4">
      <c r="A617" s="23"/>
      <c r="B617" s="23"/>
    </row>
    <row r="618" spans="1:32" ht="22.8" x14ac:dyDescent="0.25">
      <c r="A618" s="132" t="str">
        <f>'INSCRIPCION '!A$2</f>
        <v>CAMPO DE TIRO LA ISLA</v>
      </c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</row>
    <row r="619" spans="1:32" ht="20.399999999999999" x14ac:dyDescent="0.25">
      <c r="A619" s="143" t="str">
        <f>'INSCRIPCION '!A$3</f>
        <v>XXX PLATOS</v>
      </c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</row>
    <row r="620" spans="1:32" ht="22.8" x14ac:dyDescent="0.25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</row>
    <row r="621" spans="1:32" ht="22.8" x14ac:dyDescent="0.4">
      <c r="A621" s="24"/>
      <c r="B621" s="24"/>
    </row>
    <row r="622" spans="1:32" ht="17.399999999999999" x14ac:dyDescent="0.3">
      <c r="A622" s="25" t="s">
        <v>29</v>
      </c>
      <c r="B622" s="25"/>
      <c r="J622" s="9" t="s">
        <v>6</v>
      </c>
      <c r="K622" s="9"/>
      <c r="L622" s="9"/>
      <c r="M622" s="9"/>
      <c r="N622" s="9"/>
      <c r="O622" s="22">
        <v>4</v>
      </c>
      <c r="P622" s="22"/>
      <c r="Q622" s="8"/>
      <c r="R622" s="8"/>
      <c r="S622" s="7"/>
      <c r="T622" s="8"/>
      <c r="U622" s="8"/>
      <c r="V622" s="9" t="s">
        <v>7</v>
      </c>
      <c r="W622" s="9"/>
      <c r="X622" s="9"/>
      <c r="Y622" s="9"/>
      <c r="Z622" s="22">
        <v>1</v>
      </c>
      <c r="AA622" s="22"/>
    </row>
    <row r="623" spans="1:32" ht="13.8" thickBot="1" x14ac:dyDescent="0.3"/>
    <row r="624" spans="1:32" ht="15.6" thickBot="1" x14ac:dyDescent="0.3">
      <c r="A624" s="27" t="s">
        <v>0</v>
      </c>
      <c r="B624" s="27" t="s">
        <v>8</v>
      </c>
      <c r="C624" s="47">
        <v>1</v>
      </c>
      <c r="D624" s="48">
        <v>2</v>
      </c>
      <c r="E624" s="48">
        <v>3</v>
      </c>
      <c r="F624" s="48">
        <v>4</v>
      </c>
      <c r="G624" s="49">
        <v>5</v>
      </c>
      <c r="H624" s="47">
        <v>6</v>
      </c>
      <c r="I624" s="48">
        <v>7</v>
      </c>
      <c r="J624" s="48">
        <v>8</v>
      </c>
      <c r="K624" s="48">
        <v>9</v>
      </c>
      <c r="L624" s="49">
        <v>10</v>
      </c>
      <c r="M624" s="47">
        <v>11</v>
      </c>
      <c r="N624" s="48">
        <v>12</v>
      </c>
      <c r="O624" s="48">
        <v>13</v>
      </c>
      <c r="P624" s="48">
        <v>14</v>
      </c>
      <c r="Q624" s="49">
        <v>15</v>
      </c>
      <c r="R624" s="47">
        <v>16</v>
      </c>
      <c r="S624" s="48">
        <v>17</v>
      </c>
      <c r="T624" s="48">
        <v>18</v>
      </c>
      <c r="U624" s="48">
        <v>19</v>
      </c>
      <c r="V624" s="49">
        <v>20</v>
      </c>
      <c r="W624" s="47">
        <v>21</v>
      </c>
      <c r="X624" s="48">
        <v>22</v>
      </c>
      <c r="Y624" s="48">
        <v>23</v>
      </c>
      <c r="Z624" s="48">
        <v>24</v>
      </c>
      <c r="AA624" s="49">
        <v>25</v>
      </c>
      <c r="AB624" s="30" t="s">
        <v>1</v>
      </c>
    </row>
    <row r="625" spans="1:28" ht="12.75" customHeight="1" thickTop="1" thickBot="1" x14ac:dyDescent="0.3">
      <c r="A625" s="139">
        <f>ESCUADRAS!B121</f>
        <v>115</v>
      </c>
      <c r="B625" s="136">
        <f>ESCUADRAS!C121</f>
        <v>0</v>
      </c>
      <c r="C625" s="129"/>
      <c r="D625" s="114"/>
      <c r="E625" s="114"/>
      <c r="F625" s="114"/>
      <c r="G625" s="117"/>
      <c r="H625" s="111"/>
      <c r="I625" s="105"/>
      <c r="J625" s="105"/>
      <c r="K625" s="105"/>
      <c r="L625" s="108"/>
      <c r="M625" s="111"/>
      <c r="N625" s="105"/>
      <c r="O625" s="105"/>
      <c r="P625" s="105"/>
      <c r="Q625" s="108"/>
      <c r="R625" s="111"/>
      <c r="S625" s="105"/>
      <c r="T625" s="105"/>
      <c r="U625" s="105"/>
      <c r="V625" s="108"/>
      <c r="W625" s="111"/>
      <c r="X625" s="105"/>
      <c r="Y625" s="105"/>
      <c r="Z625" s="105"/>
      <c r="AA625" s="108"/>
      <c r="AB625" s="133"/>
    </row>
    <row r="626" spans="1:28" ht="14.25" customHeight="1" thickTop="1" thickBot="1" x14ac:dyDescent="0.3">
      <c r="A626" s="139"/>
      <c r="B626" s="137"/>
      <c r="C626" s="130"/>
      <c r="D626" s="115"/>
      <c r="E626" s="115"/>
      <c r="F626" s="115"/>
      <c r="G626" s="118"/>
      <c r="H626" s="112"/>
      <c r="I626" s="106"/>
      <c r="J626" s="106"/>
      <c r="K626" s="106"/>
      <c r="L626" s="109"/>
      <c r="M626" s="112"/>
      <c r="N626" s="106"/>
      <c r="O626" s="106"/>
      <c r="P626" s="106"/>
      <c r="Q626" s="109"/>
      <c r="R626" s="112"/>
      <c r="S626" s="106"/>
      <c r="T626" s="106"/>
      <c r="U626" s="106"/>
      <c r="V626" s="109"/>
      <c r="W626" s="112"/>
      <c r="X626" s="106"/>
      <c r="Y626" s="106"/>
      <c r="Z626" s="106"/>
      <c r="AA626" s="109"/>
      <c r="AB626" s="134"/>
    </row>
    <row r="627" spans="1:28" ht="13.5" customHeight="1" thickTop="1" thickBot="1" x14ac:dyDescent="0.3">
      <c r="A627" s="139"/>
      <c r="B627" s="138"/>
      <c r="C627" s="131"/>
      <c r="D627" s="116"/>
      <c r="E627" s="116"/>
      <c r="F627" s="116"/>
      <c r="G627" s="119"/>
      <c r="H627" s="113"/>
      <c r="I627" s="107"/>
      <c r="J627" s="107"/>
      <c r="K627" s="107"/>
      <c r="L627" s="110"/>
      <c r="M627" s="113"/>
      <c r="N627" s="107"/>
      <c r="O627" s="107"/>
      <c r="P627" s="107"/>
      <c r="Q627" s="110"/>
      <c r="R627" s="113"/>
      <c r="S627" s="107"/>
      <c r="T627" s="107"/>
      <c r="U627" s="107"/>
      <c r="V627" s="110"/>
      <c r="W627" s="113"/>
      <c r="X627" s="107"/>
      <c r="Y627" s="107"/>
      <c r="Z627" s="107"/>
      <c r="AA627" s="110"/>
      <c r="AB627" s="135"/>
    </row>
    <row r="628" spans="1:28" ht="14.25" customHeight="1" thickTop="1" x14ac:dyDescent="0.25">
      <c r="A628" s="140">
        <f>ESCUADRAS!B122</f>
        <v>116</v>
      </c>
      <c r="B628" s="136">
        <f>ESCUADRAS!C122</f>
        <v>0</v>
      </c>
      <c r="C628" s="93"/>
      <c r="D628" s="123"/>
      <c r="E628" s="123"/>
      <c r="F628" s="123"/>
      <c r="G628" s="126"/>
      <c r="H628" s="102"/>
      <c r="I628" s="96"/>
      <c r="J628" s="96"/>
      <c r="K628" s="96"/>
      <c r="L628" s="99"/>
      <c r="M628" s="102"/>
      <c r="N628" s="96"/>
      <c r="O628" s="96"/>
      <c r="P628" s="96"/>
      <c r="Q628" s="99"/>
      <c r="R628" s="102"/>
      <c r="S628" s="96"/>
      <c r="T628" s="96"/>
      <c r="U628" s="96"/>
      <c r="V628" s="99"/>
      <c r="W628" s="111"/>
      <c r="X628" s="105"/>
      <c r="Y628" s="105"/>
      <c r="Z628" s="105"/>
      <c r="AA628" s="108"/>
      <c r="AB628" s="133"/>
    </row>
    <row r="629" spans="1:28" ht="14.25" customHeight="1" x14ac:dyDescent="0.25">
      <c r="A629" s="141"/>
      <c r="B629" s="137"/>
      <c r="C629" s="94"/>
      <c r="D629" s="124"/>
      <c r="E629" s="124"/>
      <c r="F629" s="124"/>
      <c r="G629" s="127"/>
      <c r="H629" s="103"/>
      <c r="I629" s="97"/>
      <c r="J629" s="97"/>
      <c r="K629" s="97"/>
      <c r="L629" s="100"/>
      <c r="M629" s="103"/>
      <c r="N629" s="97"/>
      <c r="O629" s="97"/>
      <c r="P629" s="97"/>
      <c r="Q629" s="100"/>
      <c r="R629" s="103"/>
      <c r="S629" s="97"/>
      <c r="T629" s="97"/>
      <c r="U629" s="97"/>
      <c r="V629" s="100"/>
      <c r="W629" s="112"/>
      <c r="X629" s="106"/>
      <c r="Y629" s="106"/>
      <c r="Z629" s="106"/>
      <c r="AA629" s="109"/>
      <c r="AB629" s="134"/>
    </row>
    <row r="630" spans="1:28" ht="13.5" customHeight="1" thickBot="1" x14ac:dyDescent="0.3">
      <c r="A630" s="142"/>
      <c r="B630" s="138"/>
      <c r="C630" s="95"/>
      <c r="D630" s="125"/>
      <c r="E630" s="125"/>
      <c r="F630" s="125"/>
      <c r="G630" s="128"/>
      <c r="H630" s="104"/>
      <c r="I630" s="98"/>
      <c r="J630" s="98"/>
      <c r="K630" s="98"/>
      <c r="L630" s="101"/>
      <c r="M630" s="104"/>
      <c r="N630" s="98"/>
      <c r="O630" s="98"/>
      <c r="P630" s="98"/>
      <c r="Q630" s="101"/>
      <c r="R630" s="104"/>
      <c r="S630" s="98"/>
      <c r="T630" s="98"/>
      <c r="U630" s="98"/>
      <c r="V630" s="101"/>
      <c r="W630" s="113"/>
      <c r="X630" s="107"/>
      <c r="Y630" s="107"/>
      <c r="Z630" s="107"/>
      <c r="AA630" s="110"/>
      <c r="AB630" s="135"/>
    </row>
    <row r="631" spans="1:28" ht="14.25" customHeight="1" thickTop="1" thickBot="1" x14ac:dyDescent="0.3">
      <c r="A631" s="139">
        <f>ESCUADRAS!B123</f>
        <v>117</v>
      </c>
      <c r="B631" s="136">
        <f>ESCUADRAS!C123</f>
        <v>0</v>
      </c>
      <c r="C631" s="93"/>
      <c r="D631" s="123"/>
      <c r="E631" s="123"/>
      <c r="F631" s="123"/>
      <c r="G631" s="126"/>
      <c r="H631" s="102"/>
      <c r="I631" s="96"/>
      <c r="J631" s="96"/>
      <c r="K631" s="96"/>
      <c r="L631" s="99"/>
      <c r="M631" s="102"/>
      <c r="N631" s="96"/>
      <c r="O631" s="96"/>
      <c r="P631" s="96"/>
      <c r="Q631" s="99"/>
      <c r="R631" s="111"/>
      <c r="S631" s="105"/>
      <c r="T631" s="105"/>
      <c r="U631" s="105"/>
      <c r="V631" s="108"/>
      <c r="W631" s="102"/>
      <c r="X631" s="96"/>
      <c r="Y631" s="96"/>
      <c r="Z631" s="96"/>
      <c r="AA631" s="99"/>
      <c r="AB631" s="133"/>
    </row>
    <row r="632" spans="1:28" ht="14.25" customHeight="1" thickTop="1" thickBot="1" x14ac:dyDescent="0.3">
      <c r="A632" s="139"/>
      <c r="B632" s="137"/>
      <c r="C632" s="94"/>
      <c r="D632" s="124"/>
      <c r="E632" s="124"/>
      <c r="F632" s="124"/>
      <c r="G632" s="127"/>
      <c r="H632" s="103"/>
      <c r="I632" s="97"/>
      <c r="J632" s="97"/>
      <c r="K632" s="97"/>
      <c r="L632" s="100"/>
      <c r="M632" s="103"/>
      <c r="N632" s="97"/>
      <c r="O632" s="97"/>
      <c r="P632" s="97"/>
      <c r="Q632" s="100"/>
      <c r="R632" s="112"/>
      <c r="S632" s="106"/>
      <c r="T632" s="106"/>
      <c r="U632" s="106"/>
      <c r="V632" s="109"/>
      <c r="W632" s="103"/>
      <c r="X632" s="97"/>
      <c r="Y632" s="97"/>
      <c r="Z632" s="97"/>
      <c r="AA632" s="100"/>
      <c r="AB632" s="134"/>
    </row>
    <row r="633" spans="1:28" ht="13.5" customHeight="1" thickTop="1" thickBot="1" x14ac:dyDescent="0.3">
      <c r="A633" s="139"/>
      <c r="B633" s="138"/>
      <c r="C633" s="95"/>
      <c r="D633" s="125"/>
      <c r="E633" s="125"/>
      <c r="F633" s="125"/>
      <c r="G633" s="128"/>
      <c r="H633" s="104"/>
      <c r="I633" s="98"/>
      <c r="J633" s="98"/>
      <c r="K633" s="98"/>
      <c r="L633" s="101"/>
      <c r="M633" s="104"/>
      <c r="N633" s="98"/>
      <c r="O633" s="98"/>
      <c r="P633" s="98"/>
      <c r="Q633" s="101"/>
      <c r="R633" s="113"/>
      <c r="S633" s="107"/>
      <c r="T633" s="107"/>
      <c r="U633" s="107"/>
      <c r="V633" s="110"/>
      <c r="W633" s="104"/>
      <c r="X633" s="98"/>
      <c r="Y633" s="98"/>
      <c r="Z633" s="98"/>
      <c r="AA633" s="101"/>
      <c r="AB633" s="135"/>
    </row>
    <row r="634" spans="1:28" ht="13.5" customHeight="1" thickTop="1" x14ac:dyDescent="0.25">
      <c r="A634" s="140">
        <f>ESCUADRAS!B124</f>
        <v>118</v>
      </c>
      <c r="B634" s="136">
        <f>ESCUADRAS!C124</f>
        <v>0</v>
      </c>
      <c r="C634" s="93"/>
      <c r="D634" s="123"/>
      <c r="E634" s="123"/>
      <c r="F634" s="123"/>
      <c r="G634" s="126"/>
      <c r="H634" s="102"/>
      <c r="I634" s="96"/>
      <c r="J634" s="96"/>
      <c r="K634" s="96"/>
      <c r="L634" s="99"/>
      <c r="M634" s="111"/>
      <c r="N634" s="105"/>
      <c r="O634" s="105"/>
      <c r="P634" s="105"/>
      <c r="Q634" s="108"/>
      <c r="R634" s="102"/>
      <c r="S634" s="96"/>
      <c r="T634" s="96"/>
      <c r="U634" s="96"/>
      <c r="V634" s="99"/>
      <c r="W634" s="102"/>
      <c r="X634" s="96"/>
      <c r="Y634" s="96"/>
      <c r="Z634" s="96"/>
      <c r="AA634" s="99"/>
      <c r="AB634" s="133"/>
    </row>
    <row r="635" spans="1:28" ht="14.25" customHeight="1" x14ac:dyDescent="0.25">
      <c r="A635" s="141"/>
      <c r="B635" s="137"/>
      <c r="C635" s="94"/>
      <c r="D635" s="124"/>
      <c r="E635" s="124"/>
      <c r="F635" s="124"/>
      <c r="G635" s="127"/>
      <c r="H635" s="103"/>
      <c r="I635" s="97"/>
      <c r="J635" s="97"/>
      <c r="K635" s="97"/>
      <c r="L635" s="100"/>
      <c r="M635" s="112"/>
      <c r="N635" s="106"/>
      <c r="O635" s="106"/>
      <c r="P635" s="106"/>
      <c r="Q635" s="109"/>
      <c r="R635" s="103"/>
      <c r="S635" s="97"/>
      <c r="T635" s="97"/>
      <c r="U635" s="97"/>
      <c r="V635" s="100"/>
      <c r="W635" s="103"/>
      <c r="X635" s="97"/>
      <c r="Y635" s="97"/>
      <c r="Z635" s="97"/>
      <c r="AA635" s="100"/>
      <c r="AB635" s="134"/>
    </row>
    <row r="636" spans="1:28" ht="13.5" customHeight="1" thickBot="1" x14ac:dyDescent="0.3">
      <c r="A636" s="142"/>
      <c r="B636" s="138"/>
      <c r="C636" s="95"/>
      <c r="D636" s="125"/>
      <c r="E636" s="125"/>
      <c r="F636" s="125"/>
      <c r="G636" s="128"/>
      <c r="H636" s="104"/>
      <c r="I636" s="98"/>
      <c r="J636" s="98"/>
      <c r="K636" s="98"/>
      <c r="L636" s="101"/>
      <c r="M636" s="113"/>
      <c r="N636" s="107"/>
      <c r="O636" s="107"/>
      <c r="P636" s="107"/>
      <c r="Q636" s="110"/>
      <c r="R636" s="104"/>
      <c r="S636" s="98"/>
      <c r="T636" s="98"/>
      <c r="U636" s="98"/>
      <c r="V636" s="101"/>
      <c r="W636" s="104"/>
      <c r="X636" s="98"/>
      <c r="Y636" s="98"/>
      <c r="Z636" s="98"/>
      <c r="AA636" s="101"/>
      <c r="AB636" s="135"/>
    </row>
    <row r="637" spans="1:28" ht="13.5" customHeight="1" thickTop="1" thickBot="1" x14ac:dyDescent="0.3">
      <c r="A637" s="139">
        <f>ESCUADRAS!B125</f>
        <v>119</v>
      </c>
      <c r="B637" s="136">
        <f>ESCUADRAS!C125</f>
        <v>0</v>
      </c>
      <c r="C637" s="93"/>
      <c r="D637" s="123"/>
      <c r="E637" s="123"/>
      <c r="F637" s="123"/>
      <c r="G637" s="126"/>
      <c r="H637" s="111"/>
      <c r="I637" s="105"/>
      <c r="J637" s="105"/>
      <c r="K637" s="105"/>
      <c r="L637" s="108"/>
      <c r="M637" s="102"/>
      <c r="N637" s="96"/>
      <c r="O637" s="96"/>
      <c r="P637" s="96"/>
      <c r="Q637" s="99"/>
      <c r="R637" s="102"/>
      <c r="S637" s="96"/>
      <c r="T637" s="96"/>
      <c r="U637" s="96"/>
      <c r="V637" s="99"/>
      <c r="W637" s="102"/>
      <c r="X637" s="96"/>
      <c r="Y637" s="96"/>
      <c r="Z637" s="96"/>
      <c r="AA637" s="99"/>
      <c r="AB637" s="133"/>
    </row>
    <row r="638" spans="1:28" ht="14.25" customHeight="1" thickTop="1" thickBot="1" x14ac:dyDescent="0.3">
      <c r="A638" s="139"/>
      <c r="B638" s="137"/>
      <c r="C638" s="94"/>
      <c r="D638" s="124"/>
      <c r="E638" s="124"/>
      <c r="F638" s="124"/>
      <c r="G638" s="127"/>
      <c r="H638" s="112"/>
      <c r="I638" s="106"/>
      <c r="J638" s="106"/>
      <c r="K638" s="106"/>
      <c r="L638" s="109"/>
      <c r="M638" s="103"/>
      <c r="N638" s="97"/>
      <c r="O638" s="97"/>
      <c r="P638" s="97"/>
      <c r="Q638" s="100"/>
      <c r="R638" s="103"/>
      <c r="S638" s="97"/>
      <c r="T638" s="97"/>
      <c r="U638" s="97"/>
      <c r="V638" s="100"/>
      <c r="W638" s="103"/>
      <c r="X638" s="97"/>
      <c r="Y638" s="97"/>
      <c r="Z638" s="97"/>
      <c r="AA638" s="100"/>
      <c r="AB638" s="134"/>
    </row>
    <row r="639" spans="1:28" ht="13.5" customHeight="1" thickTop="1" thickBot="1" x14ac:dyDescent="0.3">
      <c r="A639" s="139"/>
      <c r="B639" s="138"/>
      <c r="C639" s="95"/>
      <c r="D639" s="125"/>
      <c r="E639" s="125"/>
      <c r="F639" s="125"/>
      <c r="G639" s="128"/>
      <c r="H639" s="113"/>
      <c r="I639" s="107"/>
      <c r="J639" s="107"/>
      <c r="K639" s="107"/>
      <c r="L639" s="110"/>
      <c r="M639" s="104"/>
      <c r="N639" s="98"/>
      <c r="O639" s="98"/>
      <c r="P639" s="98"/>
      <c r="Q639" s="101"/>
      <c r="R639" s="104"/>
      <c r="S639" s="98"/>
      <c r="T639" s="98"/>
      <c r="U639" s="98"/>
      <c r="V639" s="101"/>
      <c r="W639" s="104"/>
      <c r="X639" s="98"/>
      <c r="Y639" s="98"/>
      <c r="Z639" s="98"/>
      <c r="AA639" s="101"/>
      <c r="AB639" s="135"/>
    </row>
    <row r="640" spans="1:28" ht="12.75" customHeight="1" thickTop="1" x14ac:dyDescent="0.25">
      <c r="A640" s="140">
        <f>ESCUADRAS!B126</f>
        <v>120</v>
      </c>
      <c r="B640" s="136">
        <f>ESCUADRAS!C126</f>
        <v>0</v>
      </c>
      <c r="C640" s="111"/>
      <c r="D640" s="105"/>
      <c r="E640" s="105"/>
      <c r="F640" s="105"/>
      <c r="G640" s="108"/>
      <c r="H640" s="122"/>
      <c r="I640" s="120"/>
      <c r="J640" s="120"/>
      <c r="K640" s="120"/>
      <c r="L640" s="121"/>
      <c r="M640" s="122"/>
      <c r="N640" s="120"/>
      <c r="O640" s="120"/>
      <c r="P640" s="120"/>
      <c r="Q640" s="121"/>
      <c r="R640" s="122"/>
      <c r="S640" s="120"/>
      <c r="T640" s="120"/>
      <c r="U640" s="120"/>
      <c r="V640" s="121"/>
      <c r="W640" s="122"/>
      <c r="X640" s="120"/>
      <c r="Y640" s="120"/>
      <c r="Z640" s="120"/>
      <c r="AA640" s="121"/>
      <c r="AB640" s="133"/>
    </row>
    <row r="641" spans="1:32" ht="14.25" customHeight="1" x14ac:dyDescent="0.25">
      <c r="A641" s="141"/>
      <c r="B641" s="137"/>
      <c r="C641" s="112"/>
      <c r="D641" s="106"/>
      <c r="E641" s="106"/>
      <c r="F641" s="106"/>
      <c r="G641" s="109"/>
      <c r="H641" s="103"/>
      <c r="I641" s="97"/>
      <c r="J641" s="97"/>
      <c r="K641" s="97"/>
      <c r="L641" s="100"/>
      <c r="M641" s="103"/>
      <c r="N641" s="97"/>
      <c r="O641" s="97"/>
      <c r="P641" s="97"/>
      <c r="Q641" s="100"/>
      <c r="R641" s="103"/>
      <c r="S641" s="97"/>
      <c r="T641" s="97"/>
      <c r="U641" s="97"/>
      <c r="V641" s="100"/>
      <c r="W641" s="103"/>
      <c r="X641" s="97"/>
      <c r="Y641" s="97"/>
      <c r="Z641" s="97"/>
      <c r="AA641" s="100"/>
      <c r="AB641" s="134"/>
    </row>
    <row r="642" spans="1:32" ht="13.5" customHeight="1" thickBot="1" x14ac:dyDescent="0.3">
      <c r="A642" s="142"/>
      <c r="B642" s="138"/>
      <c r="C642" s="113"/>
      <c r="D642" s="107"/>
      <c r="E642" s="107"/>
      <c r="F642" s="107"/>
      <c r="G642" s="110"/>
      <c r="H642" s="104"/>
      <c r="I642" s="98"/>
      <c r="J642" s="98"/>
      <c r="K642" s="98"/>
      <c r="L642" s="101"/>
      <c r="M642" s="104"/>
      <c r="N642" s="98"/>
      <c r="O642" s="98"/>
      <c r="P642" s="98"/>
      <c r="Q642" s="101"/>
      <c r="R642" s="104"/>
      <c r="S642" s="98"/>
      <c r="T642" s="98"/>
      <c r="U642" s="98"/>
      <c r="V642" s="101"/>
      <c r="W642" s="104"/>
      <c r="X642" s="98"/>
      <c r="Y642" s="98"/>
      <c r="Z642" s="98"/>
      <c r="AA642" s="101"/>
      <c r="AB642" s="135"/>
    </row>
    <row r="644" spans="1:32" ht="15" x14ac:dyDescent="0.25">
      <c r="A644" s="28"/>
      <c r="B644" s="26" t="s">
        <v>35</v>
      </c>
      <c r="E644" s="21" t="s">
        <v>41</v>
      </c>
      <c r="I644" s="21" t="s">
        <v>42</v>
      </c>
      <c r="M644" s="21" t="s">
        <v>43</v>
      </c>
      <c r="Q644" s="21" t="s">
        <v>44</v>
      </c>
      <c r="U644" s="21" t="s">
        <v>45</v>
      </c>
      <c r="Y644" s="21" t="s">
        <v>46</v>
      </c>
    </row>
    <row r="651" spans="1:32" ht="24.6" x14ac:dyDescent="0.25">
      <c r="A651" s="144" t="str">
        <f>'INSCRIPCION '!A$1</f>
        <v>TIRADA</v>
      </c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</row>
    <row r="652" spans="1:32" ht="24.6" x14ac:dyDescent="0.4">
      <c r="A652" s="23"/>
      <c r="B652" s="23"/>
    </row>
    <row r="653" spans="1:32" ht="22.8" x14ac:dyDescent="0.25">
      <c r="A653" s="132" t="str">
        <f>'INSCRIPCION '!A$2</f>
        <v>CAMPO DE TIRO LA ISLA</v>
      </c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</row>
    <row r="654" spans="1:32" ht="20.399999999999999" x14ac:dyDescent="0.25">
      <c r="A654" s="143" t="str">
        <f>'INSCRIPCION '!A$3</f>
        <v>XXX PLATOS</v>
      </c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</row>
    <row r="655" spans="1:32" ht="22.8" x14ac:dyDescent="0.4">
      <c r="A655" s="24"/>
      <c r="B655" s="24"/>
    </row>
    <row r="656" spans="1:32" ht="17.399999999999999" x14ac:dyDescent="0.3">
      <c r="A656" s="25" t="s">
        <v>30</v>
      </c>
      <c r="B656" s="25"/>
      <c r="J656" s="9" t="s">
        <v>6</v>
      </c>
      <c r="K656" s="9"/>
      <c r="L656" s="9"/>
      <c r="M656" s="9"/>
      <c r="N656" s="9"/>
      <c r="O656" s="22">
        <v>1</v>
      </c>
      <c r="P656" s="22"/>
      <c r="Q656" s="8"/>
      <c r="R656" s="8"/>
      <c r="S656" s="7"/>
      <c r="T656" s="8"/>
      <c r="U656" s="8"/>
      <c r="V656" s="9" t="s">
        <v>7</v>
      </c>
      <c r="W656" s="9"/>
      <c r="X656" s="9"/>
      <c r="Y656" s="9"/>
      <c r="Z656" s="22">
        <v>1</v>
      </c>
      <c r="AA656" s="22"/>
    </row>
    <row r="657" spans="1:28" ht="13.8" thickBot="1" x14ac:dyDescent="0.3"/>
    <row r="658" spans="1:28" ht="15.6" thickBot="1" x14ac:dyDescent="0.3">
      <c r="A658" s="27" t="s">
        <v>0</v>
      </c>
      <c r="B658" s="27" t="s">
        <v>8</v>
      </c>
      <c r="C658" s="47">
        <v>1</v>
      </c>
      <c r="D658" s="48">
        <v>2</v>
      </c>
      <c r="E658" s="48">
        <v>3</v>
      </c>
      <c r="F658" s="48">
        <v>4</v>
      </c>
      <c r="G658" s="49">
        <v>5</v>
      </c>
      <c r="H658" s="47">
        <v>6</v>
      </c>
      <c r="I658" s="48">
        <v>7</v>
      </c>
      <c r="J658" s="48">
        <v>8</v>
      </c>
      <c r="K658" s="48">
        <v>9</v>
      </c>
      <c r="L658" s="49">
        <v>10</v>
      </c>
      <c r="M658" s="47">
        <v>11</v>
      </c>
      <c r="N658" s="48">
        <v>12</v>
      </c>
      <c r="O658" s="48">
        <v>13</v>
      </c>
      <c r="P658" s="48">
        <v>14</v>
      </c>
      <c r="Q658" s="49">
        <v>15</v>
      </c>
      <c r="R658" s="47">
        <v>16</v>
      </c>
      <c r="S658" s="48">
        <v>17</v>
      </c>
      <c r="T658" s="48">
        <v>18</v>
      </c>
      <c r="U658" s="48">
        <v>19</v>
      </c>
      <c r="V658" s="49">
        <v>20</v>
      </c>
      <c r="W658" s="47">
        <v>21</v>
      </c>
      <c r="X658" s="48">
        <v>22</v>
      </c>
      <c r="Y658" s="48">
        <v>23</v>
      </c>
      <c r="Z658" s="48">
        <v>24</v>
      </c>
      <c r="AA658" s="49">
        <v>25</v>
      </c>
      <c r="AB658" s="30" t="s">
        <v>1</v>
      </c>
    </row>
    <row r="659" spans="1:28" ht="14.25" customHeight="1" thickTop="1" thickBot="1" x14ac:dyDescent="0.3">
      <c r="A659" s="139">
        <f>ESCUADRAS!B127</f>
        <v>121</v>
      </c>
      <c r="B659" s="136">
        <f>ESCUADRAS!C127</f>
        <v>0</v>
      </c>
      <c r="C659" s="129"/>
      <c r="D659" s="114"/>
      <c r="E659" s="114"/>
      <c r="F659" s="114"/>
      <c r="G659" s="117"/>
      <c r="H659" s="111"/>
      <c r="I659" s="105"/>
      <c r="J659" s="105"/>
      <c r="K659" s="105"/>
      <c r="L659" s="108"/>
      <c r="M659" s="111"/>
      <c r="N659" s="105"/>
      <c r="O659" s="105"/>
      <c r="P659" s="105"/>
      <c r="Q659" s="108"/>
      <c r="R659" s="111"/>
      <c r="S659" s="105"/>
      <c r="T659" s="105"/>
      <c r="U659" s="105"/>
      <c r="V659" s="108"/>
      <c r="W659" s="111"/>
      <c r="X659" s="105"/>
      <c r="Y659" s="105"/>
      <c r="Z659" s="105"/>
      <c r="AA659" s="108"/>
      <c r="AB659" s="133"/>
    </row>
    <row r="660" spans="1:28" ht="14.25" customHeight="1" thickTop="1" thickBot="1" x14ac:dyDescent="0.3">
      <c r="A660" s="139"/>
      <c r="B660" s="137"/>
      <c r="C660" s="130"/>
      <c r="D660" s="115"/>
      <c r="E660" s="115"/>
      <c r="F660" s="115"/>
      <c r="G660" s="118"/>
      <c r="H660" s="112"/>
      <c r="I660" s="106"/>
      <c r="J660" s="106"/>
      <c r="K660" s="106"/>
      <c r="L660" s="109"/>
      <c r="M660" s="112"/>
      <c r="N660" s="106"/>
      <c r="O660" s="106"/>
      <c r="P660" s="106"/>
      <c r="Q660" s="109"/>
      <c r="R660" s="112"/>
      <c r="S660" s="106"/>
      <c r="T660" s="106"/>
      <c r="U660" s="106"/>
      <c r="V660" s="109"/>
      <c r="W660" s="112"/>
      <c r="X660" s="106"/>
      <c r="Y660" s="106"/>
      <c r="Z660" s="106"/>
      <c r="AA660" s="109"/>
      <c r="AB660" s="134"/>
    </row>
    <row r="661" spans="1:28" ht="13.5" customHeight="1" thickTop="1" thickBot="1" x14ac:dyDescent="0.3">
      <c r="A661" s="139"/>
      <c r="B661" s="138"/>
      <c r="C661" s="131"/>
      <c r="D661" s="116"/>
      <c r="E661" s="116"/>
      <c r="F661" s="116"/>
      <c r="G661" s="119"/>
      <c r="H661" s="113"/>
      <c r="I661" s="107"/>
      <c r="J661" s="107"/>
      <c r="K661" s="107"/>
      <c r="L661" s="110"/>
      <c r="M661" s="113"/>
      <c r="N661" s="107"/>
      <c r="O661" s="107"/>
      <c r="P661" s="107"/>
      <c r="Q661" s="110"/>
      <c r="R661" s="113"/>
      <c r="S661" s="107"/>
      <c r="T661" s="107"/>
      <c r="U661" s="107"/>
      <c r="V661" s="110"/>
      <c r="W661" s="113"/>
      <c r="X661" s="107"/>
      <c r="Y661" s="107"/>
      <c r="Z661" s="107"/>
      <c r="AA661" s="110"/>
      <c r="AB661" s="135"/>
    </row>
    <row r="662" spans="1:28" ht="14.25" customHeight="1" thickTop="1" x14ac:dyDescent="0.25">
      <c r="A662" s="140">
        <f>ESCUADRAS!B128</f>
        <v>122</v>
      </c>
      <c r="B662" s="136">
        <f>ESCUADRAS!C128</f>
        <v>0</v>
      </c>
      <c r="C662" s="93"/>
      <c r="D662" s="123"/>
      <c r="E662" s="123"/>
      <c r="F662" s="123"/>
      <c r="G662" s="126"/>
      <c r="H662" s="102"/>
      <c r="I662" s="96"/>
      <c r="J662" s="96"/>
      <c r="K662" s="96"/>
      <c r="L662" s="99"/>
      <c r="M662" s="102"/>
      <c r="N662" s="96"/>
      <c r="O662" s="96"/>
      <c r="P662" s="96"/>
      <c r="Q662" s="99"/>
      <c r="R662" s="102"/>
      <c r="S662" s="96"/>
      <c r="T662" s="96"/>
      <c r="U662" s="96"/>
      <c r="V662" s="99"/>
      <c r="W662" s="111"/>
      <c r="X662" s="105"/>
      <c r="Y662" s="105"/>
      <c r="Z662" s="105"/>
      <c r="AA662" s="108"/>
      <c r="AB662" s="133"/>
    </row>
    <row r="663" spans="1:28" ht="14.25" customHeight="1" x14ac:dyDescent="0.25">
      <c r="A663" s="141"/>
      <c r="B663" s="137"/>
      <c r="C663" s="94"/>
      <c r="D663" s="124"/>
      <c r="E663" s="124"/>
      <c r="F663" s="124"/>
      <c r="G663" s="127"/>
      <c r="H663" s="103"/>
      <c r="I663" s="97"/>
      <c r="J663" s="97"/>
      <c r="K663" s="97"/>
      <c r="L663" s="100"/>
      <c r="M663" s="103"/>
      <c r="N663" s="97"/>
      <c r="O663" s="97"/>
      <c r="P663" s="97"/>
      <c r="Q663" s="100"/>
      <c r="R663" s="103"/>
      <c r="S663" s="97"/>
      <c r="T663" s="97"/>
      <c r="U663" s="97"/>
      <c r="V663" s="100"/>
      <c r="W663" s="112"/>
      <c r="X663" s="106"/>
      <c r="Y663" s="106"/>
      <c r="Z663" s="106"/>
      <c r="AA663" s="109"/>
      <c r="AB663" s="134"/>
    </row>
    <row r="664" spans="1:28" ht="13.5" customHeight="1" thickBot="1" x14ac:dyDescent="0.3">
      <c r="A664" s="142"/>
      <c r="B664" s="138"/>
      <c r="C664" s="95"/>
      <c r="D664" s="125"/>
      <c r="E664" s="125"/>
      <c r="F664" s="125"/>
      <c r="G664" s="128"/>
      <c r="H664" s="104"/>
      <c r="I664" s="98"/>
      <c r="J664" s="98"/>
      <c r="K664" s="98"/>
      <c r="L664" s="101"/>
      <c r="M664" s="104"/>
      <c r="N664" s="98"/>
      <c r="O664" s="98"/>
      <c r="P664" s="98"/>
      <c r="Q664" s="101"/>
      <c r="R664" s="104"/>
      <c r="S664" s="98"/>
      <c r="T664" s="98"/>
      <c r="U664" s="98"/>
      <c r="V664" s="101"/>
      <c r="W664" s="113"/>
      <c r="X664" s="107"/>
      <c r="Y664" s="107"/>
      <c r="Z664" s="107"/>
      <c r="AA664" s="110"/>
      <c r="AB664" s="135"/>
    </row>
    <row r="665" spans="1:28" ht="14.25" customHeight="1" thickTop="1" thickBot="1" x14ac:dyDescent="0.3">
      <c r="A665" s="139">
        <f>ESCUADRAS!B129</f>
        <v>123</v>
      </c>
      <c r="B665" s="136">
        <f>ESCUADRAS!C129</f>
        <v>0</v>
      </c>
      <c r="C665" s="93"/>
      <c r="D665" s="123"/>
      <c r="E665" s="123"/>
      <c r="F665" s="123"/>
      <c r="G665" s="126"/>
      <c r="H665" s="102"/>
      <c r="I665" s="96"/>
      <c r="J665" s="96"/>
      <c r="K665" s="96"/>
      <c r="L665" s="99"/>
      <c r="M665" s="102"/>
      <c r="N665" s="96"/>
      <c r="O665" s="96"/>
      <c r="P665" s="96"/>
      <c r="Q665" s="99"/>
      <c r="R665" s="111"/>
      <c r="S665" s="105"/>
      <c r="T665" s="105"/>
      <c r="U665" s="105"/>
      <c r="V665" s="108"/>
      <c r="W665" s="102"/>
      <c r="X665" s="96"/>
      <c r="Y665" s="96"/>
      <c r="Z665" s="96"/>
      <c r="AA665" s="99"/>
      <c r="AB665" s="133"/>
    </row>
    <row r="666" spans="1:28" ht="14.25" customHeight="1" thickTop="1" thickBot="1" x14ac:dyDescent="0.3">
      <c r="A666" s="139"/>
      <c r="B666" s="137"/>
      <c r="C666" s="94"/>
      <c r="D666" s="124"/>
      <c r="E666" s="124"/>
      <c r="F666" s="124"/>
      <c r="G666" s="127"/>
      <c r="H666" s="103"/>
      <c r="I666" s="97"/>
      <c r="J666" s="97"/>
      <c r="K666" s="97"/>
      <c r="L666" s="100"/>
      <c r="M666" s="103"/>
      <c r="N666" s="97"/>
      <c r="O666" s="97"/>
      <c r="P666" s="97"/>
      <c r="Q666" s="100"/>
      <c r="R666" s="112"/>
      <c r="S666" s="106"/>
      <c r="T666" s="106"/>
      <c r="U666" s="106"/>
      <c r="V666" s="109"/>
      <c r="W666" s="103"/>
      <c r="X666" s="97"/>
      <c r="Y666" s="97"/>
      <c r="Z666" s="97"/>
      <c r="AA666" s="100"/>
      <c r="AB666" s="134"/>
    </row>
    <row r="667" spans="1:28" ht="13.5" customHeight="1" thickTop="1" thickBot="1" x14ac:dyDescent="0.3">
      <c r="A667" s="139"/>
      <c r="B667" s="138"/>
      <c r="C667" s="95"/>
      <c r="D667" s="125"/>
      <c r="E667" s="125"/>
      <c r="F667" s="125"/>
      <c r="G667" s="128"/>
      <c r="H667" s="104"/>
      <c r="I667" s="98"/>
      <c r="J667" s="98"/>
      <c r="K667" s="98"/>
      <c r="L667" s="101"/>
      <c r="M667" s="104"/>
      <c r="N667" s="98"/>
      <c r="O667" s="98"/>
      <c r="P667" s="98"/>
      <c r="Q667" s="101"/>
      <c r="R667" s="113"/>
      <c r="S667" s="107"/>
      <c r="T667" s="107"/>
      <c r="U667" s="107"/>
      <c r="V667" s="110"/>
      <c r="W667" s="104"/>
      <c r="X667" s="98"/>
      <c r="Y667" s="98"/>
      <c r="Z667" s="98"/>
      <c r="AA667" s="101"/>
      <c r="AB667" s="135"/>
    </row>
    <row r="668" spans="1:28" ht="13.5" customHeight="1" thickTop="1" x14ac:dyDescent="0.25">
      <c r="A668" s="140">
        <f>ESCUADRAS!B130</f>
        <v>124</v>
      </c>
      <c r="B668" s="136">
        <f>ESCUADRAS!C130</f>
        <v>0</v>
      </c>
      <c r="C668" s="93"/>
      <c r="D668" s="123"/>
      <c r="E668" s="123"/>
      <c r="F668" s="123"/>
      <c r="G668" s="126"/>
      <c r="H668" s="102"/>
      <c r="I668" s="96"/>
      <c r="J668" s="96"/>
      <c r="K668" s="96"/>
      <c r="L668" s="99"/>
      <c r="M668" s="111"/>
      <c r="N668" s="105"/>
      <c r="O668" s="105"/>
      <c r="P668" s="105"/>
      <c r="Q668" s="108"/>
      <c r="R668" s="102"/>
      <c r="S668" s="96"/>
      <c r="T668" s="96"/>
      <c r="U668" s="96"/>
      <c r="V668" s="99"/>
      <c r="W668" s="102"/>
      <c r="X668" s="96"/>
      <c r="Y668" s="96"/>
      <c r="Z668" s="96"/>
      <c r="AA668" s="99"/>
      <c r="AB668" s="133"/>
    </row>
    <row r="669" spans="1:28" ht="14.25" customHeight="1" x14ac:dyDescent="0.25">
      <c r="A669" s="141"/>
      <c r="B669" s="137"/>
      <c r="C669" s="94"/>
      <c r="D669" s="124"/>
      <c r="E669" s="124"/>
      <c r="F669" s="124"/>
      <c r="G669" s="127"/>
      <c r="H669" s="103"/>
      <c r="I669" s="97"/>
      <c r="J669" s="97"/>
      <c r="K669" s="97"/>
      <c r="L669" s="100"/>
      <c r="M669" s="112"/>
      <c r="N669" s="106"/>
      <c r="O669" s="106"/>
      <c r="P669" s="106"/>
      <c r="Q669" s="109"/>
      <c r="R669" s="103"/>
      <c r="S669" s="97"/>
      <c r="T669" s="97"/>
      <c r="U669" s="97"/>
      <c r="V669" s="100"/>
      <c r="W669" s="103"/>
      <c r="X669" s="97"/>
      <c r="Y669" s="97"/>
      <c r="Z669" s="97"/>
      <c r="AA669" s="100"/>
      <c r="AB669" s="134"/>
    </row>
    <row r="670" spans="1:28" ht="13.5" customHeight="1" thickBot="1" x14ac:dyDescent="0.3">
      <c r="A670" s="142"/>
      <c r="B670" s="138"/>
      <c r="C670" s="95"/>
      <c r="D670" s="125"/>
      <c r="E670" s="125"/>
      <c r="F670" s="125"/>
      <c r="G670" s="128"/>
      <c r="H670" s="104"/>
      <c r="I670" s="98"/>
      <c r="J670" s="98"/>
      <c r="K670" s="98"/>
      <c r="L670" s="101"/>
      <c r="M670" s="113"/>
      <c r="N670" s="107"/>
      <c r="O670" s="107"/>
      <c r="P670" s="107"/>
      <c r="Q670" s="110"/>
      <c r="R670" s="104"/>
      <c r="S670" s="98"/>
      <c r="T670" s="98"/>
      <c r="U670" s="98"/>
      <c r="V670" s="101"/>
      <c r="W670" s="104"/>
      <c r="X670" s="98"/>
      <c r="Y670" s="98"/>
      <c r="Z670" s="98"/>
      <c r="AA670" s="101"/>
      <c r="AB670" s="135"/>
    </row>
    <row r="671" spans="1:28" ht="14.25" customHeight="1" thickTop="1" thickBot="1" x14ac:dyDescent="0.3">
      <c r="A671" s="139">
        <f>ESCUADRAS!B131</f>
        <v>125</v>
      </c>
      <c r="B671" s="136">
        <f>ESCUADRAS!C131</f>
        <v>0</v>
      </c>
      <c r="C671" s="93"/>
      <c r="D671" s="123"/>
      <c r="E671" s="123"/>
      <c r="F671" s="123"/>
      <c r="G671" s="126"/>
      <c r="H671" s="111"/>
      <c r="I671" s="105"/>
      <c r="J671" s="105"/>
      <c r="K671" s="105"/>
      <c r="L671" s="108"/>
      <c r="M671" s="102"/>
      <c r="N671" s="96"/>
      <c r="O671" s="96"/>
      <c r="P671" s="96"/>
      <c r="Q671" s="99"/>
      <c r="R671" s="102"/>
      <c r="S671" s="96"/>
      <c r="T671" s="96"/>
      <c r="U671" s="96"/>
      <c r="V671" s="99"/>
      <c r="W671" s="102"/>
      <c r="X671" s="96"/>
      <c r="Y671" s="96"/>
      <c r="Z671" s="96"/>
      <c r="AA671" s="99"/>
      <c r="AB671" s="133"/>
    </row>
    <row r="672" spans="1:28" ht="14.25" customHeight="1" thickTop="1" thickBot="1" x14ac:dyDescent="0.3">
      <c r="A672" s="139"/>
      <c r="B672" s="137"/>
      <c r="C672" s="94"/>
      <c r="D672" s="124"/>
      <c r="E672" s="124"/>
      <c r="F672" s="124"/>
      <c r="G672" s="127"/>
      <c r="H672" s="112"/>
      <c r="I672" s="106"/>
      <c r="J672" s="106"/>
      <c r="K672" s="106"/>
      <c r="L672" s="109"/>
      <c r="M672" s="103"/>
      <c r="N672" s="97"/>
      <c r="O672" s="97"/>
      <c r="P672" s="97"/>
      <c r="Q672" s="100"/>
      <c r="R672" s="103"/>
      <c r="S672" s="97"/>
      <c r="T672" s="97"/>
      <c r="U672" s="97"/>
      <c r="V672" s="100"/>
      <c r="W672" s="103"/>
      <c r="X672" s="97"/>
      <c r="Y672" s="97"/>
      <c r="Z672" s="97"/>
      <c r="AA672" s="100"/>
      <c r="AB672" s="134"/>
    </row>
    <row r="673" spans="1:32" ht="13.5" customHeight="1" thickTop="1" thickBot="1" x14ac:dyDescent="0.3">
      <c r="A673" s="139"/>
      <c r="B673" s="138"/>
      <c r="C673" s="95"/>
      <c r="D673" s="125"/>
      <c r="E673" s="125"/>
      <c r="F673" s="125"/>
      <c r="G673" s="128"/>
      <c r="H673" s="113"/>
      <c r="I673" s="107"/>
      <c r="J673" s="107"/>
      <c r="K673" s="107"/>
      <c r="L673" s="110"/>
      <c r="M673" s="104"/>
      <c r="N673" s="98"/>
      <c r="O673" s="98"/>
      <c r="P673" s="98"/>
      <c r="Q673" s="101"/>
      <c r="R673" s="104"/>
      <c r="S673" s="98"/>
      <c r="T673" s="98"/>
      <c r="U673" s="98"/>
      <c r="V673" s="101"/>
      <c r="W673" s="104"/>
      <c r="X673" s="98"/>
      <c r="Y673" s="98"/>
      <c r="Z673" s="98"/>
      <c r="AA673" s="101"/>
      <c r="AB673" s="135"/>
    </row>
    <row r="674" spans="1:32" ht="13.5" customHeight="1" thickTop="1" x14ac:dyDescent="0.25">
      <c r="A674" s="140">
        <f>ESCUADRAS!B132</f>
        <v>126</v>
      </c>
      <c r="B674" s="136">
        <f>ESCUADRAS!C132</f>
        <v>0</v>
      </c>
      <c r="C674" s="111"/>
      <c r="D674" s="105"/>
      <c r="E674" s="105"/>
      <c r="F674" s="105"/>
      <c r="G674" s="108"/>
      <c r="H674" s="122"/>
      <c r="I674" s="120"/>
      <c r="J674" s="120"/>
      <c r="K674" s="120"/>
      <c r="L674" s="121"/>
      <c r="M674" s="122"/>
      <c r="N674" s="120"/>
      <c r="O674" s="120"/>
      <c r="P674" s="120"/>
      <c r="Q674" s="121"/>
      <c r="R674" s="122"/>
      <c r="S674" s="120"/>
      <c r="T674" s="120"/>
      <c r="U674" s="120"/>
      <c r="V674" s="121"/>
      <c r="W674" s="122"/>
      <c r="X674" s="120"/>
      <c r="Y674" s="120"/>
      <c r="Z674" s="120"/>
      <c r="AA674" s="121"/>
      <c r="AB674" s="133"/>
    </row>
    <row r="675" spans="1:32" ht="14.25" customHeight="1" x14ac:dyDescent="0.25">
      <c r="A675" s="141"/>
      <c r="B675" s="137"/>
      <c r="C675" s="112"/>
      <c r="D675" s="106"/>
      <c r="E675" s="106"/>
      <c r="F675" s="106"/>
      <c r="G675" s="109"/>
      <c r="H675" s="103"/>
      <c r="I675" s="97"/>
      <c r="J675" s="97"/>
      <c r="K675" s="97"/>
      <c r="L675" s="100"/>
      <c r="M675" s="103"/>
      <c r="N675" s="97"/>
      <c r="O675" s="97"/>
      <c r="P675" s="97"/>
      <c r="Q675" s="100"/>
      <c r="R675" s="103"/>
      <c r="S675" s="97"/>
      <c r="T675" s="97"/>
      <c r="U675" s="97"/>
      <c r="V675" s="100"/>
      <c r="W675" s="103"/>
      <c r="X675" s="97"/>
      <c r="Y675" s="97"/>
      <c r="Z675" s="97"/>
      <c r="AA675" s="100"/>
      <c r="AB675" s="134"/>
    </row>
    <row r="676" spans="1:32" ht="13.5" customHeight="1" thickBot="1" x14ac:dyDescent="0.3">
      <c r="A676" s="142"/>
      <c r="B676" s="138"/>
      <c r="C676" s="113"/>
      <c r="D676" s="107"/>
      <c r="E676" s="107"/>
      <c r="F676" s="107"/>
      <c r="G676" s="110"/>
      <c r="H676" s="104"/>
      <c r="I676" s="98"/>
      <c r="J676" s="98"/>
      <c r="K676" s="98"/>
      <c r="L676" s="101"/>
      <c r="M676" s="104"/>
      <c r="N676" s="98"/>
      <c r="O676" s="98"/>
      <c r="P676" s="98"/>
      <c r="Q676" s="101"/>
      <c r="R676" s="104"/>
      <c r="S676" s="98"/>
      <c r="T676" s="98"/>
      <c r="U676" s="98"/>
      <c r="V676" s="101"/>
      <c r="W676" s="104"/>
      <c r="X676" s="98"/>
      <c r="Y676" s="98"/>
      <c r="Z676" s="98"/>
      <c r="AA676" s="101"/>
      <c r="AB676" s="135"/>
    </row>
    <row r="678" spans="1:32" ht="15" x14ac:dyDescent="0.25">
      <c r="A678" s="28"/>
      <c r="B678" s="26" t="s">
        <v>35</v>
      </c>
      <c r="E678" s="21" t="s">
        <v>41</v>
      </c>
      <c r="I678" s="21" t="s">
        <v>42</v>
      </c>
      <c r="M678" s="21" t="s">
        <v>43</v>
      </c>
      <c r="Q678" s="21" t="s">
        <v>44</v>
      </c>
      <c r="U678" s="21" t="s">
        <v>45</v>
      </c>
      <c r="Y678" s="21" t="s">
        <v>46</v>
      </c>
    </row>
    <row r="685" spans="1:32" ht="24.6" x14ac:dyDescent="0.25">
      <c r="A685" s="144" t="str">
        <f>'INSCRIPCION '!A$1</f>
        <v>TIRADA</v>
      </c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</row>
    <row r="686" spans="1:32" ht="24.6" x14ac:dyDescent="0.4">
      <c r="A686" s="23"/>
      <c r="B686" s="23"/>
    </row>
    <row r="687" spans="1:32" ht="22.8" x14ac:dyDescent="0.25">
      <c r="A687" s="132" t="str">
        <f>'INSCRIPCION '!A$2</f>
        <v>CAMPO DE TIRO LA ISLA</v>
      </c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</row>
    <row r="688" spans="1:32" ht="20.399999999999999" x14ac:dyDescent="0.25">
      <c r="A688" s="143" t="str">
        <f>'INSCRIPCION '!A$3</f>
        <v>XXX PLATOS</v>
      </c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</row>
    <row r="689" spans="1:28" ht="22.8" x14ac:dyDescent="0.4">
      <c r="A689" s="24"/>
      <c r="B689" s="24"/>
    </row>
    <row r="690" spans="1:28" ht="17.399999999999999" x14ac:dyDescent="0.3">
      <c r="A690" s="25" t="s">
        <v>31</v>
      </c>
      <c r="B690" s="25"/>
      <c r="J690" s="9" t="s">
        <v>6</v>
      </c>
      <c r="K690" s="9"/>
      <c r="L690" s="9"/>
      <c r="M690" s="9"/>
      <c r="N690" s="9"/>
      <c r="O690" s="22">
        <v>2</v>
      </c>
      <c r="P690" s="22"/>
      <c r="Q690" s="8"/>
      <c r="R690" s="8"/>
      <c r="S690" s="7"/>
      <c r="T690" s="8"/>
      <c r="U690" s="8"/>
      <c r="V690" s="9" t="s">
        <v>7</v>
      </c>
      <c r="W690" s="9"/>
      <c r="X690" s="9"/>
      <c r="Y690" s="9"/>
      <c r="Z690" s="22">
        <v>1</v>
      </c>
      <c r="AA690" s="22"/>
    </row>
    <row r="691" spans="1:28" ht="13.8" thickBot="1" x14ac:dyDescent="0.3"/>
    <row r="692" spans="1:28" ht="15.6" thickBot="1" x14ac:dyDescent="0.3">
      <c r="A692" s="27" t="s">
        <v>0</v>
      </c>
      <c r="B692" s="27" t="s">
        <v>8</v>
      </c>
      <c r="C692" s="47">
        <v>1</v>
      </c>
      <c r="D692" s="48">
        <v>2</v>
      </c>
      <c r="E692" s="48">
        <v>3</v>
      </c>
      <c r="F692" s="48">
        <v>4</v>
      </c>
      <c r="G692" s="49">
        <v>5</v>
      </c>
      <c r="H692" s="47">
        <v>6</v>
      </c>
      <c r="I692" s="48">
        <v>7</v>
      </c>
      <c r="J692" s="48">
        <v>8</v>
      </c>
      <c r="K692" s="48">
        <v>9</v>
      </c>
      <c r="L692" s="49">
        <v>10</v>
      </c>
      <c r="M692" s="47">
        <v>11</v>
      </c>
      <c r="N692" s="48">
        <v>12</v>
      </c>
      <c r="O692" s="48">
        <v>13</v>
      </c>
      <c r="P692" s="48">
        <v>14</v>
      </c>
      <c r="Q692" s="49">
        <v>15</v>
      </c>
      <c r="R692" s="47">
        <v>16</v>
      </c>
      <c r="S692" s="48">
        <v>17</v>
      </c>
      <c r="T692" s="48">
        <v>18</v>
      </c>
      <c r="U692" s="48">
        <v>19</v>
      </c>
      <c r="V692" s="49">
        <v>20</v>
      </c>
      <c r="W692" s="47">
        <v>21</v>
      </c>
      <c r="X692" s="48">
        <v>22</v>
      </c>
      <c r="Y692" s="48">
        <v>23</v>
      </c>
      <c r="Z692" s="48">
        <v>24</v>
      </c>
      <c r="AA692" s="49">
        <v>25</v>
      </c>
      <c r="AB692" s="30" t="s">
        <v>1</v>
      </c>
    </row>
    <row r="693" spans="1:28" ht="12.75" customHeight="1" thickTop="1" thickBot="1" x14ac:dyDescent="0.3">
      <c r="A693" s="139">
        <f>ESCUADRAS!B133</f>
        <v>127</v>
      </c>
      <c r="B693" s="136">
        <f>ESCUADRAS!C133</f>
        <v>0</v>
      </c>
      <c r="C693" s="129"/>
      <c r="D693" s="114"/>
      <c r="E693" s="114"/>
      <c r="F693" s="114"/>
      <c r="G693" s="117"/>
      <c r="H693" s="111"/>
      <c r="I693" s="105"/>
      <c r="J693" s="105"/>
      <c r="K693" s="105"/>
      <c r="L693" s="108"/>
      <c r="M693" s="111"/>
      <c r="N693" s="105"/>
      <c r="O693" s="105"/>
      <c r="P693" s="105"/>
      <c r="Q693" s="108"/>
      <c r="R693" s="111"/>
      <c r="S693" s="105"/>
      <c r="T693" s="105"/>
      <c r="U693" s="105"/>
      <c r="V693" s="108"/>
      <c r="W693" s="111"/>
      <c r="X693" s="105"/>
      <c r="Y693" s="105"/>
      <c r="Z693" s="105"/>
      <c r="AA693" s="108"/>
      <c r="AB693" s="133"/>
    </row>
    <row r="694" spans="1:28" ht="14.25" customHeight="1" thickTop="1" thickBot="1" x14ac:dyDescent="0.3">
      <c r="A694" s="139"/>
      <c r="B694" s="137"/>
      <c r="C694" s="130"/>
      <c r="D694" s="115"/>
      <c r="E694" s="115"/>
      <c r="F694" s="115"/>
      <c r="G694" s="118"/>
      <c r="H694" s="112"/>
      <c r="I694" s="106"/>
      <c r="J694" s="106"/>
      <c r="K694" s="106"/>
      <c r="L694" s="109"/>
      <c r="M694" s="112"/>
      <c r="N694" s="106"/>
      <c r="O694" s="106"/>
      <c r="P694" s="106"/>
      <c r="Q694" s="109"/>
      <c r="R694" s="112"/>
      <c r="S694" s="106"/>
      <c r="T694" s="106"/>
      <c r="U694" s="106"/>
      <c r="V694" s="109"/>
      <c r="W694" s="112"/>
      <c r="X694" s="106"/>
      <c r="Y694" s="106"/>
      <c r="Z694" s="106"/>
      <c r="AA694" s="109"/>
      <c r="AB694" s="134"/>
    </row>
    <row r="695" spans="1:28" ht="13.5" customHeight="1" thickTop="1" thickBot="1" x14ac:dyDescent="0.3">
      <c r="A695" s="139"/>
      <c r="B695" s="138"/>
      <c r="C695" s="131"/>
      <c r="D695" s="116"/>
      <c r="E695" s="116"/>
      <c r="F695" s="116"/>
      <c r="G695" s="119"/>
      <c r="H695" s="113"/>
      <c r="I695" s="107"/>
      <c r="J695" s="107"/>
      <c r="K695" s="107"/>
      <c r="L695" s="110"/>
      <c r="M695" s="113"/>
      <c r="N695" s="107"/>
      <c r="O695" s="107"/>
      <c r="P695" s="107"/>
      <c r="Q695" s="110"/>
      <c r="R695" s="113"/>
      <c r="S695" s="107"/>
      <c r="T695" s="107"/>
      <c r="U695" s="107"/>
      <c r="V695" s="110"/>
      <c r="W695" s="113"/>
      <c r="X695" s="107"/>
      <c r="Y695" s="107"/>
      <c r="Z695" s="107"/>
      <c r="AA695" s="110"/>
      <c r="AB695" s="135"/>
    </row>
    <row r="696" spans="1:28" ht="14.25" customHeight="1" thickTop="1" x14ac:dyDescent="0.25">
      <c r="A696" s="140">
        <f>ESCUADRAS!B134</f>
        <v>128</v>
      </c>
      <c r="B696" s="136">
        <f>ESCUADRAS!C134</f>
        <v>0</v>
      </c>
      <c r="C696" s="93"/>
      <c r="D696" s="123"/>
      <c r="E696" s="123"/>
      <c r="F696" s="123"/>
      <c r="G696" s="126"/>
      <c r="H696" s="102"/>
      <c r="I696" s="96"/>
      <c r="J696" s="96"/>
      <c r="K696" s="96"/>
      <c r="L696" s="99"/>
      <c r="M696" s="102"/>
      <c r="N696" s="96"/>
      <c r="O696" s="96"/>
      <c r="P696" s="96"/>
      <c r="Q696" s="99"/>
      <c r="R696" s="102"/>
      <c r="S696" s="96"/>
      <c r="T696" s="96"/>
      <c r="U696" s="96"/>
      <c r="V696" s="99"/>
      <c r="W696" s="111"/>
      <c r="X696" s="105"/>
      <c r="Y696" s="105"/>
      <c r="Z696" s="105"/>
      <c r="AA696" s="108"/>
      <c r="AB696" s="133"/>
    </row>
    <row r="697" spans="1:28" ht="14.25" customHeight="1" x14ac:dyDescent="0.25">
      <c r="A697" s="141"/>
      <c r="B697" s="137"/>
      <c r="C697" s="94"/>
      <c r="D697" s="124"/>
      <c r="E697" s="124"/>
      <c r="F697" s="124"/>
      <c r="G697" s="127"/>
      <c r="H697" s="103"/>
      <c r="I697" s="97"/>
      <c r="J697" s="97"/>
      <c r="K697" s="97"/>
      <c r="L697" s="100"/>
      <c r="M697" s="103"/>
      <c r="N697" s="97"/>
      <c r="O697" s="97"/>
      <c r="P697" s="97"/>
      <c r="Q697" s="100"/>
      <c r="R697" s="103"/>
      <c r="S697" s="97"/>
      <c r="T697" s="97"/>
      <c r="U697" s="97"/>
      <c r="V697" s="100"/>
      <c r="W697" s="112"/>
      <c r="X697" s="106"/>
      <c r="Y697" s="106"/>
      <c r="Z697" s="106"/>
      <c r="AA697" s="109"/>
      <c r="AB697" s="134"/>
    </row>
    <row r="698" spans="1:28" ht="13.5" customHeight="1" thickBot="1" x14ac:dyDescent="0.3">
      <c r="A698" s="142"/>
      <c r="B698" s="138"/>
      <c r="C698" s="95"/>
      <c r="D698" s="125"/>
      <c r="E698" s="125"/>
      <c r="F698" s="125"/>
      <c r="G698" s="128"/>
      <c r="H698" s="104"/>
      <c r="I698" s="98"/>
      <c r="J698" s="98"/>
      <c r="K698" s="98"/>
      <c r="L698" s="101"/>
      <c r="M698" s="104"/>
      <c r="N698" s="98"/>
      <c r="O698" s="98"/>
      <c r="P698" s="98"/>
      <c r="Q698" s="101"/>
      <c r="R698" s="104"/>
      <c r="S698" s="98"/>
      <c r="T698" s="98"/>
      <c r="U698" s="98"/>
      <c r="V698" s="101"/>
      <c r="W698" s="113"/>
      <c r="X698" s="107"/>
      <c r="Y698" s="107"/>
      <c r="Z698" s="107"/>
      <c r="AA698" s="110"/>
      <c r="AB698" s="135"/>
    </row>
    <row r="699" spans="1:28" ht="14.25" customHeight="1" thickTop="1" thickBot="1" x14ac:dyDescent="0.3">
      <c r="A699" s="139">
        <f>ESCUADRAS!B135</f>
        <v>129</v>
      </c>
      <c r="B699" s="136">
        <f>ESCUADRAS!C135</f>
        <v>0</v>
      </c>
      <c r="C699" s="93"/>
      <c r="D699" s="123"/>
      <c r="E699" s="123"/>
      <c r="F699" s="123"/>
      <c r="G699" s="126"/>
      <c r="H699" s="102"/>
      <c r="I699" s="96"/>
      <c r="J699" s="96"/>
      <c r="K699" s="96"/>
      <c r="L699" s="99"/>
      <c r="M699" s="102"/>
      <c r="N699" s="96"/>
      <c r="O699" s="96"/>
      <c r="P699" s="96"/>
      <c r="Q699" s="99"/>
      <c r="R699" s="111"/>
      <c r="S699" s="105"/>
      <c r="T699" s="105"/>
      <c r="U699" s="105"/>
      <c r="V699" s="108"/>
      <c r="W699" s="102"/>
      <c r="X699" s="96"/>
      <c r="Y699" s="96"/>
      <c r="Z699" s="96"/>
      <c r="AA699" s="99"/>
      <c r="AB699" s="133"/>
    </row>
    <row r="700" spans="1:28" ht="14.25" customHeight="1" thickTop="1" thickBot="1" x14ac:dyDescent="0.3">
      <c r="A700" s="139"/>
      <c r="B700" s="137"/>
      <c r="C700" s="94"/>
      <c r="D700" s="124"/>
      <c r="E700" s="124"/>
      <c r="F700" s="124"/>
      <c r="G700" s="127"/>
      <c r="H700" s="103"/>
      <c r="I700" s="97"/>
      <c r="J700" s="97"/>
      <c r="K700" s="97"/>
      <c r="L700" s="100"/>
      <c r="M700" s="103"/>
      <c r="N700" s="97"/>
      <c r="O700" s="97"/>
      <c r="P700" s="97"/>
      <c r="Q700" s="100"/>
      <c r="R700" s="112"/>
      <c r="S700" s="106"/>
      <c r="T700" s="106"/>
      <c r="U700" s="106"/>
      <c r="V700" s="109"/>
      <c r="W700" s="103"/>
      <c r="X700" s="97"/>
      <c r="Y700" s="97"/>
      <c r="Z700" s="97"/>
      <c r="AA700" s="100"/>
      <c r="AB700" s="134"/>
    </row>
    <row r="701" spans="1:28" ht="13.5" customHeight="1" thickTop="1" thickBot="1" x14ac:dyDescent="0.3">
      <c r="A701" s="139"/>
      <c r="B701" s="138"/>
      <c r="C701" s="95"/>
      <c r="D701" s="125"/>
      <c r="E701" s="125"/>
      <c r="F701" s="125"/>
      <c r="G701" s="128"/>
      <c r="H701" s="104"/>
      <c r="I701" s="98"/>
      <c r="J701" s="98"/>
      <c r="K701" s="98"/>
      <c r="L701" s="101"/>
      <c r="M701" s="104"/>
      <c r="N701" s="98"/>
      <c r="O701" s="98"/>
      <c r="P701" s="98"/>
      <c r="Q701" s="101"/>
      <c r="R701" s="113"/>
      <c r="S701" s="107"/>
      <c r="T701" s="107"/>
      <c r="U701" s="107"/>
      <c r="V701" s="110"/>
      <c r="W701" s="104"/>
      <c r="X701" s="98"/>
      <c r="Y701" s="98"/>
      <c r="Z701" s="98"/>
      <c r="AA701" s="101"/>
      <c r="AB701" s="135"/>
    </row>
    <row r="702" spans="1:28" ht="13.5" customHeight="1" thickTop="1" x14ac:dyDescent="0.25">
      <c r="A702" s="140">
        <f>ESCUADRAS!B136</f>
        <v>130</v>
      </c>
      <c r="B702" s="136">
        <f>ESCUADRAS!C136</f>
        <v>0</v>
      </c>
      <c r="C702" s="93"/>
      <c r="D702" s="123"/>
      <c r="E702" s="123"/>
      <c r="F702" s="123"/>
      <c r="G702" s="126"/>
      <c r="H702" s="102"/>
      <c r="I702" s="96"/>
      <c r="J702" s="96"/>
      <c r="K702" s="96"/>
      <c r="L702" s="99"/>
      <c r="M702" s="111"/>
      <c r="N702" s="105"/>
      <c r="O702" s="105"/>
      <c r="P702" s="105"/>
      <c r="Q702" s="108"/>
      <c r="R702" s="102"/>
      <c r="S702" s="96"/>
      <c r="T702" s="96"/>
      <c r="U702" s="96"/>
      <c r="V702" s="99"/>
      <c r="W702" s="102"/>
      <c r="X702" s="96"/>
      <c r="Y702" s="96"/>
      <c r="Z702" s="96"/>
      <c r="AA702" s="99"/>
      <c r="AB702" s="133"/>
    </row>
    <row r="703" spans="1:28" ht="14.25" customHeight="1" x14ac:dyDescent="0.25">
      <c r="A703" s="141"/>
      <c r="B703" s="137"/>
      <c r="C703" s="94"/>
      <c r="D703" s="124"/>
      <c r="E703" s="124"/>
      <c r="F703" s="124"/>
      <c r="G703" s="127"/>
      <c r="H703" s="103"/>
      <c r="I703" s="97"/>
      <c r="J703" s="97"/>
      <c r="K703" s="97"/>
      <c r="L703" s="100"/>
      <c r="M703" s="112"/>
      <c r="N703" s="106"/>
      <c r="O703" s="106"/>
      <c r="P703" s="106"/>
      <c r="Q703" s="109"/>
      <c r="R703" s="103"/>
      <c r="S703" s="97"/>
      <c r="T703" s="97"/>
      <c r="U703" s="97"/>
      <c r="V703" s="100"/>
      <c r="W703" s="103"/>
      <c r="X703" s="97"/>
      <c r="Y703" s="97"/>
      <c r="Z703" s="97"/>
      <c r="AA703" s="100"/>
      <c r="AB703" s="134"/>
    </row>
    <row r="704" spans="1:28" ht="13.5" customHeight="1" thickBot="1" x14ac:dyDescent="0.3">
      <c r="A704" s="142"/>
      <c r="B704" s="138"/>
      <c r="C704" s="95"/>
      <c r="D704" s="125"/>
      <c r="E704" s="125"/>
      <c r="F704" s="125"/>
      <c r="G704" s="128"/>
      <c r="H704" s="104"/>
      <c r="I704" s="98"/>
      <c r="J704" s="98"/>
      <c r="K704" s="98"/>
      <c r="L704" s="101"/>
      <c r="M704" s="113"/>
      <c r="N704" s="107"/>
      <c r="O704" s="107"/>
      <c r="P704" s="107"/>
      <c r="Q704" s="110"/>
      <c r="R704" s="104"/>
      <c r="S704" s="98"/>
      <c r="T704" s="98"/>
      <c r="U704" s="98"/>
      <c r="V704" s="101"/>
      <c r="W704" s="104"/>
      <c r="X704" s="98"/>
      <c r="Y704" s="98"/>
      <c r="Z704" s="98"/>
      <c r="AA704" s="101"/>
      <c r="AB704" s="135"/>
    </row>
    <row r="705" spans="1:32" ht="13.5" customHeight="1" thickTop="1" thickBot="1" x14ac:dyDescent="0.3">
      <c r="A705" s="139">
        <f>ESCUADRAS!B137</f>
        <v>131</v>
      </c>
      <c r="B705" s="136">
        <f>ESCUADRAS!C137</f>
        <v>0</v>
      </c>
      <c r="C705" s="93"/>
      <c r="D705" s="123"/>
      <c r="E705" s="123"/>
      <c r="F705" s="123"/>
      <c r="G705" s="126"/>
      <c r="H705" s="111"/>
      <c r="I705" s="105"/>
      <c r="J705" s="105"/>
      <c r="K705" s="105"/>
      <c r="L705" s="108"/>
      <c r="M705" s="102"/>
      <c r="N705" s="96"/>
      <c r="O705" s="96"/>
      <c r="P705" s="96"/>
      <c r="Q705" s="99"/>
      <c r="R705" s="102"/>
      <c r="S705" s="96"/>
      <c r="T705" s="96"/>
      <c r="U705" s="96"/>
      <c r="V705" s="99"/>
      <c r="W705" s="102"/>
      <c r="X705" s="96"/>
      <c r="Y705" s="96"/>
      <c r="Z705" s="96"/>
      <c r="AA705" s="99"/>
      <c r="AB705" s="133"/>
    </row>
    <row r="706" spans="1:32" ht="14.25" customHeight="1" thickTop="1" thickBot="1" x14ac:dyDescent="0.3">
      <c r="A706" s="139"/>
      <c r="B706" s="137"/>
      <c r="C706" s="94"/>
      <c r="D706" s="124"/>
      <c r="E706" s="124"/>
      <c r="F706" s="124"/>
      <c r="G706" s="127"/>
      <c r="H706" s="112"/>
      <c r="I706" s="106"/>
      <c r="J706" s="106"/>
      <c r="K706" s="106"/>
      <c r="L706" s="109"/>
      <c r="M706" s="103"/>
      <c r="N706" s="97"/>
      <c r="O706" s="97"/>
      <c r="P706" s="97"/>
      <c r="Q706" s="100"/>
      <c r="R706" s="103"/>
      <c r="S706" s="97"/>
      <c r="T706" s="97"/>
      <c r="U706" s="97"/>
      <c r="V706" s="100"/>
      <c r="W706" s="103"/>
      <c r="X706" s="97"/>
      <c r="Y706" s="97"/>
      <c r="Z706" s="97"/>
      <c r="AA706" s="100"/>
      <c r="AB706" s="134"/>
    </row>
    <row r="707" spans="1:32" ht="13.5" customHeight="1" thickTop="1" thickBot="1" x14ac:dyDescent="0.3">
      <c r="A707" s="139"/>
      <c r="B707" s="138"/>
      <c r="C707" s="95"/>
      <c r="D707" s="125"/>
      <c r="E707" s="125"/>
      <c r="F707" s="125"/>
      <c r="G707" s="128"/>
      <c r="H707" s="113"/>
      <c r="I707" s="107"/>
      <c r="J707" s="107"/>
      <c r="K707" s="107"/>
      <c r="L707" s="110"/>
      <c r="M707" s="104"/>
      <c r="N707" s="98"/>
      <c r="O707" s="98"/>
      <c r="P707" s="98"/>
      <c r="Q707" s="101"/>
      <c r="R707" s="104"/>
      <c r="S707" s="98"/>
      <c r="T707" s="98"/>
      <c r="U707" s="98"/>
      <c r="V707" s="101"/>
      <c r="W707" s="104"/>
      <c r="X707" s="98"/>
      <c r="Y707" s="98"/>
      <c r="Z707" s="98"/>
      <c r="AA707" s="101"/>
      <c r="AB707" s="135"/>
    </row>
    <row r="708" spans="1:32" ht="12.75" customHeight="1" thickTop="1" x14ac:dyDescent="0.25">
      <c r="A708" s="140">
        <f>ESCUADRAS!B138</f>
        <v>132</v>
      </c>
      <c r="B708" s="136">
        <f>ESCUADRAS!C138</f>
        <v>0</v>
      </c>
      <c r="C708" s="111"/>
      <c r="D708" s="105"/>
      <c r="E708" s="105"/>
      <c r="F708" s="105"/>
      <c r="G708" s="108"/>
      <c r="H708" s="122"/>
      <c r="I708" s="120"/>
      <c r="J708" s="120"/>
      <c r="K708" s="120"/>
      <c r="L708" s="121"/>
      <c r="M708" s="122"/>
      <c r="N708" s="120"/>
      <c r="O708" s="120"/>
      <c r="P708" s="120"/>
      <c r="Q708" s="121"/>
      <c r="R708" s="122"/>
      <c r="S708" s="120"/>
      <c r="T708" s="120"/>
      <c r="U708" s="120"/>
      <c r="V708" s="121"/>
      <c r="W708" s="122"/>
      <c r="X708" s="120"/>
      <c r="Y708" s="120"/>
      <c r="Z708" s="120"/>
      <c r="AA708" s="121"/>
      <c r="AB708" s="133"/>
    </row>
    <row r="709" spans="1:32" ht="14.25" customHeight="1" x14ac:dyDescent="0.25">
      <c r="A709" s="141"/>
      <c r="B709" s="137"/>
      <c r="C709" s="112"/>
      <c r="D709" s="106"/>
      <c r="E709" s="106"/>
      <c r="F709" s="106"/>
      <c r="G709" s="109"/>
      <c r="H709" s="103"/>
      <c r="I709" s="97"/>
      <c r="J709" s="97"/>
      <c r="K709" s="97"/>
      <c r="L709" s="100"/>
      <c r="M709" s="103"/>
      <c r="N709" s="97"/>
      <c r="O709" s="97"/>
      <c r="P709" s="97"/>
      <c r="Q709" s="100"/>
      <c r="R709" s="103"/>
      <c r="S709" s="97"/>
      <c r="T709" s="97"/>
      <c r="U709" s="97"/>
      <c r="V709" s="100"/>
      <c r="W709" s="103"/>
      <c r="X709" s="97"/>
      <c r="Y709" s="97"/>
      <c r="Z709" s="97"/>
      <c r="AA709" s="100"/>
      <c r="AB709" s="134"/>
    </row>
    <row r="710" spans="1:32" ht="13.5" customHeight="1" thickBot="1" x14ac:dyDescent="0.3">
      <c r="A710" s="142"/>
      <c r="B710" s="138"/>
      <c r="C710" s="113"/>
      <c r="D710" s="107"/>
      <c r="E710" s="107"/>
      <c r="F710" s="107"/>
      <c r="G710" s="110"/>
      <c r="H710" s="104"/>
      <c r="I710" s="98"/>
      <c r="J710" s="98"/>
      <c r="K710" s="98"/>
      <c r="L710" s="101"/>
      <c r="M710" s="104"/>
      <c r="N710" s="98"/>
      <c r="O710" s="98"/>
      <c r="P710" s="98"/>
      <c r="Q710" s="101"/>
      <c r="R710" s="104"/>
      <c r="S710" s="98"/>
      <c r="T710" s="98"/>
      <c r="U710" s="98"/>
      <c r="V710" s="101"/>
      <c r="W710" s="104"/>
      <c r="X710" s="98"/>
      <c r="Y710" s="98"/>
      <c r="Z710" s="98"/>
      <c r="AA710" s="101"/>
      <c r="AB710" s="135"/>
    </row>
    <row r="712" spans="1:32" ht="15" x14ac:dyDescent="0.25">
      <c r="A712" s="28"/>
      <c r="B712" s="26" t="s">
        <v>35</v>
      </c>
      <c r="E712" s="21" t="s">
        <v>41</v>
      </c>
      <c r="I712" s="21" t="s">
        <v>42</v>
      </c>
      <c r="M712" s="21" t="s">
        <v>43</v>
      </c>
      <c r="Q712" s="21" t="s">
        <v>44</v>
      </c>
      <c r="U712" s="21" t="s">
        <v>45</v>
      </c>
      <c r="Y712" s="21" t="s">
        <v>46</v>
      </c>
    </row>
    <row r="719" spans="1:32" ht="24.6" x14ac:dyDescent="0.25">
      <c r="A719" s="144" t="str">
        <f>'INSCRIPCION '!A$1</f>
        <v>TIRADA</v>
      </c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</row>
    <row r="720" spans="1:32" ht="24.6" x14ac:dyDescent="0.4">
      <c r="A720" s="23"/>
      <c r="B720" s="23"/>
    </row>
    <row r="721" spans="1:32" ht="22.8" x14ac:dyDescent="0.25">
      <c r="A721" s="132" t="str">
        <f>'INSCRIPCION '!A$2</f>
        <v>CAMPO DE TIRO LA ISLA</v>
      </c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</row>
    <row r="722" spans="1:32" ht="20.399999999999999" x14ac:dyDescent="0.25">
      <c r="A722" s="143" t="str">
        <f>'INSCRIPCION '!A$3</f>
        <v>XXX PLATOS</v>
      </c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</row>
    <row r="723" spans="1:32" ht="22.8" x14ac:dyDescent="0.4">
      <c r="A723" s="24"/>
      <c r="B723" s="24"/>
    </row>
    <row r="724" spans="1:32" ht="17.399999999999999" x14ac:dyDescent="0.3">
      <c r="A724" s="25" t="s">
        <v>32</v>
      </c>
      <c r="B724" s="25"/>
      <c r="J724" s="9" t="s">
        <v>6</v>
      </c>
      <c r="K724" s="9"/>
      <c r="L724" s="9"/>
      <c r="M724" s="9"/>
      <c r="N724" s="9"/>
      <c r="O724" s="22">
        <v>3</v>
      </c>
      <c r="P724" s="22"/>
      <c r="Q724" s="8"/>
      <c r="R724" s="8"/>
      <c r="S724" s="7"/>
      <c r="T724" s="8"/>
      <c r="U724" s="8"/>
      <c r="V724" s="9" t="s">
        <v>7</v>
      </c>
      <c r="W724" s="9"/>
      <c r="X724" s="9"/>
      <c r="Y724" s="9"/>
      <c r="Z724" s="22">
        <v>1</v>
      </c>
      <c r="AA724" s="22"/>
    </row>
    <row r="725" spans="1:32" ht="13.8" thickBot="1" x14ac:dyDescent="0.3"/>
    <row r="726" spans="1:32" ht="15.6" thickBot="1" x14ac:dyDescent="0.3">
      <c r="A726" s="27" t="s">
        <v>0</v>
      </c>
      <c r="B726" s="27" t="s">
        <v>8</v>
      </c>
      <c r="C726" s="47">
        <v>1</v>
      </c>
      <c r="D726" s="48">
        <v>2</v>
      </c>
      <c r="E726" s="48">
        <v>3</v>
      </c>
      <c r="F726" s="48">
        <v>4</v>
      </c>
      <c r="G726" s="49">
        <v>5</v>
      </c>
      <c r="H726" s="47">
        <v>6</v>
      </c>
      <c r="I726" s="48">
        <v>7</v>
      </c>
      <c r="J726" s="48">
        <v>8</v>
      </c>
      <c r="K726" s="48">
        <v>9</v>
      </c>
      <c r="L726" s="49">
        <v>10</v>
      </c>
      <c r="M726" s="47">
        <v>11</v>
      </c>
      <c r="N726" s="48">
        <v>12</v>
      </c>
      <c r="O726" s="48">
        <v>13</v>
      </c>
      <c r="P726" s="48">
        <v>14</v>
      </c>
      <c r="Q726" s="49">
        <v>15</v>
      </c>
      <c r="R726" s="47">
        <v>16</v>
      </c>
      <c r="S726" s="48">
        <v>17</v>
      </c>
      <c r="T726" s="48">
        <v>18</v>
      </c>
      <c r="U726" s="48">
        <v>19</v>
      </c>
      <c r="V726" s="49">
        <v>20</v>
      </c>
      <c r="W726" s="47">
        <v>21</v>
      </c>
      <c r="X726" s="48">
        <v>22</v>
      </c>
      <c r="Y726" s="48">
        <v>23</v>
      </c>
      <c r="Z726" s="48">
        <v>24</v>
      </c>
      <c r="AA726" s="49">
        <v>25</v>
      </c>
      <c r="AB726" s="30" t="s">
        <v>1</v>
      </c>
    </row>
    <row r="727" spans="1:32" ht="12.75" customHeight="1" thickTop="1" thickBot="1" x14ac:dyDescent="0.3">
      <c r="A727" s="139">
        <f>ESCUADRAS!B139</f>
        <v>133</v>
      </c>
      <c r="B727" s="136">
        <f>ESCUADRAS!C139</f>
        <v>0</v>
      </c>
      <c r="C727" s="129"/>
      <c r="D727" s="114"/>
      <c r="E727" s="114"/>
      <c r="F727" s="114"/>
      <c r="G727" s="117"/>
      <c r="H727" s="111"/>
      <c r="I727" s="105"/>
      <c r="J727" s="105"/>
      <c r="K727" s="105"/>
      <c r="L727" s="108"/>
      <c r="M727" s="111"/>
      <c r="N727" s="105"/>
      <c r="O727" s="105"/>
      <c r="P727" s="105"/>
      <c r="Q727" s="108"/>
      <c r="R727" s="111"/>
      <c r="S727" s="105"/>
      <c r="T727" s="105"/>
      <c r="U727" s="105"/>
      <c r="V727" s="108"/>
      <c r="W727" s="111"/>
      <c r="X727" s="105"/>
      <c r="Y727" s="105"/>
      <c r="Z727" s="105"/>
      <c r="AA727" s="108"/>
      <c r="AB727" s="133"/>
    </row>
    <row r="728" spans="1:32" ht="14.25" customHeight="1" thickTop="1" thickBot="1" x14ac:dyDescent="0.3">
      <c r="A728" s="139"/>
      <c r="B728" s="137"/>
      <c r="C728" s="130"/>
      <c r="D728" s="115"/>
      <c r="E728" s="115"/>
      <c r="F728" s="115"/>
      <c r="G728" s="118"/>
      <c r="H728" s="112"/>
      <c r="I728" s="106"/>
      <c r="J728" s="106"/>
      <c r="K728" s="106"/>
      <c r="L728" s="109"/>
      <c r="M728" s="112"/>
      <c r="N728" s="106"/>
      <c r="O728" s="106"/>
      <c r="P728" s="106"/>
      <c r="Q728" s="109"/>
      <c r="R728" s="112"/>
      <c r="S728" s="106"/>
      <c r="T728" s="106"/>
      <c r="U728" s="106"/>
      <c r="V728" s="109"/>
      <c r="W728" s="112"/>
      <c r="X728" s="106"/>
      <c r="Y728" s="106"/>
      <c r="Z728" s="106"/>
      <c r="AA728" s="109"/>
      <c r="AB728" s="134"/>
    </row>
    <row r="729" spans="1:32" ht="13.5" customHeight="1" thickTop="1" thickBot="1" x14ac:dyDescent="0.3">
      <c r="A729" s="139"/>
      <c r="B729" s="138"/>
      <c r="C729" s="131"/>
      <c r="D729" s="116"/>
      <c r="E729" s="116"/>
      <c r="F729" s="116"/>
      <c r="G729" s="119"/>
      <c r="H729" s="113"/>
      <c r="I729" s="107"/>
      <c r="J729" s="107"/>
      <c r="K729" s="107"/>
      <c r="L729" s="110"/>
      <c r="M729" s="113"/>
      <c r="N729" s="107"/>
      <c r="O729" s="107"/>
      <c r="P729" s="107"/>
      <c r="Q729" s="110"/>
      <c r="R729" s="113"/>
      <c r="S729" s="107"/>
      <c r="T729" s="107"/>
      <c r="U729" s="107"/>
      <c r="V729" s="110"/>
      <c r="W729" s="113"/>
      <c r="X729" s="107"/>
      <c r="Y729" s="107"/>
      <c r="Z729" s="107"/>
      <c r="AA729" s="110"/>
      <c r="AB729" s="135"/>
    </row>
    <row r="730" spans="1:32" ht="14.25" customHeight="1" thickTop="1" x14ac:dyDescent="0.25">
      <c r="A730" s="140">
        <f>ESCUADRAS!B140</f>
        <v>134</v>
      </c>
      <c r="B730" s="136">
        <f>ESCUADRAS!C140</f>
        <v>0</v>
      </c>
      <c r="C730" s="93"/>
      <c r="D730" s="123"/>
      <c r="E730" s="123"/>
      <c r="F730" s="123"/>
      <c r="G730" s="126"/>
      <c r="H730" s="102"/>
      <c r="I730" s="96"/>
      <c r="J730" s="96"/>
      <c r="K730" s="96"/>
      <c r="L730" s="99"/>
      <c r="M730" s="102"/>
      <c r="N730" s="96"/>
      <c r="O730" s="96"/>
      <c r="P730" s="96"/>
      <c r="Q730" s="99"/>
      <c r="R730" s="102"/>
      <c r="S730" s="96"/>
      <c r="T730" s="96"/>
      <c r="U730" s="96"/>
      <c r="V730" s="99"/>
      <c r="W730" s="111"/>
      <c r="X730" s="105"/>
      <c r="Y730" s="105"/>
      <c r="Z730" s="105"/>
      <c r="AA730" s="108"/>
      <c r="AB730" s="133"/>
    </row>
    <row r="731" spans="1:32" ht="14.25" customHeight="1" x14ac:dyDescent="0.25">
      <c r="A731" s="141"/>
      <c r="B731" s="137"/>
      <c r="C731" s="94"/>
      <c r="D731" s="124"/>
      <c r="E731" s="124"/>
      <c r="F731" s="124"/>
      <c r="G731" s="127"/>
      <c r="H731" s="103"/>
      <c r="I731" s="97"/>
      <c r="J731" s="97"/>
      <c r="K731" s="97"/>
      <c r="L731" s="100"/>
      <c r="M731" s="103"/>
      <c r="N731" s="97"/>
      <c r="O731" s="97"/>
      <c r="P731" s="97"/>
      <c r="Q731" s="100"/>
      <c r="R731" s="103"/>
      <c r="S731" s="97"/>
      <c r="T731" s="97"/>
      <c r="U731" s="97"/>
      <c r="V731" s="100"/>
      <c r="W731" s="112"/>
      <c r="X731" s="106"/>
      <c r="Y731" s="106"/>
      <c r="Z731" s="106"/>
      <c r="AA731" s="109"/>
      <c r="AB731" s="134"/>
    </row>
    <row r="732" spans="1:32" ht="13.5" customHeight="1" thickBot="1" x14ac:dyDescent="0.3">
      <c r="A732" s="142"/>
      <c r="B732" s="138"/>
      <c r="C732" s="95"/>
      <c r="D732" s="125"/>
      <c r="E732" s="125"/>
      <c r="F732" s="125"/>
      <c r="G732" s="128"/>
      <c r="H732" s="104"/>
      <c r="I732" s="98"/>
      <c r="J732" s="98"/>
      <c r="K732" s="98"/>
      <c r="L732" s="101"/>
      <c r="M732" s="104"/>
      <c r="N732" s="98"/>
      <c r="O732" s="98"/>
      <c r="P732" s="98"/>
      <c r="Q732" s="101"/>
      <c r="R732" s="104"/>
      <c r="S732" s="98"/>
      <c r="T732" s="98"/>
      <c r="U732" s="98"/>
      <c r="V732" s="101"/>
      <c r="W732" s="113"/>
      <c r="X732" s="107"/>
      <c r="Y732" s="107"/>
      <c r="Z732" s="107"/>
      <c r="AA732" s="110"/>
      <c r="AB732" s="135"/>
    </row>
    <row r="733" spans="1:32" ht="14.25" customHeight="1" thickTop="1" thickBot="1" x14ac:dyDescent="0.3">
      <c r="A733" s="139">
        <f>ESCUADRAS!B141</f>
        <v>135</v>
      </c>
      <c r="B733" s="136">
        <f>ESCUADRAS!C141</f>
        <v>0</v>
      </c>
      <c r="C733" s="93"/>
      <c r="D733" s="123"/>
      <c r="E733" s="123"/>
      <c r="F733" s="123"/>
      <c r="G733" s="126"/>
      <c r="H733" s="102"/>
      <c r="I733" s="96"/>
      <c r="J733" s="96"/>
      <c r="K733" s="96"/>
      <c r="L733" s="99"/>
      <c r="M733" s="102"/>
      <c r="N733" s="96"/>
      <c r="O733" s="96"/>
      <c r="P733" s="96"/>
      <c r="Q733" s="99"/>
      <c r="R733" s="111"/>
      <c r="S733" s="105"/>
      <c r="T733" s="105"/>
      <c r="U733" s="105"/>
      <c r="V733" s="108"/>
      <c r="W733" s="102"/>
      <c r="X733" s="96"/>
      <c r="Y733" s="96"/>
      <c r="Z733" s="96"/>
      <c r="AA733" s="99"/>
      <c r="AB733" s="133"/>
    </row>
    <row r="734" spans="1:32" ht="14.25" customHeight="1" thickTop="1" thickBot="1" x14ac:dyDescent="0.3">
      <c r="A734" s="139"/>
      <c r="B734" s="137"/>
      <c r="C734" s="94"/>
      <c r="D734" s="124"/>
      <c r="E734" s="124"/>
      <c r="F734" s="124"/>
      <c r="G734" s="127"/>
      <c r="H734" s="103"/>
      <c r="I734" s="97"/>
      <c r="J734" s="97"/>
      <c r="K734" s="97"/>
      <c r="L734" s="100"/>
      <c r="M734" s="103"/>
      <c r="N734" s="97"/>
      <c r="O734" s="97"/>
      <c r="P734" s="97"/>
      <c r="Q734" s="100"/>
      <c r="R734" s="112"/>
      <c r="S734" s="106"/>
      <c r="T734" s="106"/>
      <c r="U734" s="106"/>
      <c r="V734" s="109"/>
      <c r="W734" s="103"/>
      <c r="X734" s="97"/>
      <c r="Y734" s="97"/>
      <c r="Z734" s="97"/>
      <c r="AA734" s="100"/>
      <c r="AB734" s="134"/>
    </row>
    <row r="735" spans="1:32" ht="13.5" customHeight="1" thickTop="1" thickBot="1" x14ac:dyDescent="0.3">
      <c r="A735" s="139"/>
      <c r="B735" s="138"/>
      <c r="C735" s="95"/>
      <c r="D735" s="125"/>
      <c r="E735" s="125"/>
      <c r="F735" s="125"/>
      <c r="G735" s="128"/>
      <c r="H735" s="104"/>
      <c r="I735" s="98"/>
      <c r="J735" s="98"/>
      <c r="K735" s="98"/>
      <c r="L735" s="101"/>
      <c r="M735" s="104"/>
      <c r="N735" s="98"/>
      <c r="O735" s="98"/>
      <c r="P735" s="98"/>
      <c r="Q735" s="101"/>
      <c r="R735" s="113"/>
      <c r="S735" s="107"/>
      <c r="T735" s="107"/>
      <c r="U735" s="107"/>
      <c r="V735" s="110"/>
      <c r="W735" s="104"/>
      <c r="X735" s="98"/>
      <c r="Y735" s="98"/>
      <c r="Z735" s="98"/>
      <c r="AA735" s="101"/>
      <c r="AB735" s="135"/>
    </row>
    <row r="736" spans="1:32" ht="13.5" customHeight="1" thickTop="1" x14ac:dyDescent="0.25">
      <c r="A736" s="140">
        <f>ESCUADRAS!B142</f>
        <v>136</v>
      </c>
      <c r="B736" s="136">
        <f>ESCUADRAS!C142</f>
        <v>0</v>
      </c>
      <c r="C736" s="93"/>
      <c r="D736" s="123"/>
      <c r="E736" s="123"/>
      <c r="F736" s="123"/>
      <c r="G736" s="126"/>
      <c r="H736" s="102"/>
      <c r="I736" s="96"/>
      <c r="J736" s="96"/>
      <c r="K736" s="96"/>
      <c r="L736" s="99"/>
      <c r="M736" s="111"/>
      <c r="N736" s="105"/>
      <c r="O736" s="105"/>
      <c r="P736" s="105"/>
      <c r="Q736" s="108"/>
      <c r="R736" s="102"/>
      <c r="S736" s="96"/>
      <c r="T736" s="96"/>
      <c r="U736" s="96"/>
      <c r="V736" s="99"/>
      <c r="W736" s="102"/>
      <c r="X736" s="96"/>
      <c r="Y736" s="96"/>
      <c r="Z736" s="96"/>
      <c r="AA736" s="99"/>
      <c r="AB736" s="133"/>
    </row>
    <row r="737" spans="1:28" ht="14.25" customHeight="1" x14ac:dyDescent="0.25">
      <c r="A737" s="141"/>
      <c r="B737" s="137"/>
      <c r="C737" s="94"/>
      <c r="D737" s="124"/>
      <c r="E737" s="124"/>
      <c r="F737" s="124"/>
      <c r="G737" s="127"/>
      <c r="H737" s="103"/>
      <c r="I737" s="97"/>
      <c r="J737" s="97"/>
      <c r="K737" s="97"/>
      <c r="L737" s="100"/>
      <c r="M737" s="112"/>
      <c r="N737" s="106"/>
      <c r="O737" s="106"/>
      <c r="P737" s="106"/>
      <c r="Q737" s="109"/>
      <c r="R737" s="103"/>
      <c r="S737" s="97"/>
      <c r="T737" s="97"/>
      <c r="U737" s="97"/>
      <c r="V737" s="100"/>
      <c r="W737" s="103"/>
      <c r="X737" s="97"/>
      <c r="Y737" s="97"/>
      <c r="Z737" s="97"/>
      <c r="AA737" s="100"/>
      <c r="AB737" s="134"/>
    </row>
    <row r="738" spans="1:28" ht="13.5" customHeight="1" thickBot="1" x14ac:dyDescent="0.3">
      <c r="A738" s="142"/>
      <c r="B738" s="138"/>
      <c r="C738" s="95"/>
      <c r="D738" s="125"/>
      <c r="E738" s="125"/>
      <c r="F738" s="125"/>
      <c r="G738" s="128"/>
      <c r="H738" s="104"/>
      <c r="I738" s="98"/>
      <c r="J738" s="98"/>
      <c r="K738" s="98"/>
      <c r="L738" s="101"/>
      <c r="M738" s="113"/>
      <c r="N738" s="107"/>
      <c r="O738" s="107"/>
      <c r="P738" s="107"/>
      <c r="Q738" s="110"/>
      <c r="R738" s="104"/>
      <c r="S738" s="98"/>
      <c r="T738" s="98"/>
      <c r="U738" s="98"/>
      <c r="V738" s="101"/>
      <c r="W738" s="104"/>
      <c r="X738" s="98"/>
      <c r="Y738" s="98"/>
      <c r="Z738" s="98"/>
      <c r="AA738" s="101"/>
      <c r="AB738" s="135"/>
    </row>
    <row r="739" spans="1:28" ht="13.5" customHeight="1" thickTop="1" thickBot="1" x14ac:dyDescent="0.3">
      <c r="A739" s="139">
        <f>ESCUADRAS!B143</f>
        <v>137</v>
      </c>
      <c r="B739" s="136">
        <f>ESCUADRAS!C143</f>
        <v>0</v>
      </c>
      <c r="C739" s="93"/>
      <c r="D739" s="123"/>
      <c r="E739" s="123"/>
      <c r="F739" s="123"/>
      <c r="G739" s="126"/>
      <c r="H739" s="111"/>
      <c r="I739" s="105"/>
      <c r="J739" s="105"/>
      <c r="K739" s="105"/>
      <c r="L739" s="108"/>
      <c r="M739" s="102"/>
      <c r="N739" s="96"/>
      <c r="O739" s="96"/>
      <c r="P739" s="96"/>
      <c r="Q739" s="99"/>
      <c r="R739" s="102"/>
      <c r="S739" s="96"/>
      <c r="T739" s="96"/>
      <c r="U739" s="96"/>
      <c r="V739" s="99"/>
      <c r="W739" s="102"/>
      <c r="X739" s="96"/>
      <c r="Y739" s="96"/>
      <c r="Z739" s="96"/>
      <c r="AA739" s="99"/>
      <c r="AB739" s="133"/>
    </row>
    <row r="740" spans="1:28" ht="14.25" customHeight="1" thickTop="1" thickBot="1" x14ac:dyDescent="0.3">
      <c r="A740" s="139"/>
      <c r="B740" s="137"/>
      <c r="C740" s="94"/>
      <c r="D740" s="124"/>
      <c r="E740" s="124"/>
      <c r="F740" s="124"/>
      <c r="G740" s="127"/>
      <c r="H740" s="112"/>
      <c r="I740" s="106"/>
      <c r="J740" s="106"/>
      <c r="K740" s="106"/>
      <c r="L740" s="109"/>
      <c r="M740" s="103"/>
      <c r="N740" s="97"/>
      <c r="O740" s="97"/>
      <c r="P740" s="97"/>
      <c r="Q740" s="100"/>
      <c r="R740" s="103"/>
      <c r="S740" s="97"/>
      <c r="T740" s="97"/>
      <c r="U740" s="97"/>
      <c r="V740" s="100"/>
      <c r="W740" s="103"/>
      <c r="X740" s="97"/>
      <c r="Y740" s="97"/>
      <c r="Z740" s="97"/>
      <c r="AA740" s="100"/>
      <c r="AB740" s="134"/>
    </row>
    <row r="741" spans="1:28" ht="13.5" customHeight="1" thickTop="1" thickBot="1" x14ac:dyDescent="0.3">
      <c r="A741" s="139"/>
      <c r="B741" s="138"/>
      <c r="C741" s="95"/>
      <c r="D741" s="125"/>
      <c r="E741" s="125"/>
      <c r="F741" s="125"/>
      <c r="G741" s="128"/>
      <c r="H741" s="113"/>
      <c r="I741" s="107"/>
      <c r="J741" s="107"/>
      <c r="K741" s="107"/>
      <c r="L741" s="110"/>
      <c r="M741" s="104"/>
      <c r="N741" s="98"/>
      <c r="O741" s="98"/>
      <c r="P741" s="98"/>
      <c r="Q741" s="101"/>
      <c r="R741" s="104"/>
      <c r="S741" s="98"/>
      <c r="T741" s="98"/>
      <c r="U741" s="98"/>
      <c r="V741" s="101"/>
      <c r="W741" s="104"/>
      <c r="X741" s="98"/>
      <c r="Y741" s="98"/>
      <c r="Z741" s="98"/>
      <c r="AA741" s="101"/>
      <c r="AB741" s="135"/>
    </row>
    <row r="742" spans="1:28" ht="12.75" customHeight="1" thickTop="1" x14ac:dyDescent="0.25">
      <c r="A742" s="140">
        <f>ESCUADRAS!B144</f>
        <v>138</v>
      </c>
      <c r="B742" s="136">
        <f>ESCUADRAS!C144</f>
        <v>0</v>
      </c>
      <c r="C742" s="111"/>
      <c r="D742" s="105"/>
      <c r="E742" s="105"/>
      <c r="F742" s="105"/>
      <c r="G742" s="108"/>
      <c r="H742" s="122"/>
      <c r="I742" s="120"/>
      <c r="J742" s="120"/>
      <c r="K742" s="120"/>
      <c r="L742" s="121"/>
      <c r="M742" s="122"/>
      <c r="N742" s="120"/>
      <c r="O742" s="120"/>
      <c r="P742" s="120"/>
      <c r="Q742" s="121"/>
      <c r="R742" s="122"/>
      <c r="S742" s="120"/>
      <c r="T742" s="120"/>
      <c r="U742" s="120"/>
      <c r="V742" s="121"/>
      <c r="W742" s="122"/>
      <c r="X742" s="120"/>
      <c r="Y742" s="120"/>
      <c r="Z742" s="120"/>
      <c r="AA742" s="121"/>
      <c r="AB742" s="133"/>
    </row>
    <row r="743" spans="1:28" ht="14.25" customHeight="1" x14ac:dyDescent="0.25">
      <c r="A743" s="141"/>
      <c r="B743" s="137"/>
      <c r="C743" s="112"/>
      <c r="D743" s="106"/>
      <c r="E743" s="106"/>
      <c r="F743" s="106"/>
      <c r="G743" s="109"/>
      <c r="H743" s="103"/>
      <c r="I743" s="97"/>
      <c r="J743" s="97"/>
      <c r="K743" s="97"/>
      <c r="L743" s="100"/>
      <c r="M743" s="103"/>
      <c r="N743" s="97"/>
      <c r="O743" s="97"/>
      <c r="P743" s="97"/>
      <c r="Q743" s="100"/>
      <c r="R743" s="103"/>
      <c r="S743" s="97"/>
      <c r="T743" s="97"/>
      <c r="U743" s="97"/>
      <c r="V743" s="100"/>
      <c r="W743" s="103"/>
      <c r="X743" s="97"/>
      <c r="Y743" s="97"/>
      <c r="Z743" s="97"/>
      <c r="AA743" s="100"/>
      <c r="AB743" s="134"/>
    </row>
    <row r="744" spans="1:28" ht="13.5" customHeight="1" thickBot="1" x14ac:dyDescent="0.3">
      <c r="A744" s="142"/>
      <c r="B744" s="138"/>
      <c r="C744" s="113"/>
      <c r="D744" s="107"/>
      <c r="E744" s="107"/>
      <c r="F744" s="107"/>
      <c r="G744" s="110"/>
      <c r="H744" s="104"/>
      <c r="I744" s="98"/>
      <c r="J744" s="98"/>
      <c r="K744" s="98"/>
      <c r="L744" s="101"/>
      <c r="M744" s="104"/>
      <c r="N744" s="98"/>
      <c r="O744" s="98"/>
      <c r="P744" s="98"/>
      <c r="Q744" s="101"/>
      <c r="R744" s="104"/>
      <c r="S744" s="98"/>
      <c r="T744" s="98"/>
      <c r="U744" s="98"/>
      <c r="V744" s="101"/>
      <c r="W744" s="104"/>
      <c r="X744" s="98"/>
      <c r="Y744" s="98"/>
      <c r="Z744" s="98"/>
      <c r="AA744" s="101"/>
      <c r="AB744" s="135"/>
    </row>
    <row r="746" spans="1:28" ht="15" x14ac:dyDescent="0.25">
      <c r="A746" s="28"/>
      <c r="B746" s="26" t="s">
        <v>35</v>
      </c>
      <c r="E746" s="21" t="s">
        <v>41</v>
      </c>
      <c r="I746" s="21" t="s">
        <v>42</v>
      </c>
      <c r="M746" s="21" t="s">
        <v>43</v>
      </c>
      <c r="Q746" s="21" t="s">
        <v>44</v>
      </c>
      <c r="U746" s="21" t="s">
        <v>45</v>
      </c>
      <c r="Y746" s="21" t="s">
        <v>46</v>
      </c>
    </row>
    <row r="753" spans="1:32" ht="24.6" x14ac:dyDescent="0.25">
      <c r="A753" s="144" t="str">
        <f>'INSCRIPCION '!A$1</f>
        <v>TIRADA</v>
      </c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</row>
    <row r="754" spans="1:32" ht="24.6" x14ac:dyDescent="0.4">
      <c r="A754" s="23"/>
      <c r="B754" s="23"/>
    </row>
    <row r="755" spans="1:32" ht="22.8" x14ac:dyDescent="0.25">
      <c r="A755" s="132" t="str">
        <f>'INSCRIPCION '!A$2</f>
        <v>CAMPO DE TIRO LA ISLA</v>
      </c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</row>
    <row r="756" spans="1:32" ht="20.399999999999999" x14ac:dyDescent="0.25">
      <c r="A756" s="143" t="str">
        <f>'INSCRIPCION '!A$3</f>
        <v>XXX PLATOS</v>
      </c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</row>
    <row r="757" spans="1:32" ht="22.8" x14ac:dyDescent="0.4">
      <c r="A757" s="24"/>
      <c r="B757" s="24"/>
    </row>
    <row r="758" spans="1:32" ht="17.399999999999999" x14ac:dyDescent="0.3">
      <c r="A758" s="25" t="s">
        <v>33</v>
      </c>
      <c r="B758" s="25"/>
      <c r="J758" s="9" t="s">
        <v>6</v>
      </c>
      <c r="K758" s="9"/>
      <c r="L758" s="9"/>
      <c r="M758" s="9"/>
      <c r="N758" s="9"/>
      <c r="O758" s="22">
        <v>4</v>
      </c>
      <c r="P758" s="22"/>
      <c r="Q758" s="8"/>
      <c r="R758" s="8"/>
      <c r="S758" s="7"/>
      <c r="T758" s="8"/>
      <c r="U758" s="8"/>
      <c r="V758" s="9" t="s">
        <v>7</v>
      </c>
      <c r="W758" s="9"/>
      <c r="X758" s="9"/>
      <c r="Y758" s="9"/>
      <c r="Z758" s="22">
        <v>1</v>
      </c>
      <c r="AA758" s="22"/>
    </row>
    <row r="759" spans="1:32" ht="13.8" thickBot="1" x14ac:dyDescent="0.3"/>
    <row r="760" spans="1:32" ht="15.6" thickBot="1" x14ac:dyDescent="0.3">
      <c r="A760" s="27" t="s">
        <v>0</v>
      </c>
      <c r="B760" s="27" t="s">
        <v>8</v>
      </c>
      <c r="C760" s="47">
        <v>1</v>
      </c>
      <c r="D760" s="48">
        <v>2</v>
      </c>
      <c r="E760" s="48">
        <v>3</v>
      </c>
      <c r="F760" s="48">
        <v>4</v>
      </c>
      <c r="G760" s="49">
        <v>5</v>
      </c>
      <c r="H760" s="47">
        <v>6</v>
      </c>
      <c r="I760" s="48">
        <v>7</v>
      </c>
      <c r="J760" s="48">
        <v>8</v>
      </c>
      <c r="K760" s="48">
        <v>9</v>
      </c>
      <c r="L760" s="49">
        <v>10</v>
      </c>
      <c r="M760" s="47">
        <v>11</v>
      </c>
      <c r="N760" s="48">
        <v>12</v>
      </c>
      <c r="O760" s="48">
        <v>13</v>
      </c>
      <c r="P760" s="48">
        <v>14</v>
      </c>
      <c r="Q760" s="49">
        <v>15</v>
      </c>
      <c r="R760" s="47">
        <v>16</v>
      </c>
      <c r="S760" s="48">
        <v>17</v>
      </c>
      <c r="T760" s="48">
        <v>18</v>
      </c>
      <c r="U760" s="48">
        <v>19</v>
      </c>
      <c r="V760" s="49">
        <v>20</v>
      </c>
      <c r="W760" s="47">
        <v>21</v>
      </c>
      <c r="X760" s="48">
        <v>22</v>
      </c>
      <c r="Y760" s="48">
        <v>23</v>
      </c>
      <c r="Z760" s="48">
        <v>24</v>
      </c>
      <c r="AA760" s="49">
        <v>25</v>
      </c>
      <c r="AB760" s="30" t="s">
        <v>1</v>
      </c>
    </row>
    <row r="761" spans="1:32" ht="14.25" customHeight="1" thickTop="1" thickBot="1" x14ac:dyDescent="0.3">
      <c r="A761" s="139">
        <f>ESCUADRAS!B145</f>
        <v>139</v>
      </c>
      <c r="B761" s="136">
        <f>ESCUADRAS!C145</f>
        <v>0</v>
      </c>
      <c r="C761" s="129"/>
      <c r="D761" s="114"/>
      <c r="E761" s="114"/>
      <c r="F761" s="114"/>
      <c r="G761" s="117"/>
      <c r="H761" s="111"/>
      <c r="I761" s="105"/>
      <c r="J761" s="105"/>
      <c r="K761" s="105"/>
      <c r="L761" s="108"/>
      <c r="M761" s="111"/>
      <c r="N761" s="105"/>
      <c r="O761" s="105"/>
      <c r="P761" s="105"/>
      <c r="Q761" s="108"/>
      <c r="R761" s="111"/>
      <c r="S761" s="105"/>
      <c r="T761" s="105"/>
      <c r="U761" s="105"/>
      <c r="V761" s="108"/>
      <c r="W761" s="111"/>
      <c r="X761" s="105"/>
      <c r="Y761" s="105"/>
      <c r="Z761" s="105"/>
      <c r="AA761" s="108"/>
      <c r="AB761" s="133"/>
    </row>
    <row r="762" spans="1:32" ht="14.25" customHeight="1" thickTop="1" thickBot="1" x14ac:dyDescent="0.3">
      <c r="A762" s="139"/>
      <c r="B762" s="137"/>
      <c r="C762" s="130"/>
      <c r="D762" s="115"/>
      <c r="E762" s="115"/>
      <c r="F762" s="115"/>
      <c r="G762" s="118"/>
      <c r="H762" s="112"/>
      <c r="I762" s="106"/>
      <c r="J762" s="106"/>
      <c r="K762" s="106"/>
      <c r="L762" s="109"/>
      <c r="M762" s="112"/>
      <c r="N762" s="106"/>
      <c r="O762" s="106"/>
      <c r="P762" s="106"/>
      <c r="Q762" s="109"/>
      <c r="R762" s="112"/>
      <c r="S762" s="106"/>
      <c r="T762" s="106"/>
      <c r="U762" s="106"/>
      <c r="V762" s="109"/>
      <c r="W762" s="112"/>
      <c r="X762" s="106"/>
      <c r="Y762" s="106"/>
      <c r="Z762" s="106"/>
      <c r="AA762" s="109"/>
      <c r="AB762" s="134"/>
    </row>
    <row r="763" spans="1:32" ht="13.5" customHeight="1" thickTop="1" thickBot="1" x14ac:dyDescent="0.3">
      <c r="A763" s="139"/>
      <c r="B763" s="138"/>
      <c r="C763" s="131"/>
      <c r="D763" s="116"/>
      <c r="E763" s="116"/>
      <c r="F763" s="116"/>
      <c r="G763" s="119"/>
      <c r="H763" s="113"/>
      <c r="I763" s="107"/>
      <c r="J763" s="107"/>
      <c r="K763" s="107"/>
      <c r="L763" s="110"/>
      <c r="M763" s="113"/>
      <c r="N763" s="107"/>
      <c r="O763" s="107"/>
      <c r="P763" s="107"/>
      <c r="Q763" s="110"/>
      <c r="R763" s="113"/>
      <c r="S763" s="107"/>
      <c r="T763" s="107"/>
      <c r="U763" s="107"/>
      <c r="V763" s="110"/>
      <c r="W763" s="113"/>
      <c r="X763" s="107"/>
      <c r="Y763" s="107"/>
      <c r="Z763" s="107"/>
      <c r="AA763" s="110"/>
      <c r="AB763" s="135"/>
    </row>
    <row r="764" spans="1:32" ht="14.25" customHeight="1" thickTop="1" x14ac:dyDescent="0.25">
      <c r="A764" s="140">
        <f>ESCUADRAS!B146</f>
        <v>140</v>
      </c>
      <c r="B764" s="136">
        <f>ESCUADRAS!C146</f>
        <v>0</v>
      </c>
      <c r="C764" s="93"/>
      <c r="D764" s="123"/>
      <c r="E764" s="123"/>
      <c r="F764" s="123"/>
      <c r="G764" s="126"/>
      <c r="H764" s="102"/>
      <c r="I764" s="96"/>
      <c r="J764" s="96"/>
      <c r="K764" s="96"/>
      <c r="L764" s="99"/>
      <c r="M764" s="102"/>
      <c r="N764" s="96"/>
      <c r="O764" s="96"/>
      <c r="P764" s="96"/>
      <c r="Q764" s="99"/>
      <c r="R764" s="102"/>
      <c r="S764" s="96"/>
      <c r="T764" s="96"/>
      <c r="U764" s="96"/>
      <c r="V764" s="99"/>
      <c r="W764" s="111"/>
      <c r="X764" s="105"/>
      <c r="Y764" s="105"/>
      <c r="Z764" s="105"/>
      <c r="AA764" s="108"/>
      <c r="AB764" s="133"/>
    </row>
    <row r="765" spans="1:32" ht="14.25" customHeight="1" x14ac:dyDescent="0.25">
      <c r="A765" s="141"/>
      <c r="B765" s="137"/>
      <c r="C765" s="94"/>
      <c r="D765" s="124"/>
      <c r="E765" s="124"/>
      <c r="F765" s="124"/>
      <c r="G765" s="127"/>
      <c r="H765" s="103"/>
      <c r="I765" s="97"/>
      <c r="J765" s="97"/>
      <c r="K765" s="97"/>
      <c r="L765" s="100"/>
      <c r="M765" s="103"/>
      <c r="N765" s="97"/>
      <c r="O765" s="97"/>
      <c r="P765" s="97"/>
      <c r="Q765" s="100"/>
      <c r="R765" s="103"/>
      <c r="S765" s="97"/>
      <c r="T765" s="97"/>
      <c r="U765" s="97"/>
      <c r="V765" s="100"/>
      <c r="W765" s="112"/>
      <c r="X765" s="106"/>
      <c r="Y765" s="106"/>
      <c r="Z765" s="106"/>
      <c r="AA765" s="109"/>
      <c r="AB765" s="134"/>
    </row>
    <row r="766" spans="1:32" ht="13.5" customHeight="1" thickBot="1" x14ac:dyDescent="0.3">
      <c r="A766" s="142"/>
      <c r="B766" s="138"/>
      <c r="C766" s="95"/>
      <c r="D766" s="125"/>
      <c r="E766" s="125"/>
      <c r="F766" s="125"/>
      <c r="G766" s="128"/>
      <c r="H766" s="104"/>
      <c r="I766" s="98"/>
      <c r="J766" s="98"/>
      <c r="K766" s="98"/>
      <c r="L766" s="101"/>
      <c r="M766" s="104"/>
      <c r="N766" s="98"/>
      <c r="O766" s="98"/>
      <c r="P766" s="98"/>
      <c r="Q766" s="101"/>
      <c r="R766" s="104"/>
      <c r="S766" s="98"/>
      <c r="T766" s="98"/>
      <c r="U766" s="98"/>
      <c r="V766" s="101"/>
      <c r="W766" s="113"/>
      <c r="X766" s="107"/>
      <c r="Y766" s="107"/>
      <c r="Z766" s="107"/>
      <c r="AA766" s="110"/>
      <c r="AB766" s="135"/>
    </row>
    <row r="767" spans="1:32" ht="14.25" customHeight="1" thickTop="1" thickBot="1" x14ac:dyDescent="0.3">
      <c r="A767" s="139">
        <f>ESCUADRAS!B147</f>
        <v>141</v>
      </c>
      <c r="B767" s="136">
        <f>ESCUADRAS!C147</f>
        <v>0</v>
      </c>
      <c r="C767" s="93"/>
      <c r="D767" s="123"/>
      <c r="E767" s="123"/>
      <c r="F767" s="123"/>
      <c r="G767" s="126"/>
      <c r="H767" s="102"/>
      <c r="I767" s="96"/>
      <c r="J767" s="96"/>
      <c r="K767" s="96"/>
      <c r="L767" s="99"/>
      <c r="M767" s="102"/>
      <c r="N767" s="96"/>
      <c r="O767" s="96"/>
      <c r="P767" s="96"/>
      <c r="Q767" s="99"/>
      <c r="R767" s="111"/>
      <c r="S767" s="105"/>
      <c r="T767" s="105"/>
      <c r="U767" s="105"/>
      <c r="V767" s="108"/>
      <c r="W767" s="102"/>
      <c r="X767" s="96"/>
      <c r="Y767" s="96"/>
      <c r="Z767" s="96"/>
      <c r="AA767" s="99"/>
      <c r="AB767" s="133"/>
    </row>
    <row r="768" spans="1:32" ht="14.25" customHeight="1" thickTop="1" thickBot="1" x14ac:dyDescent="0.3">
      <c r="A768" s="139"/>
      <c r="B768" s="137"/>
      <c r="C768" s="94"/>
      <c r="D768" s="124"/>
      <c r="E768" s="124"/>
      <c r="F768" s="124"/>
      <c r="G768" s="127"/>
      <c r="H768" s="103"/>
      <c r="I768" s="97"/>
      <c r="J768" s="97"/>
      <c r="K768" s="97"/>
      <c r="L768" s="100"/>
      <c r="M768" s="103"/>
      <c r="N768" s="97"/>
      <c r="O768" s="97"/>
      <c r="P768" s="97"/>
      <c r="Q768" s="100"/>
      <c r="R768" s="112"/>
      <c r="S768" s="106"/>
      <c r="T768" s="106"/>
      <c r="U768" s="106"/>
      <c r="V768" s="109"/>
      <c r="W768" s="103"/>
      <c r="X768" s="97"/>
      <c r="Y768" s="97"/>
      <c r="Z768" s="97"/>
      <c r="AA768" s="100"/>
      <c r="AB768" s="134"/>
    </row>
    <row r="769" spans="1:28" ht="13.5" customHeight="1" thickTop="1" thickBot="1" x14ac:dyDescent="0.3">
      <c r="A769" s="139"/>
      <c r="B769" s="138"/>
      <c r="C769" s="95"/>
      <c r="D769" s="125"/>
      <c r="E769" s="125"/>
      <c r="F769" s="125"/>
      <c r="G769" s="128"/>
      <c r="H769" s="104"/>
      <c r="I769" s="98"/>
      <c r="J769" s="98"/>
      <c r="K769" s="98"/>
      <c r="L769" s="101"/>
      <c r="M769" s="104"/>
      <c r="N769" s="98"/>
      <c r="O769" s="98"/>
      <c r="P769" s="98"/>
      <c r="Q769" s="101"/>
      <c r="R769" s="113"/>
      <c r="S769" s="107"/>
      <c r="T769" s="107"/>
      <c r="U769" s="107"/>
      <c r="V769" s="110"/>
      <c r="W769" s="104"/>
      <c r="X769" s="98"/>
      <c r="Y769" s="98"/>
      <c r="Z769" s="98"/>
      <c r="AA769" s="101"/>
      <c r="AB769" s="135"/>
    </row>
    <row r="770" spans="1:28" ht="13.5" customHeight="1" thickTop="1" x14ac:dyDescent="0.25">
      <c r="A770" s="140">
        <f>ESCUADRAS!B148</f>
        <v>142</v>
      </c>
      <c r="B770" s="136">
        <f>ESCUADRAS!C148</f>
        <v>0</v>
      </c>
      <c r="C770" s="93"/>
      <c r="D770" s="123"/>
      <c r="E770" s="123"/>
      <c r="F770" s="123"/>
      <c r="G770" s="126"/>
      <c r="H770" s="102"/>
      <c r="I770" s="96"/>
      <c r="J770" s="96"/>
      <c r="K770" s="96"/>
      <c r="L770" s="99"/>
      <c r="M770" s="111"/>
      <c r="N770" s="105"/>
      <c r="O770" s="105"/>
      <c r="P770" s="105"/>
      <c r="Q770" s="108"/>
      <c r="R770" s="102"/>
      <c r="S770" s="96"/>
      <c r="T770" s="96"/>
      <c r="U770" s="96"/>
      <c r="V770" s="99"/>
      <c r="W770" s="102"/>
      <c r="X770" s="96"/>
      <c r="Y770" s="96"/>
      <c r="Z770" s="96"/>
      <c r="AA770" s="99"/>
      <c r="AB770" s="133"/>
    </row>
    <row r="771" spans="1:28" ht="14.25" customHeight="1" x14ac:dyDescent="0.25">
      <c r="A771" s="141"/>
      <c r="B771" s="137"/>
      <c r="C771" s="94"/>
      <c r="D771" s="124"/>
      <c r="E771" s="124"/>
      <c r="F771" s="124"/>
      <c r="G771" s="127"/>
      <c r="H771" s="103"/>
      <c r="I771" s="97"/>
      <c r="J771" s="97"/>
      <c r="K771" s="97"/>
      <c r="L771" s="100"/>
      <c r="M771" s="112"/>
      <c r="N771" s="106"/>
      <c r="O771" s="106"/>
      <c r="P771" s="106"/>
      <c r="Q771" s="109"/>
      <c r="R771" s="103"/>
      <c r="S771" s="97"/>
      <c r="T771" s="97"/>
      <c r="U771" s="97"/>
      <c r="V771" s="100"/>
      <c r="W771" s="103"/>
      <c r="X771" s="97"/>
      <c r="Y771" s="97"/>
      <c r="Z771" s="97"/>
      <c r="AA771" s="100"/>
      <c r="AB771" s="134"/>
    </row>
    <row r="772" spans="1:28" ht="13.5" customHeight="1" thickBot="1" x14ac:dyDescent="0.3">
      <c r="A772" s="142"/>
      <c r="B772" s="138"/>
      <c r="C772" s="95"/>
      <c r="D772" s="125"/>
      <c r="E772" s="125"/>
      <c r="F772" s="125"/>
      <c r="G772" s="128"/>
      <c r="H772" s="104"/>
      <c r="I772" s="98"/>
      <c r="J772" s="98"/>
      <c r="K772" s="98"/>
      <c r="L772" s="101"/>
      <c r="M772" s="113"/>
      <c r="N772" s="107"/>
      <c r="O772" s="107"/>
      <c r="P772" s="107"/>
      <c r="Q772" s="110"/>
      <c r="R772" s="104"/>
      <c r="S772" s="98"/>
      <c r="T772" s="98"/>
      <c r="U772" s="98"/>
      <c r="V772" s="101"/>
      <c r="W772" s="104"/>
      <c r="X772" s="98"/>
      <c r="Y772" s="98"/>
      <c r="Z772" s="98"/>
      <c r="AA772" s="101"/>
      <c r="AB772" s="135"/>
    </row>
    <row r="773" spans="1:28" ht="14.25" customHeight="1" thickTop="1" thickBot="1" x14ac:dyDescent="0.3">
      <c r="A773" s="139">
        <f>ESCUADRAS!B149</f>
        <v>143</v>
      </c>
      <c r="B773" s="136">
        <f>ESCUADRAS!C149</f>
        <v>0</v>
      </c>
      <c r="C773" s="93"/>
      <c r="D773" s="123"/>
      <c r="E773" s="123"/>
      <c r="F773" s="123"/>
      <c r="G773" s="126"/>
      <c r="H773" s="111"/>
      <c r="I773" s="105"/>
      <c r="J773" s="105"/>
      <c r="K773" s="105"/>
      <c r="L773" s="108"/>
      <c r="M773" s="102"/>
      <c r="N773" s="96"/>
      <c r="O773" s="96"/>
      <c r="P773" s="96"/>
      <c r="Q773" s="99"/>
      <c r="R773" s="102"/>
      <c r="S773" s="96"/>
      <c r="T773" s="96"/>
      <c r="U773" s="96"/>
      <c r="V773" s="99"/>
      <c r="W773" s="102"/>
      <c r="X773" s="96"/>
      <c r="Y773" s="96"/>
      <c r="Z773" s="96"/>
      <c r="AA773" s="99"/>
      <c r="AB773" s="133"/>
    </row>
    <row r="774" spans="1:28" ht="14.25" customHeight="1" thickTop="1" thickBot="1" x14ac:dyDescent="0.3">
      <c r="A774" s="139"/>
      <c r="B774" s="137"/>
      <c r="C774" s="94"/>
      <c r="D774" s="124"/>
      <c r="E774" s="124"/>
      <c r="F774" s="124"/>
      <c r="G774" s="127"/>
      <c r="H774" s="112"/>
      <c r="I774" s="106"/>
      <c r="J774" s="106"/>
      <c r="K774" s="106"/>
      <c r="L774" s="109"/>
      <c r="M774" s="103"/>
      <c r="N774" s="97"/>
      <c r="O774" s="97"/>
      <c r="P774" s="97"/>
      <c r="Q774" s="100"/>
      <c r="R774" s="103"/>
      <c r="S774" s="97"/>
      <c r="T774" s="97"/>
      <c r="U774" s="97"/>
      <c r="V774" s="100"/>
      <c r="W774" s="103"/>
      <c r="X774" s="97"/>
      <c r="Y774" s="97"/>
      <c r="Z774" s="97"/>
      <c r="AA774" s="100"/>
      <c r="AB774" s="134"/>
    </row>
    <row r="775" spans="1:28" ht="13.5" customHeight="1" thickTop="1" thickBot="1" x14ac:dyDescent="0.3">
      <c r="A775" s="139"/>
      <c r="B775" s="138"/>
      <c r="C775" s="95"/>
      <c r="D775" s="125"/>
      <c r="E775" s="125"/>
      <c r="F775" s="125"/>
      <c r="G775" s="128"/>
      <c r="H775" s="113"/>
      <c r="I775" s="107"/>
      <c r="J775" s="107"/>
      <c r="K775" s="107"/>
      <c r="L775" s="110"/>
      <c r="M775" s="104"/>
      <c r="N775" s="98"/>
      <c r="O775" s="98"/>
      <c r="P775" s="98"/>
      <c r="Q775" s="101"/>
      <c r="R775" s="104"/>
      <c r="S775" s="98"/>
      <c r="T775" s="98"/>
      <c r="U775" s="98"/>
      <c r="V775" s="101"/>
      <c r="W775" s="104"/>
      <c r="X775" s="98"/>
      <c r="Y775" s="98"/>
      <c r="Z775" s="98"/>
      <c r="AA775" s="101"/>
      <c r="AB775" s="135"/>
    </row>
    <row r="776" spans="1:28" ht="13.5" customHeight="1" thickTop="1" x14ac:dyDescent="0.25">
      <c r="A776" s="140">
        <f>ESCUADRAS!B150</f>
        <v>144</v>
      </c>
      <c r="B776" s="136">
        <f>ESCUADRAS!C150</f>
        <v>0</v>
      </c>
      <c r="C776" s="111"/>
      <c r="D776" s="105"/>
      <c r="E776" s="105"/>
      <c r="F776" s="105"/>
      <c r="G776" s="108"/>
      <c r="H776" s="122"/>
      <c r="I776" s="120"/>
      <c r="J776" s="120"/>
      <c r="K776" s="120"/>
      <c r="L776" s="121"/>
      <c r="M776" s="122"/>
      <c r="N776" s="120"/>
      <c r="O776" s="120"/>
      <c r="P776" s="120"/>
      <c r="Q776" s="121"/>
      <c r="R776" s="122"/>
      <c r="S776" s="120"/>
      <c r="T776" s="120"/>
      <c r="U776" s="120"/>
      <c r="V776" s="121"/>
      <c r="W776" s="122"/>
      <c r="X776" s="120"/>
      <c r="Y776" s="120"/>
      <c r="Z776" s="120"/>
      <c r="AA776" s="121"/>
      <c r="AB776" s="133"/>
    </row>
    <row r="777" spans="1:28" ht="14.25" customHeight="1" x14ac:dyDescent="0.25">
      <c r="A777" s="141"/>
      <c r="B777" s="137"/>
      <c r="C777" s="112"/>
      <c r="D777" s="106"/>
      <c r="E777" s="106"/>
      <c r="F777" s="106"/>
      <c r="G777" s="109"/>
      <c r="H777" s="103"/>
      <c r="I777" s="97"/>
      <c r="J777" s="97"/>
      <c r="K777" s="97"/>
      <c r="L777" s="100"/>
      <c r="M777" s="103"/>
      <c r="N777" s="97"/>
      <c r="O777" s="97"/>
      <c r="P777" s="97"/>
      <c r="Q777" s="100"/>
      <c r="R777" s="103"/>
      <c r="S777" s="97"/>
      <c r="T777" s="97"/>
      <c r="U777" s="97"/>
      <c r="V777" s="100"/>
      <c r="W777" s="103"/>
      <c r="X777" s="97"/>
      <c r="Y777" s="97"/>
      <c r="Z777" s="97"/>
      <c r="AA777" s="100"/>
      <c r="AB777" s="134"/>
    </row>
    <row r="778" spans="1:28" ht="13.5" customHeight="1" thickBot="1" x14ac:dyDescent="0.3">
      <c r="A778" s="142"/>
      <c r="B778" s="138"/>
      <c r="C778" s="113"/>
      <c r="D778" s="107"/>
      <c r="E778" s="107"/>
      <c r="F778" s="107"/>
      <c r="G778" s="110"/>
      <c r="H778" s="104"/>
      <c r="I778" s="98"/>
      <c r="J778" s="98"/>
      <c r="K778" s="98"/>
      <c r="L778" s="101"/>
      <c r="M778" s="104"/>
      <c r="N778" s="98"/>
      <c r="O778" s="98"/>
      <c r="P778" s="98"/>
      <c r="Q778" s="101"/>
      <c r="R778" s="104"/>
      <c r="S778" s="98"/>
      <c r="T778" s="98"/>
      <c r="U778" s="98"/>
      <c r="V778" s="101"/>
      <c r="W778" s="104"/>
      <c r="X778" s="98"/>
      <c r="Y778" s="98"/>
      <c r="Z778" s="98"/>
      <c r="AA778" s="101"/>
      <c r="AB778" s="135"/>
    </row>
    <row r="780" spans="1:28" ht="15" x14ac:dyDescent="0.25">
      <c r="A780" s="28"/>
      <c r="B780" s="26" t="s">
        <v>35</v>
      </c>
      <c r="E780" s="21" t="s">
        <v>41</v>
      </c>
      <c r="I780" s="21" t="s">
        <v>42</v>
      </c>
      <c r="M780" s="21" t="s">
        <v>43</v>
      </c>
      <c r="Q780" s="21" t="s">
        <v>44</v>
      </c>
      <c r="U780" s="21" t="s">
        <v>45</v>
      </c>
      <c r="Y780" s="21" t="s">
        <v>46</v>
      </c>
    </row>
    <row r="787" spans="1:32" ht="24.6" x14ac:dyDescent="0.25">
      <c r="A787" s="144" t="str">
        <f>'INSCRIPCION '!A$1</f>
        <v>TIRADA</v>
      </c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</row>
    <row r="788" spans="1:32" ht="24.6" x14ac:dyDescent="0.4">
      <c r="A788" s="23"/>
      <c r="B788" s="23"/>
    </row>
    <row r="789" spans="1:32" ht="22.8" x14ac:dyDescent="0.25">
      <c r="A789" s="132" t="str">
        <f>'INSCRIPCION '!A$2</f>
        <v>CAMPO DE TIRO LA ISLA</v>
      </c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</row>
    <row r="790" spans="1:32" ht="20.399999999999999" x14ac:dyDescent="0.25">
      <c r="A790" s="143" t="str">
        <f>'INSCRIPCION '!A$3</f>
        <v>XXX PLATOS</v>
      </c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</row>
    <row r="791" spans="1:32" ht="22.8" x14ac:dyDescent="0.4">
      <c r="A791" s="24"/>
      <c r="B791" s="24"/>
    </row>
    <row r="792" spans="1:32" ht="17.399999999999999" x14ac:dyDescent="0.3">
      <c r="A792" s="25" t="s">
        <v>34</v>
      </c>
      <c r="B792" s="25"/>
      <c r="J792" s="9" t="s">
        <v>6</v>
      </c>
      <c r="K792" s="9"/>
      <c r="L792" s="9"/>
      <c r="M792" s="9"/>
      <c r="N792" s="9"/>
      <c r="O792" s="22">
        <v>1</v>
      </c>
      <c r="P792" s="22"/>
      <c r="Q792" s="8"/>
      <c r="R792" s="8"/>
      <c r="S792" s="7"/>
      <c r="T792" s="8"/>
      <c r="U792" s="8"/>
      <c r="V792" s="9" t="s">
        <v>7</v>
      </c>
      <c r="W792" s="9"/>
      <c r="X792" s="9"/>
      <c r="Y792" s="9"/>
      <c r="Z792" s="22">
        <v>1</v>
      </c>
      <c r="AA792" s="22"/>
    </row>
    <row r="793" spans="1:32" ht="13.8" thickBot="1" x14ac:dyDescent="0.3"/>
    <row r="794" spans="1:32" ht="15.6" thickBot="1" x14ac:dyDescent="0.3">
      <c r="A794" s="27" t="s">
        <v>0</v>
      </c>
      <c r="B794" s="27" t="s">
        <v>8</v>
      </c>
      <c r="C794" s="47">
        <v>1</v>
      </c>
      <c r="D794" s="48">
        <v>2</v>
      </c>
      <c r="E794" s="48">
        <v>3</v>
      </c>
      <c r="F794" s="48">
        <v>4</v>
      </c>
      <c r="G794" s="49">
        <v>5</v>
      </c>
      <c r="H794" s="47">
        <v>6</v>
      </c>
      <c r="I794" s="48">
        <v>7</v>
      </c>
      <c r="J794" s="48">
        <v>8</v>
      </c>
      <c r="K794" s="48">
        <v>9</v>
      </c>
      <c r="L794" s="49">
        <v>10</v>
      </c>
      <c r="M794" s="47">
        <v>11</v>
      </c>
      <c r="N794" s="48">
        <v>12</v>
      </c>
      <c r="O794" s="48">
        <v>13</v>
      </c>
      <c r="P794" s="48">
        <v>14</v>
      </c>
      <c r="Q794" s="49">
        <v>15</v>
      </c>
      <c r="R794" s="47">
        <v>16</v>
      </c>
      <c r="S794" s="48">
        <v>17</v>
      </c>
      <c r="T794" s="48">
        <v>18</v>
      </c>
      <c r="U794" s="48">
        <v>19</v>
      </c>
      <c r="V794" s="49">
        <v>20</v>
      </c>
      <c r="W794" s="47">
        <v>21</v>
      </c>
      <c r="X794" s="48">
        <v>22</v>
      </c>
      <c r="Y794" s="48">
        <v>23</v>
      </c>
      <c r="Z794" s="48">
        <v>24</v>
      </c>
      <c r="AA794" s="49">
        <v>25</v>
      </c>
      <c r="AB794" s="30" t="s">
        <v>1</v>
      </c>
    </row>
    <row r="795" spans="1:32" ht="14.25" customHeight="1" thickTop="1" thickBot="1" x14ac:dyDescent="0.3">
      <c r="A795" s="139">
        <f>ESCUADRAS!B151</f>
        <v>145</v>
      </c>
      <c r="B795" s="136">
        <f>ESCUADRAS!C151</f>
        <v>0</v>
      </c>
      <c r="C795" s="129"/>
      <c r="D795" s="114"/>
      <c r="E795" s="114"/>
      <c r="F795" s="114"/>
      <c r="G795" s="117"/>
      <c r="H795" s="111"/>
      <c r="I795" s="105"/>
      <c r="J795" s="105"/>
      <c r="K795" s="105"/>
      <c r="L795" s="108"/>
      <c r="M795" s="111"/>
      <c r="N795" s="105"/>
      <c r="O795" s="105"/>
      <c r="P795" s="105"/>
      <c r="Q795" s="108"/>
      <c r="R795" s="111"/>
      <c r="S795" s="105"/>
      <c r="T795" s="105"/>
      <c r="U795" s="105"/>
      <c r="V795" s="108"/>
      <c r="W795" s="111"/>
      <c r="X795" s="105"/>
      <c r="Y795" s="105"/>
      <c r="Z795" s="105"/>
      <c r="AA795" s="108"/>
      <c r="AB795" s="133"/>
    </row>
    <row r="796" spans="1:32" ht="14.25" customHeight="1" thickTop="1" thickBot="1" x14ac:dyDescent="0.3">
      <c r="A796" s="139"/>
      <c r="B796" s="137"/>
      <c r="C796" s="130"/>
      <c r="D796" s="115"/>
      <c r="E796" s="115"/>
      <c r="F796" s="115"/>
      <c r="G796" s="118"/>
      <c r="H796" s="112"/>
      <c r="I796" s="106"/>
      <c r="J796" s="106"/>
      <c r="K796" s="106"/>
      <c r="L796" s="109"/>
      <c r="M796" s="112"/>
      <c r="N796" s="106"/>
      <c r="O796" s="106"/>
      <c r="P796" s="106"/>
      <c r="Q796" s="109"/>
      <c r="R796" s="112"/>
      <c r="S796" s="106"/>
      <c r="T796" s="106"/>
      <c r="U796" s="106"/>
      <c r="V796" s="109"/>
      <c r="W796" s="112"/>
      <c r="X796" s="106"/>
      <c r="Y796" s="106"/>
      <c r="Z796" s="106"/>
      <c r="AA796" s="109"/>
      <c r="AB796" s="134"/>
    </row>
    <row r="797" spans="1:32" ht="13.5" customHeight="1" thickTop="1" thickBot="1" x14ac:dyDescent="0.3">
      <c r="A797" s="139"/>
      <c r="B797" s="138"/>
      <c r="C797" s="131"/>
      <c r="D797" s="116"/>
      <c r="E797" s="116"/>
      <c r="F797" s="116"/>
      <c r="G797" s="119"/>
      <c r="H797" s="113"/>
      <c r="I797" s="107"/>
      <c r="J797" s="107"/>
      <c r="K797" s="107"/>
      <c r="L797" s="110"/>
      <c r="M797" s="113"/>
      <c r="N797" s="107"/>
      <c r="O797" s="107"/>
      <c r="P797" s="107"/>
      <c r="Q797" s="110"/>
      <c r="R797" s="113"/>
      <c r="S797" s="107"/>
      <c r="T797" s="107"/>
      <c r="U797" s="107"/>
      <c r="V797" s="110"/>
      <c r="W797" s="113"/>
      <c r="X797" s="107"/>
      <c r="Y797" s="107"/>
      <c r="Z797" s="107"/>
      <c r="AA797" s="110"/>
      <c r="AB797" s="135"/>
    </row>
    <row r="798" spans="1:32" ht="14.25" customHeight="1" thickTop="1" x14ac:dyDescent="0.25">
      <c r="A798" s="140">
        <f>ESCUADRAS!B152</f>
        <v>146</v>
      </c>
      <c r="B798" s="136">
        <f>ESCUADRAS!C152</f>
        <v>0</v>
      </c>
      <c r="C798" s="93"/>
      <c r="D798" s="123"/>
      <c r="E798" s="123"/>
      <c r="F798" s="123"/>
      <c r="G798" s="126"/>
      <c r="H798" s="102"/>
      <c r="I798" s="96"/>
      <c r="J798" s="96"/>
      <c r="K798" s="96"/>
      <c r="L798" s="99"/>
      <c r="M798" s="102"/>
      <c r="N798" s="96"/>
      <c r="O798" s="96"/>
      <c r="P798" s="96"/>
      <c r="Q798" s="99"/>
      <c r="R798" s="102"/>
      <c r="S798" s="96"/>
      <c r="T798" s="96"/>
      <c r="U798" s="96"/>
      <c r="V798" s="99"/>
      <c r="W798" s="111"/>
      <c r="X798" s="105"/>
      <c r="Y798" s="105"/>
      <c r="Z798" s="105"/>
      <c r="AA798" s="108"/>
      <c r="AB798" s="133"/>
    </row>
    <row r="799" spans="1:32" ht="14.25" customHeight="1" x14ac:dyDescent="0.25">
      <c r="A799" s="141"/>
      <c r="B799" s="137"/>
      <c r="C799" s="94"/>
      <c r="D799" s="124"/>
      <c r="E799" s="124"/>
      <c r="F799" s="124"/>
      <c r="G799" s="127"/>
      <c r="H799" s="103"/>
      <c r="I799" s="97"/>
      <c r="J799" s="97"/>
      <c r="K799" s="97"/>
      <c r="L799" s="100"/>
      <c r="M799" s="103"/>
      <c r="N799" s="97"/>
      <c r="O799" s="97"/>
      <c r="P799" s="97"/>
      <c r="Q799" s="100"/>
      <c r="R799" s="103"/>
      <c r="S799" s="97"/>
      <c r="T799" s="97"/>
      <c r="U799" s="97"/>
      <c r="V799" s="100"/>
      <c r="W799" s="112"/>
      <c r="X799" s="106"/>
      <c r="Y799" s="106"/>
      <c r="Z799" s="106"/>
      <c r="AA799" s="109"/>
      <c r="AB799" s="134"/>
    </row>
    <row r="800" spans="1:32" ht="13.5" customHeight="1" thickBot="1" x14ac:dyDescent="0.3">
      <c r="A800" s="142"/>
      <c r="B800" s="138"/>
      <c r="C800" s="95"/>
      <c r="D800" s="125"/>
      <c r="E800" s="125"/>
      <c r="F800" s="125"/>
      <c r="G800" s="128"/>
      <c r="H800" s="104"/>
      <c r="I800" s="98"/>
      <c r="J800" s="98"/>
      <c r="K800" s="98"/>
      <c r="L800" s="101"/>
      <c r="M800" s="104"/>
      <c r="N800" s="98"/>
      <c r="O800" s="98"/>
      <c r="P800" s="98"/>
      <c r="Q800" s="101"/>
      <c r="R800" s="104"/>
      <c r="S800" s="98"/>
      <c r="T800" s="98"/>
      <c r="U800" s="98"/>
      <c r="V800" s="101"/>
      <c r="W800" s="113"/>
      <c r="X800" s="107"/>
      <c r="Y800" s="107"/>
      <c r="Z800" s="107"/>
      <c r="AA800" s="110"/>
      <c r="AB800" s="135"/>
    </row>
    <row r="801" spans="1:28" ht="14.25" customHeight="1" thickTop="1" thickBot="1" x14ac:dyDescent="0.3">
      <c r="A801" s="139">
        <f>ESCUADRAS!B153</f>
        <v>147</v>
      </c>
      <c r="B801" s="136">
        <f>ESCUADRAS!C153</f>
        <v>0</v>
      </c>
      <c r="C801" s="93"/>
      <c r="D801" s="123"/>
      <c r="E801" s="123"/>
      <c r="F801" s="123"/>
      <c r="G801" s="126"/>
      <c r="H801" s="102"/>
      <c r="I801" s="96"/>
      <c r="J801" s="96"/>
      <c r="K801" s="96"/>
      <c r="L801" s="99"/>
      <c r="M801" s="102"/>
      <c r="N801" s="96"/>
      <c r="O801" s="96"/>
      <c r="P801" s="96"/>
      <c r="Q801" s="99"/>
      <c r="R801" s="111"/>
      <c r="S801" s="105"/>
      <c r="T801" s="105"/>
      <c r="U801" s="105"/>
      <c r="V801" s="108"/>
      <c r="W801" s="102"/>
      <c r="X801" s="96"/>
      <c r="Y801" s="96"/>
      <c r="Z801" s="96"/>
      <c r="AA801" s="99"/>
      <c r="AB801" s="133"/>
    </row>
    <row r="802" spans="1:28" ht="14.25" customHeight="1" thickTop="1" thickBot="1" x14ac:dyDescent="0.3">
      <c r="A802" s="139"/>
      <c r="B802" s="137"/>
      <c r="C802" s="94"/>
      <c r="D802" s="124"/>
      <c r="E802" s="124"/>
      <c r="F802" s="124"/>
      <c r="G802" s="127"/>
      <c r="H802" s="103"/>
      <c r="I802" s="97"/>
      <c r="J802" s="97"/>
      <c r="K802" s="97"/>
      <c r="L802" s="100"/>
      <c r="M802" s="103"/>
      <c r="N802" s="97"/>
      <c r="O802" s="97"/>
      <c r="P802" s="97"/>
      <c r="Q802" s="100"/>
      <c r="R802" s="112"/>
      <c r="S802" s="106"/>
      <c r="T802" s="106"/>
      <c r="U802" s="106"/>
      <c r="V802" s="109"/>
      <c r="W802" s="103"/>
      <c r="X802" s="97"/>
      <c r="Y802" s="97"/>
      <c r="Z802" s="97"/>
      <c r="AA802" s="100"/>
      <c r="AB802" s="134"/>
    </row>
    <row r="803" spans="1:28" ht="13.5" customHeight="1" thickTop="1" thickBot="1" x14ac:dyDescent="0.3">
      <c r="A803" s="139"/>
      <c r="B803" s="138"/>
      <c r="C803" s="95"/>
      <c r="D803" s="125"/>
      <c r="E803" s="125"/>
      <c r="F803" s="125"/>
      <c r="G803" s="128"/>
      <c r="H803" s="104"/>
      <c r="I803" s="98"/>
      <c r="J803" s="98"/>
      <c r="K803" s="98"/>
      <c r="L803" s="101"/>
      <c r="M803" s="104"/>
      <c r="N803" s="98"/>
      <c r="O803" s="98"/>
      <c r="P803" s="98"/>
      <c r="Q803" s="101"/>
      <c r="R803" s="113"/>
      <c r="S803" s="107"/>
      <c r="T803" s="107"/>
      <c r="U803" s="107"/>
      <c r="V803" s="110"/>
      <c r="W803" s="104"/>
      <c r="X803" s="98"/>
      <c r="Y803" s="98"/>
      <c r="Z803" s="98"/>
      <c r="AA803" s="101"/>
      <c r="AB803" s="135"/>
    </row>
    <row r="804" spans="1:28" ht="13.5" customHeight="1" thickTop="1" x14ac:dyDescent="0.25">
      <c r="A804" s="140">
        <f>ESCUADRAS!B154</f>
        <v>148</v>
      </c>
      <c r="B804" s="136">
        <f>ESCUADRAS!C154</f>
        <v>0</v>
      </c>
      <c r="C804" s="93"/>
      <c r="D804" s="123"/>
      <c r="E804" s="123"/>
      <c r="F804" s="123"/>
      <c r="G804" s="126"/>
      <c r="H804" s="102"/>
      <c r="I804" s="96"/>
      <c r="J804" s="96"/>
      <c r="K804" s="96"/>
      <c r="L804" s="99"/>
      <c r="M804" s="111"/>
      <c r="N804" s="105"/>
      <c r="O804" s="105"/>
      <c r="P804" s="105"/>
      <c r="Q804" s="108"/>
      <c r="R804" s="102"/>
      <c r="S804" s="96"/>
      <c r="T804" s="96"/>
      <c r="U804" s="96"/>
      <c r="V804" s="99"/>
      <c r="W804" s="102"/>
      <c r="X804" s="96"/>
      <c r="Y804" s="96"/>
      <c r="Z804" s="96"/>
      <c r="AA804" s="99"/>
      <c r="AB804" s="133"/>
    </row>
    <row r="805" spans="1:28" ht="14.25" customHeight="1" x14ac:dyDescent="0.25">
      <c r="A805" s="141"/>
      <c r="B805" s="137"/>
      <c r="C805" s="94"/>
      <c r="D805" s="124"/>
      <c r="E805" s="124"/>
      <c r="F805" s="124"/>
      <c r="G805" s="127"/>
      <c r="H805" s="103"/>
      <c r="I805" s="97"/>
      <c r="J805" s="97"/>
      <c r="K805" s="97"/>
      <c r="L805" s="100"/>
      <c r="M805" s="112"/>
      <c r="N805" s="106"/>
      <c r="O805" s="106"/>
      <c r="P805" s="106"/>
      <c r="Q805" s="109"/>
      <c r="R805" s="103"/>
      <c r="S805" s="97"/>
      <c r="T805" s="97"/>
      <c r="U805" s="97"/>
      <c r="V805" s="100"/>
      <c r="W805" s="103"/>
      <c r="X805" s="97"/>
      <c r="Y805" s="97"/>
      <c r="Z805" s="97"/>
      <c r="AA805" s="100"/>
      <c r="AB805" s="134"/>
    </row>
    <row r="806" spans="1:28" ht="13.5" customHeight="1" thickBot="1" x14ac:dyDescent="0.3">
      <c r="A806" s="142"/>
      <c r="B806" s="138"/>
      <c r="C806" s="95"/>
      <c r="D806" s="125"/>
      <c r="E806" s="125"/>
      <c r="F806" s="125"/>
      <c r="G806" s="128"/>
      <c r="H806" s="104"/>
      <c r="I806" s="98"/>
      <c r="J806" s="98"/>
      <c r="K806" s="98"/>
      <c r="L806" s="101"/>
      <c r="M806" s="113"/>
      <c r="N806" s="107"/>
      <c r="O806" s="107"/>
      <c r="P806" s="107"/>
      <c r="Q806" s="110"/>
      <c r="R806" s="104"/>
      <c r="S806" s="98"/>
      <c r="T806" s="98"/>
      <c r="U806" s="98"/>
      <c r="V806" s="101"/>
      <c r="W806" s="104"/>
      <c r="X806" s="98"/>
      <c r="Y806" s="98"/>
      <c r="Z806" s="98"/>
      <c r="AA806" s="101"/>
      <c r="AB806" s="135"/>
    </row>
    <row r="807" spans="1:28" ht="14.25" customHeight="1" thickTop="1" thickBot="1" x14ac:dyDescent="0.3">
      <c r="A807" s="139">
        <f>ESCUADRAS!B155</f>
        <v>149</v>
      </c>
      <c r="B807" s="136">
        <f>ESCUADRAS!C155</f>
        <v>0</v>
      </c>
      <c r="C807" s="93"/>
      <c r="D807" s="123"/>
      <c r="E807" s="123"/>
      <c r="F807" s="123"/>
      <c r="G807" s="126"/>
      <c r="H807" s="111"/>
      <c r="I807" s="105"/>
      <c r="J807" s="105"/>
      <c r="K807" s="105"/>
      <c r="L807" s="108"/>
      <c r="M807" s="102"/>
      <c r="N807" s="96"/>
      <c r="O807" s="96"/>
      <c r="P807" s="96"/>
      <c r="Q807" s="99"/>
      <c r="R807" s="102"/>
      <c r="S807" s="96"/>
      <c r="T807" s="96"/>
      <c r="U807" s="96"/>
      <c r="V807" s="99"/>
      <c r="W807" s="102"/>
      <c r="X807" s="96"/>
      <c r="Y807" s="96"/>
      <c r="Z807" s="96"/>
      <c r="AA807" s="99"/>
      <c r="AB807" s="133"/>
    </row>
    <row r="808" spans="1:28" ht="14.25" customHeight="1" thickTop="1" thickBot="1" x14ac:dyDescent="0.3">
      <c r="A808" s="139"/>
      <c r="B808" s="137"/>
      <c r="C808" s="94"/>
      <c r="D808" s="124"/>
      <c r="E808" s="124"/>
      <c r="F808" s="124"/>
      <c r="G808" s="127"/>
      <c r="H808" s="112"/>
      <c r="I808" s="106"/>
      <c r="J808" s="106"/>
      <c r="K808" s="106"/>
      <c r="L808" s="109"/>
      <c r="M808" s="103"/>
      <c r="N808" s="97"/>
      <c r="O808" s="97"/>
      <c r="P808" s="97"/>
      <c r="Q808" s="100"/>
      <c r="R808" s="103"/>
      <c r="S808" s="97"/>
      <c r="T808" s="97"/>
      <c r="U808" s="97"/>
      <c r="V808" s="100"/>
      <c r="W808" s="103"/>
      <c r="X808" s="97"/>
      <c r="Y808" s="97"/>
      <c r="Z808" s="97"/>
      <c r="AA808" s="100"/>
      <c r="AB808" s="134"/>
    </row>
    <row r="809" spans="1:28" ht="13.5" customHeight="1" thickTop="1" thickBot="1" x14ac:dyDescent="0.3">
      <c r="A809" s="139"/>
      <c r="B809" s="138"/>
      <c r="C809" s="95"/>
      <c r="D809" s="125"/>
      <c r="E809" s="125"/>
      <c r="F809" s="125"/>
      <c r="G809" s="128"/>
      <c r="H809" s="113"/>
      <c r="I809" s="107"/>
      <c r="J809" s="107"/>
      <c r="K809" s="107"/>
      <c r="L809" s="110"/>
      <c r="M809" s="104"/>
      <c r="N809" s="98"/>
      <c r="O809" s="98"/>
      <c r="P809" s="98"/>
      <c r="Q809" s="101"/>
      <c r="R809" s="104"/>
      <c r="S809" s="98"/>
      <c r="T809" s="98"/>
      <c r="U809" s="98"/>
      <c r="V809" s="101"/>
      <c r="W809" s="104"/>
      <c r="X809" s="98"/>
      <c r="Y809" s="98"/>
      <c r="Z809" s="98"/>
      <c r="AA809" s="101"/>
      <c r="AB809" s="135"/>
    </row>
    <row r="810" spans="1:28" ht="13.5" customHeight="1" thickTop="1" x14ac:dyDescent="0.25">
      <c r="A810" s="140">
        <f>ESCUADRAS!B156</f>
        <v>150</v>
      </c>
      <c r="B810" s="136">
        <f>ESCUADRAS!C156</f>
        <v>0</v>
      </c>
      <c r="C810" s="111"/>
      <c r="D810" s="105"/>
      <c r="E810" s="105"/>
      <c r="F810" s="105"/>
      <c r="G810" s="108"/>
      <c r="H810" s="122"/>
      <c r="I810" s="120"/>
      <c r="J810" s="120"/>
      <c r="K810" s="120"/>
      <c r="L810" s="121"/>
      <c r="M810" s="122"/>
      <c r="N810" s="120"/>
      <c r="O810" s="120"/>
      <c r="P810" s="120"/>
      <c r="Q810" s="121"/>
      <c r="R810" s="122"/>
      <c r="S810" s="120"/>
      <c r="T810" s="120"/>
      <c r="U810" s="120"/>
      <c r="V810" s="121"/>
      <c r="W810" s="122"/>
      <c r="X810" s="120"/>
      <c r="Y810" s="120"/>
      <c r="Z810" s="120"/>
      <c r="AA810" s="121"/>
      <c r="AB810" s="133"/>
    </row>
    <row r="811" spans="1:28" ht="14.25" customHeight="1" x14ac:dyDescent="0.25">
      <c r="A811" s="141"/>
      <c r="B811" s="137"/>
      <c r="C811" s="112"/>
      <c r="D811" s="106"/>
      <c r="E811" s="106"/>
      <c r="F811" s="106"/>
      <c r="G811" s="109"/>
      <c r="H811" s="103"/>
      <c r="I811" s="97"/>
      <c r="J811" s="97"/>
      <c r="K811" s="97"/>
      <c r="L811" s="100"/>
      <c r="M811" s="103"/>
      <c r="N811" s="97"/>
      <c r="O811" s="97"/>
      <c r="P811" s="97"/>
      <c r="Q811" s="100"/>
      <c r="R811" s="103"/>
      <c r="S811" s="97"/>
      <c r="T811" s="97"/>
      <c r="U811" s="97"/>
      <c r="V811" s="100"/>
      <c r="W811" s="103"/>
      <c r="X811" s="97"/>
      <c r="Y811" s="97"/>
      <c r="Z811" s="97"/>
      <c r="AA811" s="100"/>
      <c r="AB811" s="134"/>
    </row>
    <row r="812" spans="1:28" ht="13.5" customHeight="1" thickBot="1" x14ac:dyDescent="0.3">
      <c r="A812" s="142"/>
      <c r="B812" s="138"/>
      <c r="C812" s="113"/>
      <c r="D812" s="107"/>
      <c r="E812" s="107"/>
      <c r="F812" s="107"/>
      <c r="G812" s="110"/>
      <c r="H812" s="104"/>
      <c r="I812" s="98"/>
      <c r="J812" s="98"/>
      <c r="K812" s="98"/>
      <c r="L812" s="101"/>
      <c r="M812" s="104"/>
      <c r="N812" s="98"/>
      <c r="O812" s="98"/>
      <c r="P812" s="98"/>
      <c r="Q812" s="101"/>
      <c r="R812" s="104"/>
      <c r="S812" s="98"/>
      <c r="T812" s="98"/>
      <c r="U812" s="98"/>
      <c r="V812" s="101"/>
      <c r="W812" s="104"/>
      <c r="X812" s="98"/>
      <c r="Y812" s="98"/>
      <c r="Z812" s="98"/>
      <c r="AA812" s="101"/>
      <c r="AB812" s="135"/>
    </row>
    <row r="814" spans="1:28" ht="15" x14ac:dyDescent="0.25">
      <c r="A814" s="28"/>
      <c r="B814" s="26" t="s">
        <v>35</v>
      </c>
      <c r="E814" s="21" t="s">
        <v>41</v>
      </c>
      <c r="I814" s="21" t="s">
        <v>42</v>
      </c>
      <c r="M814" s="21" t="s">
        <v>43</v>
      </c>
      <c r="Q814" s="21" t="s">
        <v>44</v>
      </c>
      <c r="U814" s="21" t="s">
        <v>45</v>
      </c>
      <c r="Y814" s="21" t="s">
        <v>46</v>
      </c>
    </row>
    <row r="821" spans="1:32" ht="24.6" x14ac:dyDescent="0.25">
      <c r="A821" s="144" t="str">
        <f>'INSCRIPCION '!A$1</f>
        <v>TIRADA</v>
      </c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</row>
    <row r="822" spans="1:32" ht="24.6" x14ac:dyDescent="0.4">
      <c r="A822" s="23"/>
      <c r="B822" s="23"/>
    </row>
    <row r="823" spans="1:32" ht="22.8" x14ac:dyDescent="0.25">
      <c r="A823" s="132" t="str">
        <f>'INSCRIPCION '!A$2</f>
        <v>CAMPO DE TIRO LA ISLA</v>
      </c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</row>
    <row r="824" spans="1:32" ht="20.399999999999999" x14ac:dyDescent="0.25">
      <c r="A824" s="143" t="str">
        <f>'INSCRIPCION '!A$3</f>
        <v>XXX PLATOS</v>
      </c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</row>
    <row r="825" spans="1:32" ht="22.8" x14ac:dyDescent="0.4">
      <c r="A825" s="24"/>
      <c r="B825" s="24"/>
    </row>
    <row r="826" spans="1:32" ht="17.399999999999999" x14ac:dyDescent="0.3">
      <c r="A826" s="25" t="s">
        <v>36</v>
      </c>
      <c r="B826" s="25"/>
      <c r="J826" s="9" t="s">
        <v>6</v>
      </c>
      <c r="K826" s="9"/>
      <c r="L826" s="9"/>
      <c r="M826" s="9"/>
      <c r="N826" s="9"/>
      <c r="O826" s="22">
        <v>2</v>
      </c>
      <c r="P826" s="22"/>
      <c r="Q826" s="8"/>
      <c r="R826" s="8"/>
      <c r="S826" s="7"/>
      <c r="T826" s="8"/>
      <c r="U826" s="8"/>
      <c r="V826" s="9" t="s">
        <v>7</v>
      </c>
      <c r="W826" s="9"/>
      <c r="X826" s="9"/>
      <c r="Y826" s="9"/>
      <c r="Z826" s="22">
        <v>1</v>
      </c>
      <c r="AA826" s="22"/>
    </row>
    <row r="827" spans="1:32" ht="13.8" thickBot="1" x14ac:dyDescent="0.3"/>
    <row r="828" spans="1:32" ht="15.6" thickBot="1" x14ac:dyDescent="0.3">
      <c r="A828" s="27" t="s">
        <v>0</v>
      </c>
      <c r="B828" s="27" t="s">
        <v>8</v>
      </c>
      <c r="C828" s="47">
        <v>1</v>
      </c>
      <c r="D828" s="48">
        <v>2</v>
      </c>
      <c r="E828" s="48">
        <v>3</v>
      </c>
      <c r="F828" s="48">
        <v>4</v>
      </c>
      <c r="G828" s="49">
        <v>5</v>
      </c>
      <c r="H828" s="47">
        <v>6</v>
      </c>
      <c r="I828" s="48">
        <v>7</v>
      </c>
      <c r="J828" s="48">
        <v>8</v>
      </c>
      <c r="K828" s="48">
        <v>9</v>
      </c>
      <c r="L828" s="49">
        <v>10</v>
      </c>
      <c r="M828" s="47">
        <v>11</v>
      </c>
      <c r="N828" s="48">
        <v>12</v>
      </c>
      <c r="O828" s="48">
        <v>13</v>
      </c>
      <c r="P828" s="48">
        <v>14</v>
      </c>
      <c r="Q828" s="49">
        <v>15</v>
      </c>
      <c r="R828" s="47">
        <v>16</v>
      </c>
      <c r="S828" s="48">
        <v>17</v>
      </c>
      <c r="T828" s="48">
        <v>18</v>
      </c>
      <c r="U828" s="48">
        <v>19</v>
      </c>
      <c r="V828" s="49">
        <v>20</v>
      </c>
      <c r="W828" s="47">
        <v>21</v>
      </c>
      <c r="X828" s="48">
        <v>22</v>
      </c>
      <c r="Y828" s="48">
        <v>23</v>
      </c>
      <c r="Z828" s="48">
        <v>24</v>
      </c>
      <c r="AA828" s="49">
        <v>25</v>
      </c>
      <c r="AB828" s="30" t="s">
        <v>1</v>
      </c>
    </row>
    <row r="829" spans="1:32" ht="14.25" customHeight="1" thickTop="1" thickBot="1" x14ac:dyDescent="0.3">
      <c r="A829" s="139">
        <f>ESCUADRAS!B157</f>
        <v>151</v>
      </c>
      <c r="B829" s="136">
        <f>ESCUADRAS!C157</f>
        <v>0</v>
      </c>
      <c r="C829" s="129"/>
      <c r="D829" s="114"/>
      <c r="E829" s="114"/>
      <c r="F829" s="114"/>
      <c r="G829" s="117"/>
      <c r="H829" s="111"/>
      <c r="I829" s="105"/>
      <c r="J829" s="105"/>
      <c r="K829" s="105"/>
      <c r="L829" s="108"/>
      <c r="M829" s="111"/>
      <c r="N829" s="105"/>
      <c r="O829" s="105"/>
      <c r="P829" s="105"/>
      <c r="Q829" s="108"/>
      <c r="R829" s="111"/>
      <c r="S829" s="105"/>
      <c r="T829" s="105"/>
      <c r="U829" s="105"/>
      <c r="V829" s="108"/>
      <c r="W829" s="111"/>
      <c r="X829" s="105"/>
      <c r="Y829" s="105"/>
      <c r="Z829" s="105"/>
      <c r="AA829" s="108"/>
      <c r="AB829" s="133"/>
    </row>
    <row r="830" spans="1:32" ht="13.95" customHeight="1" thickTop="1" thickBot="1" x14ac:dyDescent="0.3">
      <c r="A830" s="139"/>
      <c r="B830" s="137"/>
      <c r="C830" s="130"/>
      <c r="D830" s="115"/>
      <c r="E830" s="115"/>
      <c r="F830" s="115"/>
      <c r="G830" s="118"/>
      <c r="H830" s="112"/>
      <c r="I830" s="106"/>
      <c r="J830" s="106"/>
      <c r="K830" s="106"/>
      <c r="L830" s="109"/>
      <c r="M830" s="112"/>
      <c r="N830" s="106"/>
      <c r="O830" s="106"/>
      <c r="P830" s="106"/>
      <c r="Q830" s="109"/>
      <c r="R830" s="112"/>
      <c r="S830" s="106"/>
      <c r="T830" s="106"/>
      <c r="U830" s="106"/>
      <c r="V830" s="109"/>
      <c r="W830" s="112"/>
      <c r="X830" s="106"/>
      <c r="Y830" s="106"/>
      <c r="Z830" s="106"/>
      <c r="AA830" s="109"/>
      <c r="AB830" s="134"/>
    </row>
    <row r="831" spans="1:32" ht="13.95" customHeight="1" thickTop="1" thickBot="1" x14ac:dyDescent="0.3">
      <c r="A831" s="139"/>
      <c r="B831" s="138"/>
      <c r="C831" s="131"/>
      <c r="D831" s="116"/>
      <c r="E831" s="116"/>
      <c r="F831" s="116"/>
      <c r="G831" s="119"/>
      <c r="H831" s="113"/>
      <c r="I831" s="107"/>
      <c r="J831" s="107"/>
      <c r="K831" s="107"/>
      <c r="L831" s="110"/>
      <c r="M831" s="113"/>
      <c r="N831" s="107"/>
      <c r="O831" s="107"/>
      <c r="P831" s="107"/>
      <c r="Q831" s="110"/>
      <c r="R831" s="113"/>
      <c r="S831" s="107"/>
      <c r="T831" s="107"/>
      <c r="U831" s="107"/>
      <c r="V831" s="110"/>
      <c r="W831" s="113"/>
      <c r="X831" s="107"/>
      <c r="Y831" s="107"/>
      <c r="Z831" s="107"/>
      <c r="AA831" s="110"/>
      <c r="AB831" s="135"/>
    </row>
    <row r="832" spans="1:32" ht="14.25" customHeight="1" thickTop="1" x14ac:dyDescent="0.25">
      <c r="A832" s="140">
        <f>ESCUADRAS!B158</f>
        <v>152</v>
      </c>
      <c r="B832" s="136">
        <f>ESCUADRAS!C158</f>
        <v>0</v>
      </c>
      <c r="C832" s="93"/>
      <c r="D832" s="123"/>
      <c r="E832" s="123"/>
      <c r="F832" s="123"/>
      <c r="G832" s="126"/>
      <c r="H832" s="102"/>
      <c r="I832" s="96"/>
      <c r="J832" s="96"/>
      <c r="K832" s="96"/>
      <c r="L832" s="99"/>
      <c r="M832" s="102"/>
      <c r="N832" s="96"/>
      <c r="O832" s="96"/>
      <c r="P832" s="96"/>
      <c r="Q832" s="99"/>
      <c r="R832" s="102"/>
      <c r="S832" s="96"/>
      <c r="T832" s="96"/>
      <c r="U832" s="96"/>
      <c r="V832" s="99"/>
      <c r="W832" s="111"/>
      <c r="X832" s="105"/>
      <c r="Y832" s="105"/>
      <c r="Z832" s="105"/>
      <c r="AA832" s="108"/>
      <c r="AB832" s="133"/>
    </row>
    <row r="833" spans="1:28" ht="14.25" customHeight="1" x14ac:dyDescent="0.25">
      <c r="A833" s="141"/>
      <c r="B833" s="137"/>
      <c r="C833" s="94"/>
      <c r="D833" s="124"/>
      <c r="E833" s="124"/>
      <c r="F833" s="124"/>
      <c r="G833" s="127"/>
      <c r="H833" s="103"/>
      <c r="I833" s="97"/>
      <c r="J833" s="97"/>
      <c r="K833" s="97"/>
      <c r="L833" s="100"/>
      <c r="M833" s="103"/>
      <c r="N833" s="97"/>
      <c r="O833" s="97"/>
      <c r="P833" s="97"/>
      <c r="Q833" s="100"/>
      <c r="R833" s="103"/>
      <c r="S833" s="97"/>
      <c r="T833" s="97"/>
      <c r="U833" s="97"/>
      <c r="V833" s="100"/>
      <c r="W833" s="112"/>
      <c r="X833" s="106"/>
      <c r="Y833" s="106"/>
      <c r="Z833" s="106"/>
      <c r="AA833" s="109"/>
      <c r="AB833" s="134"/>
    </row>
    <row r="834" spans="1:28" ht="13.5" customHeight="1" thickBot="1" x14ac:dyDescent="0.3">
      <c r="A834" s="142"/>
      <c r="B834" s="138"/>
      <c r="C834" s="95"/>
      <c r="D834" s="125"/>
      <c r="E834" s="125"/>
      <c r="F834" s="125"/>
      <c r="G834" s="128"/>
      <c r="H834" s="104"/>
      <c r="I834" s="98"/>
      <c r="J834" s="98"/>
      <c r="K834" s="98"/>
      <c r="L834" s="101"/>
      <c r="M834" s="104"/>
      <c r="N834" s="98"/>
      <c r="O834" s="98"/>
      <c r="P834" s="98"/>
      <c r="Q834" s="101"/>
      <c r="R834" s="104"/>
      <c r="S834" s="98"/>
      <c r="T834" s="98"/>
      <c r="U834" s="98"/>
      <c r="V834" s="101"/>
      <c r="W834" s="113"/>
      <c r="X834" s="107"/>
      <c r="Y834" s="107"/>
      <c r="Z834" s="107"/>
      <c r="AA834" s="110"/>
      <c r="AB834" s="135"/>
    </row>
    <row r="835" spans="1:28" ht="14.25" customHeight="1" thickTop="1" thickBot="1" x14ac:dyDescent="0.3">
      <c r="A835" s="139">
        <f>ESCUADRAS!B159</f>
        <v>153</v>
      </c>
      <c r="B835" s="145">
        <f>ESCUADRAS!C159</f>
        <v>0</v>
      </c>
      <c r="C835" s="93"/>
      <c r="D835" s="123"/>
      <c r="E835" s="123"/>
      <c r="F835" s="123"/>
      <c r="G835" s="126"/>
      <c r="H835" s="102"/>
      <c r="I835" s="96"/>
      <c r="J835" s="96"/>
      <c r="K835" s="96"/>
      <c r="L835" s="99"/>
      <c r="M835" s="102"/>
      <c r="N835" s="96"/>
      <c r="O835" s="96"/>
      <c r="P835" s="96"/>
      <c r="Q835" s="99"/>
      <c r="R835" s="111"/>
      <c r="S835" s="105"/>
      <c r="T835" s="105"/>
      <c r="U835" s="105"/>
      <c r="V835" s="108"/>
      <c r="W835" s="102"/>
      <c r="X835" s="96"/>
      <c r="Y835" s="96"/>
      <c r="Z835" s="96"/>
      <c r="AA835" s="99"/>
      <c r="AB835" s="133"/>
    </row>
    <row r="836" spans="1:28" ht="14.25" customHeight="1" thickTop="1" thickBot="1" x14ac:dyDescent="0.3">
      <c r="A836" s="139"/>
      <c r="B836" s="146"/>
      <c r="C836" s="94"/>
      <c r="D836" s="124"/>
      <c r="E836" s="124"/>
      <c r="F836" s="124"/>
      <c r="G836" s="127"/>
      <c r="H836" s="103"/>
      <c r="I836" s="97"/>
      <c r="J836" s="97"/>
      <c r="K836" s="97"/>
      <c r="L836" s="100"/>
      <c r="M836" s="103"/>
      <c r="N836" s="97"/>
      <c r="O836" s="97"/>
      <c r="P836" s="97"/>
      <c r="Q836" s="100"/>
      <c r="R836" s="112"/>
      <c r="S836" s="106"/>
      <c r="T836" s="106"/>
      <c r="U836" s="106"/>
      <c r="V836" s="109"/>
      <c r="W836" s="103"/>
      <c r="X836" s="97"/>
      <c r="Y836" s="97"/>
      <c r="Z836" s="97"/>
      <c r="AA836" s="100"/>
      <c r="AB836" s="134"/>
    </row>
    <row r="837" spans="1:28" ht="13.5" customHeight="1" thickTop="1" thickBot="1" x14ac:dyDescent="0.3">
      <c r="A837" s="139"/>
      <c r="B837" s="147"/>
      <c r="C837" s="95"/>
      <c r="D837" s="125"/>
      <c r="E837" s="125"/>
      <c r="F837" s="125"/>
      <c r="G837" s="128"/>
      <c r="H837" s="104"/>
      <c r="I837" s="98"/>
      <c r="J837" s="98"/>
      <c r="K837" s="98"/>
      <c r="L837" s="101"/>
      <c r="M837" s="104"/>
      <c r="N837" s="98"/>
      <c r="O837" s="98"/>
      <c r="P837" s="98"/>
      <c r="Q837" s="101"/>
      <c r="R837" s="113"/>
      <c r="S837" s="107"/>
      <c r="T837" s="107"/>
      <c r="U837" s="107"/>
      <c r="V837" s="110"/>
      <c r="W837" s="104"/>
      <c r="X837" s="98"/>
      <c r="Y837" s="98"/>
      <c r="Z837" s="98"/>
      <c r="AA837" s="101"/>
      <c r="AB837" s="135"/>
    </row>
    <row r="838" spans="1:28" ht="13.5" customHeight="1" thickTop="1" x14ac:dyDescent="0.25">
      <c r="A838" s="140">
        <f>ESCUADRAS!B160</f>
        <v>154</v>
      </c>
      <c r="B838" s="136">
        <f>ESCUADRAS!C160</f>
        <v>0</v>
      </c>
      <c r="C838" s="93"/>
      <c r="D838" s="123"/>
      <c r="E838" s="123"/>
      <c r="F838" s="123"/>
      <c r="G838" s="126"/>
      <c r="H838" s="102"/>
      <c r="I838" s="96"/>
      <c r="J838" s="96"/>
      <c r="K838" s="96"/>
      <c r="L838" s="99"/>
      <c r="M838" s="111"/>
      <c r="N838" s="105"/>
      <c r="O838" s="105"/>
      <c r="P838" s="105"/>
      <c r="Q838" s="108"/>
      <c r="R838" s="102"/>
      <c r="S838" s="96"/>
      <c r="T838" s="96"/>
      <c r="U838" s="96"/>
      <c r="V838" s="99"/>
      <c r="W838" s="102"/>
      <c r="X838" s="96"/>
      <c r="Y838" s="96"/>
      <c r="Z838" s="96"/>
      <c r="AA838" s="99"/>
      <c r="AB838" s="133"/>
    </row>
    <row r="839" spans="1:28" ht="14.25" customHeight="1" x14ac:dyDescent="0.25">
      <c r="A839" s="141"/>
      <c r="B839" s="137"/>
      <c r="C839" s="94"/>
      <c r="D839" s="124"/>
      <c r="E839" s="124"/>
      <c r="F839" s="124"/>
      <c r="G839" s="127"/>
      <c r="H839" s="103"/>
      <c r="I839" s="97"/>
      <c r="J839" s="97"/>
      <c r="K839" s="97"/>
      <c r="L839" s="100"/>
      <c r="M839" s="112"/>
      <c r="N839" s="106"/>
      <c r="O839" s="106"/>
      <c r="P839" s="106"/>
      <c r="Q839" s="109"/>
      <c r="R839" s="103"/>
      <c r="S839" s="97"/>
      <c r="T839" s="97"/>
      <c r="U839" s="97"/>
      <c r="V839" s="100"/>
      <c r="W839" s="103"/>
      <c r="X839" s="97"/>
      <c r="Y839" s="97"/>
      <c r="Z839" s="97"/>
      <c r="AA839" s="100"/>
      <c r="AB839" s="134"/>
    </row>
    <row r="840" spans="1:28" ht="13.5" customHeight="1" thickBot="1" x14ac:dyDescent="0.3">
      <c r="A840" s="142"/>
      <c r="B840" s="138"/>
      <c r="C840" s="95"/>
      <c r="D840" s="125"/>
      <c r="E840" s="125"/>
      <c r="F840" s="125"/>
      <c r="G840" s="128"/>
      <c r="H840" s="104"/>
      <c r="I840" s="98"/>
      <c r="J840" s="98"/>
      <c r="K840" s="98"/>
      <c r="L840" s="101"/>
      <c r="M840" s="113"/>
      <c r="N840" s="107"/>
      <c r="O840" s="107"/>
      <c r="P840" s="107"/>
      <c r="Q840" s="110"/>
      <c r="R840" s="104"/>
      <c r="S840" s="98"/>
      <c r="T840" s="98"/>
      <c r="U840" s="98"/>
      <c r="V840" s="101"/>
      <c r="W840" s="104"/>
      <c r="X840" s="98"/>
      <c r="Y840" s="98"/>
      <c r="Z840" s="98"/>
      <c r="AA840" s="101"/>
      <c r="AB840" s="135"/>
    </row>
    <row r="841" spans="1:28" ht="14.25" customHeight="1" thickTop="1" thickBot="1" x14ac:dyDescent="0.3">
      <c r="A841" s="139">
        <f>ESCUADRAS!B161</f>
        <v>155</v>
      </c>
      <c r="B841" s="136">
        <f>ESCUADRAS!C161</f>
        <v>0</v>
      </c>
      <c r="C841" s="93"/>
      <c r="D841" s="123"/>
      <c r="E841" s="123"/>
      <c r="F841" s="123"/>
      <c r="G841" s="126"/>
      <c r="H841" s="111"/>
      <c r="I841" s="105"/>
      <c r="J841" s="105"/>
      <c r="K841" s="105"/>
      <c r="L841" s="108"/>
      <c r="M841" s="102"/>
      <c r="N841" s="96"/>
      <c r="O841" s="96"/>
      <c r="P841" s="96"/>
      <c r="Q841" s="99"/>
      <c r="R841" s="102"/>
      <c r="S841" s="96"/>
      <c r="T841" s="96"/>
      <c r="U841" s="96"/>
      <c r="V841" s="99"/>
      <c r="W841" s="102"/>
      <c r="X841" s="96"/>
      <c r="Y841" s="96"/>
      <c r="Z841" s="96"/>
      <c r="AA841" s="99"/>
      <c r="AB841" s="133"/>
    </row>
    <row r="842" spans="1:28" ht="14.25" customHeight="1" thickTop="1" thickBot="1" x14ac:dyDescent="0.3">
      <c r="A842" s="139"/>
      <c r="B842" s="137"/>
      <c r="C842" s="94"/>
      <c r="D842" s="124"/>
      <c r="E842" s="124"/>
      <c r="F842" s="124"/>
      <c r="G842" s="127"/>
      <c r="H842" s="112"/>
      <c r="I842" s="106"/>
      <c r="J842" s="106"/>
      <c r="K842" s="106"/>
      <c r="L842" s="109"/>
      <c r="M842" s="103"/>
      <c r="N842" s="97"/>
      <c r="O842" s="97"/>
      <c r="P842" s="97"/>
      <c r="Q842" s="100"/>
      <c r="R842" s="103"/>
      <c r="S842" s="97"/>
      <c r="T842" s="97"/>
      <c r="U842" s="97"/>
      <c r="V842" s="100"/>
      <c r="W842" s="103"/>
      <c r="X842" s="97"/>
      <c r="Y842" s="97"/>
      <c r="Z842" s="97"/>
      <c r="AA842" s="100"/>
      <c r="AB842" s="134"/>
    </row>
    <row r="843" spans="1:28" ht="13.5" customHeight="1" thickTop="1" thickBot="1" x14ac:dyDescent="0.3">
      <c r="A843" s="139"/>
      <c r="B843" s="138"/>
      <c r="C843" s="95"/>
      <c r="D843" s="125"/>
      <c r="E843" s="125"/>
      <c r="F843" s="125"/>
      <c r="G843" s="128"/>
      <c r="H843" s="113"/>
      <c r="I843" s="107"/>
      <c r="J843" s="107"/>
      <c r="K843" s="107"/>
      <c r="L843" s="110"/>
      <c r="M843" s="104"/>
      <c r="N843" s="98"/>
      <c r="O843" s="98"/>
      <c r="P843" s="98"/>
      <c r="Q843" s="101"/>
      <c r="R843" s="104"/>
      <c r="S843" s="98"/>
      <c r="T843" s="98"/>
      <c r="U843" s="98"/>
      <c r="V843" s="101"/>
      <c r="W843" s="104"/>
      <c r="X843" s="98"/>
      <c r="Y843" s="98"/>
      <c r="Z843" s="98"/>
      <c r="AA843" s="101"/>
      <c r="AB843" s="135"/>
    </row>
    <row r="844" spans="1:28" ht="13.5" customHeight="1" thickTop="1" x14ac:dyDescent="0.25">
      <c r="A844" s="140">
        <f>ESCUADRAS!B162</f>
        <v>156</v>
      </c>
      <c r="B844" s="136">
        <f>ESCUADRAS!C162</f>
        <v>0</v>
      </c>
      <c r="C844" s="111"/>
      <c r="D844" s="105"/>
      <c r="E844" s="105"/>
      <c r="F844" s="105"/>
      <c r="G844" s="108"/>
      <c r="H844" s="122"/>
      <c r="I844" s="120"/>
      <c r="J844" s="120"/>
      <c r="K844" s="120"/>
      <c r="L844" s="121"/>
      <c r="M844" s="122"/>
      <c r="N844" s="120"/>
      <c r="O844" s="120"/>
      <c r="P844" s="120"/>
      <c r="Q844" s="121"/>
      <c r="R844" s="122"/>
      <c r="S844" s="120"/>
      <c r="T844" s="120"/>
      <c r="U844" s="120"/>
      <c r="V844" s="121"/>
      <c r="W844" s="122"/>
      <c r="X844" s="120"/>
      <c r="Y844" s="120"/>
      <c r="Z844" s="120"/>
      <c r="AA844" s="121"/>
      <c r="AB844" s="133"/>
    </row>
    <row r="845" spans="1:28" ht="14.25" customHeight="1" x14ac:dyDescent="0.25">
      <c r="A845" s="141"/>
      <c r="B845" s="137"/>
      <c r="C845" s="112"/>
      <c r="D845" s="106"/>
      <c r="E845" s="106"/>
      <c r="F845" s="106"/>
      <c r="G845" s="109"/>
      <c r="H845" s="103"/>
      <c r="I845" s="97"/>
      <c r="J845" s="97"/>
      <c r="K845" s="97"/>
      <c r="L845" s="100"/>
      <c r="M845" s="103"/>
      <c r="N845" s="97"/>
      <c r="O845" s="97"/>
      <c r="P845" s="97"/>
      <c r="Q845" s="100"/>
      <c r="R845" s="103"/>
      <c r="S845" s="97"/>
      <c r="T845" s="97"/>
      <c r="U845" s="97"/>
      <c r="V845" s="100"/>
      <c r="W845" s="103"/>
      <c r="X845" s="97"/>
      <c r="Y845" s="97"/>
      <c r="Z845" s="97"/>
      <c r="AA845" s="100"/>
      <c r="AB845" s="134"/>
    </row>
    <row r="846" spans="1:28" ht="13.5" customHeight="1" thickBot="1" x14ac:dyDescent="0.3">
      <c r="A846" s="142"/>
      <c r="B846" s="138"/>
      <c r="C846" s="113"/>
      <c r="D846" s="107"/>
      <c r="E846" s="107"/>
      <c r="F846" s="107"/>
      <c r="G846" s="110"/>
      <c r="H846" s="104"/>
      <c r="I846" s="98"/>
      <c r="J846" s="98"/>
      <c r="K846" s="98"/>
      <c r="L846" s="101"/>
      <c r="M846" s="104"/>
      <c r="N846" s="98"/>
      <c r="O846" s="98"/>
      <c r="P846" s="98"/>
      <c r="Q846" s="101"/>
      <c r="R846" s="104"/>
      <c r="S846" s="98"/>
      <c r="T846" s="98"/>
      <c r="U846" s="98"/>
      <c r="V846" s="101"/>
      <c r="W846" s="104"/>
      <c r="X846" s="98"/>
      <c r="Y846" s="98"/>
      <c r="Z846" s="98"/>
      <c r="AA846" s="101"/>
      <c r="AB846" s="135"/>
    </row>
    <row r="848" spans="1:28" ht="15" x14ac:dyDescent="0.25">
      <c r="A848" s="28"/>
      <c r="B848" s="26" t="s">
        <v>35</v>
      </c>
      <c r="E848" s="21" t="s">
        <v>41</v>
      </c>
      <c r="I848" s="21" t="s">
        <v>42</v>
      </c>
      <c r="M848" s="21" t="s">
        <v>43</v>
      </c>
      <c r="Q848" s="21" t="s">
        <v>44</v>
      </c>
      <c r="U848" s="21" t="s">
        <v>45</v>
      </c>
      <c r="Y848" s="21" t="s">
        <v>46</v>
      </c>
    </row>
    <row r="855" spans="1:32" ht="24.6" x14ac:dyDescent="0.25">
      <c r="A855" s="144" t="str">
        <f>'INSCRIPCION '!A$1</f>
        <v>TIRADA</v>
      </c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</row>
    <row r="856" spans="1:32" ht="24.6" x14ac:dyDescent="0.4">
      <c r="A856" s="23"/>
      <c r="B856" s="23"/>
    </row>
    <row r="857" spans="1:32" ht="22.8" x14ac:dyDescent="0.25">
      <c r="A857" s="132" t="str">
        <f>'INSCRIPCION '!A$2</f>
        <v>CAMPO DE TIRO LA ISLA</v>
      </c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</row>
    <row r="858" spans="1:32" ht="20.399999999999999" x14ac:dyDescent="0.25">
      <c r="A858" s="143" t="str">
        <f>'INSCRIPCION '!A$3</f>
        <v>XXX PLATOS</v>
      </c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  <c r="AA858" s="143"/>
      <c r="AB858" s="143"/>
      <c r="AC858" s="143"/>
      <c r="AD858" s="143"/>
      <c r="AE858" s="143"/>
      <c r="AF858" s="143"/>
    </row>
    <row r="859" spans="1:32" ht="22.8" x14ac:dyDescent="0.4">
      <c r="A859" s="24"/>
      <c r="B859" s="24"/>
    </row>
    <row r="860" spans="1:32" ht="17.399999999999999" x14ac:dyDescent="0.3">
      <c r="A860" s="25" t="s">
        <v>37</v>
      </c>
      <c r="B860" s="25"/>
      <c r="J860" s="9" t="s">
        <v>6</v>
      </c>
      <c r="K860" s="9"/>
      <c r="L860" s="9"/>
      <c r="M860" s="9"/>
      <c r="N860" s="9"/>
      <c r="O860" s="22">
        <v>3</v>
      </c>
      <c r="P860" s="22"/>
      <c r="Q860" s="8"/>
      <c r="R860" s="8"/>
      <c r="S860" s="7"/>
      <c r="T860" s="8"/>
      <c r="U860" s="8"/>
      <c r="V860" s="9" t="s">
        <v>7</v>
      </c>
      <c r="W860" s="9"/>
      <c r="X860" s="9"/>
      <c r="Y860" s="9"/>
      <c r="Z860" s="22">
        <v>1</v>
      </c>
      <c r="AA860" s="22"/>
    </row>
    <row r="861" spans="1:32" ht="13.8" thickBot="1" x14ac:dyDescent="0.3"/>
    <row r="862" spans="1:32" ht="15.6" thickBot="1" x14ac:dyDescent="0.3">
      <c r="A862" s="27" t="s">
        <v>0</v>
      </c>
      <c r="B862" s="27" t="s">
        <v>8</v>
      </c>
      <c r="C862" s="47">
        <v>1</v>
      </c>
      <c r="D862" s="48">
        <v>2</v>
      </c>
      <c r="E862" s="48">
        <v>3</v>
      </c>
      <c r="F862" s="48">
        <v>4</v>
      </c>
      <c r="G862" s="49">
        <v>5</v>
      </c>
      <c r="H862" s="47">
        <v>6</v>
      </c>
      <c r="I862" s="48">
        <v>7</v>
      </c>
      <c r="J862" s="48">
        <v>8</v>
      </c>
      <c r="K862" s="48">
        <v>9</v>
      </c>
      <c r="L862" s="49">
        <v>10</v>
      </c>
      <c r="M862" s="47">
        <v>11</v>
      </c>
      <c r="N862" s="48">
        <v>12</v>
      </c>
      <c r="O862" s="48">
        <v>13</v>
      </c>
      <c r="P862" s="48">
        <v>14</v>
      </c>
      <c r="Q862" s="49">
        <v>15</v>
      </c>
      <c r="R862" s="47">
        <v>16</v>
      </c>
      <c r="S862" s="48">
        <v>17</v>
      </c>
      <c r="T862" s="48">
        <v>18</v>
      </c>
      <c r="U862" s="48">
        <v>19</v>
      </c>
      <c r="V862" s="49">
        <v>20</v>
      </c>
      <c r="W862" s="47">
        <v>21</v>
      </c>
      <c r="X862" s="48">
        <v>22</v>
      </c>
      <c r="Y862" s="48">
        <v>23</v>
      </c>
      <c r="Z862" s="48">
        <v>24</v>
      </c>
      <c r="AA862" s="49">
        <v>25</v>
      </c>
      <c r="AB862" s="30" t="s">
        <v>1</v>
      </c>
    </row>
    <row r="863" spans="1:32" ht="14.25" customHeight="1" thickTop="1" thickBot="1" x14ac:dyDescent="0.3">
      <c r="A863" s="139">
        <f>ESCUADRAS!B163</f>
        <v>157</v>
      </c>
      <c r="B863" s="136">
        <f>ESCUADRAS!C163</f>
        <v>0</v>
      </c>
      <c r="C863" s="129"/>
      <c r="D863" s="114"/>
      <c r="E863" s="114"/>
      <c r="F863" s="114"/>
      <c r="G863" s="117"/>
      <c r="H863" s="111"/>
      <c r="I863" s="105"/>
      <c r="J863" s="105"/>
      <c r="K863" s="105"/>
      <c r="L863" s="108"/>
      <c r="M863" s="111"/>
      <c r="N863" s="105"/>
      <c r="O863" s="105"/>
      <c r="P863" s="105"/>
      <c r="Q863" s="108"/>
      <c r="R863" s="111"/>
      <c r="S863" s="105"/>
      <c r="T863" s="105"/>
      <c r="U863" s="105"/>
      <c r="V863" s="108"/>
      <c r="W863" s="111"/>
      <c r="X863" s="105"/>
      <c r="Y863" s="105"/>
      <c r="Z863" s="105"/>
      <c r="AA863" s="108"/>
      <c r="AB863" s="133"/>
    </row>
    <row r="864" spans="1:32" ht="13.95" customHeight="1" thickTop="1" thickBot="1" x14ac:dyDescent="0.3">
      <c r="A864" s="139"/>
      <c r="B864" s="137"/>
      <c r="C864" s="130"/>
      <c r="D864" s="115"/>
      <c r="E864" s="115"/>
      <c r="F864" s="115"/>
      <c r="G864" s="118"/>
      <c r="H864" s="112"/>
      <c r="I864" s="106"/>
      <c r="J864" s="106"/>
      <c r="K864" s="106"/>
      <c r="L864" s="109"/>
      <c r="M864" s="112"/>
      <c r="N864" s="106"/>
      <c r="O864" s="106"/>
      <c r="P864" s="106"/>
      <c r="Q864" s="109"/>
      <c r="R864" s="112"/>
      <c r="S864" s="106"/>
      <c r="T864" s="106"/>
      <c r="U864" s="106"/>
      <c r="V864" s="109"/>
      <c r="W864" s="112"/>
      <c r="X864" s="106"/>
      <c r="Y864" s="106"/>
      <c r="Z864" s="106"/>
      <c r="AA864" s="109"/>
      <c r="AB864" s="134"/>
    </row>
    <row r="865" spans="1:28" ht="13.95" customHeight="1" thickTop="1" thickBot="1" x14ac:dyDescent="0.3">
      <c r="A865" s="139"/>
      <c r="B865" s="138"/>
      <c r="C865" s="131"/>
      <c r="D865" s="116"/>
      <c r="E865" s="116"/>
      <c r="F865" s="116"/>
      <c r="G865" s="119"/>
      <c r="H865" s="113"/>
      <c r="I865" s="107"/>
      <c r="J865" s="107"/>
      <c r="K865" s="107"/>
      <c r="L865" s="110"/>
      <c r="M865" s="113"/>
      <c r="N865" s="107"/>
      <c r="O865" s="107"/>
      <c r="P865" s="107"/>
      <c r="Q865" s="110"/>
      <c r="R865" s="113"/>
      <c r="S865" s="107"/>
      <c r="T865" s="107"/>
      <c r="U865" s="107"/>
      <c r="V865" s="110"/>
      <c r="W865" s="113"/>
      <c r="X865" s="107"/>
      <c r="Y865" s="107"/>
      <c r="Z865" s="107"/>
      <c r="AA865" s="110"/>
      <c r="AB865" s="135"/>
    </row>
    <row r="866" spans="1:28" ht="14.25" customHeight="1" thickTop="1" x14ac:dyDescent="0.25">
      <c r="A866" s="140">
        <f>ESCUADRAS!B164</f>
        <v>158</v>
      </c>
      <c r="B866" s="136">
        <f>ESCUADRAS!C164</f>
        <v>0</v>
      </c>
      <c r="C866" s="93"/>
      <c r="D866" s="123"/>
      <c r="E866" s="123"/>
      <c r="F866" s="123"/>
      <c r="G866" s="126"/>
      <c r="H866" s="102"/>
      <c r="I866" s="96"/>
      <c r="J866" s="96"/>
      <c r="K866" s="96"/>
      <c r="L866" s="99"/>
      <c r="M866" s="102"/>
      <c r="N866" s="96"/>
      <c r="O866" s="96"/>
      <c r="P866" s="96"/>
      <c r="Q866" s="99"/>
      <c r="R866" s="102"/>
      <c r="S866" s="96"/>
      <c r="T866" s="96"/>
      <c r="U866" s="96"/>
      <c r="V866" s="99"/>
      <c r="W866" s="111"/>
      <c r="X866" s="105"/>
      <c r="Y866" s="105"/>
      <c r="Z866" s="105"/>
      <c r="AA866" s="108"/>
      <c r="AB866" s="133"/>
    </row>
    <row r="867" spans="1:28" ht="13.95" customHeight="1" x14ac:dyDescent="0.25">
      <c r="A867" s="141"/>
      <c r="B867" s="137"/>
      <c r="C867" s="94"/>
      <c r="D867" s="124"/>
      <c r="E867" s="124"/>
      <c r="F867" s="124"/>
      <c r="G867" s="127"/>
      <c r="H867" s="103"/>
      <c r="I867" s="97"/>
      <c r="J867" s="97"/>
      <c r="K867" s="97"/>
      <c r="L867" s="100"/>
      <c r="M867" s="103"/>
      <c r="N867" s="97"/>
      <c r="O867" s="97"/>
      <c r="P867" s="97"/>
      <c r="Q867" s="100"/>
      <c r="R867" s="103"/>
      <c r="S867" s="97"/>
      <c r="T867" s="97"/>
      <c r="U867" s="97"/>
      <c r="V867" s="100"/>
      <c r="W867" s="112"/>
      <c r="X867" s="106"/>
      <c r="Y867" s="106"/>
      <c r="Z867" s="106"/>
      <c r="AA867" s="109"/>
      <c r="AB867" s="134"/>
    </row>
    <row r="868" spans="1:28" ht="13.95" customHeight="1" thickBot="1" x14ac:dyDescent="0.3">
      <c r="A868" s="142"/>
      <c r="B868" s="138"/>
      <c r="C868" s="95"/>
      <c r="D868" s="125"/>
      <c r="E868" s="125"/>
      <c r="F868" s="125"/>
      <c r="G868" s="128"/>
      <c r="H868" s="104"/>
      <c r="I868" s="98"/>
      <c r="J868" s="98"/>
      <c r="K868" s="98"/>
      <c r="L868" s="101"/>
      <c r="M868" s="104"/>
      <c r="N868" s="98"/>
      <c r="O868" s="98"/>
      <c r="P868" s="98"/>
      <c r="Q868" s="101"/>
      <c r="R868" s="104"/>
      <c r="S868" s="98"/>
      <c r="T868" s="98"/>
      <c r="U868" s="98"/>
      <c r="V868" s="101"/>
      <c r="W868" s="113"/>
      <c r="X868" s="107"/>
      <c r="Y868" s="107"/>
      <c r="Z868" s="107"/>
      <c r="AA868" s="110"/>
      <c r="AB868" s="135"/>
    </row>
    <row r="869" spans="1:28" ht="14.25" customHeight="1" thickTop="1" thickBot="1" x14ac:dyDescent="0.3">
      <c r="A869" s="139">
        <f>ESCUADRAS!B165</f>
        <v>159</v>
      </c>
      <c r="B869" s="136">
        <f>ESCUADRAS!C165</f>
        <v>0</v>
      </c>
      <c r="C869" s="93"/>
      <c r="D869" s="123"/>
      <c r="E869" s="123"/>
      <c r="F869" s="123"/>
      <c r="G869" s="126"/>
      <c r="H869" s="102"/>
      <c r="I869" s="96"/>
      <c r="J869" s="96"/>
      <c r="K869" s="96"/>
      <c r="L869" s="99"/>
      <c r="M869" s="102"/>
      <c r="N869" s="96"/>
      <c r="O869" s="96"/>
      <c r="P869" s="96"/>
      <c r="Q869" s="99"/>
      <c r="R869" s="111"/>
      <c r="S869" s="105"/>
      <c r="T869" s="105"/>
      <c r="U869" s="105"/>
      <c r="V869" s="108"/>
      <c r="W869" s="102"/>
      <c r="X869" s="96"/>
      <c r="Y869" s="96"/>
      <c r="Z869" s="96"/>
      <c r="AA869" s="99"/>
      <c r="AB869" s="133"/>
    </row>
    <row r="870" spans="1:28" ht="14.25" customHeight="1" thickTop="1" thickBot="1" x14ac:dyDescent="0.3">
      <c r="A870" s="139"/>
      <c r="B870" s="137"/>
      <c r="C870" s="94"/>
      <c r="D870" s="124"/>
      <c r="E870" s="124"/>
      <c r="F870" s="124"/>
      <c r="G870" s="127"/>
      <c r="H870" s="103"/>
      <c r="I870" s="97"/>
      <c r="J870" s="97"/>
      <c r="K870" s="97"/>
      <c r="L870" s="100"/>
      <c r="M870" s="103"/>
      <c r="N870" s="97"/>
      <c r="O870" s="97"/>
      <c r="P870" s="97"/>
      <c r="Q870" s="100"/>
      <c r="R870" s="112"/>
      <c r="S870" s="106"/>
      <c r="T870" s="106"/>
      <c r="U870" s="106"/>
      <c r="V870" s="109"/>
      <c r="W870" s="103"/>
      <c r="X870" s="97"/>
      <c r="Y870" s="97"/>
      <c r="Z870" s="97"/>
      <c r="AA870" s="100"/>
      <c r="AB870" s="134"/>
    </row>
    <row r="871" spans="1:28" ht="13.5" customHeight="1" thickTop="1" thickBot="1" x14ac:dyDescent="0.3">
      <c r="A871" s="139"/>
      <c r="B871" s="138"/>
      <c r="C871" s="95"/>
      <c r="D871" s="125"/>
      <c r="E871" s="125"/>
      <c r="F871" s="125"/>
      <c r="G871" s="128"/>
      <c r="H871" s="104"/>
      <c r="I871" s="98"/>
      <c r="J871" s="98"/>
      <c r="K871" s="98"/>
      <c r="L871" s="101"/>
      <c r="M871" s="104"/>
      <c r="N871" s="98"/>
      <c r="O871" s="98"/>
      <c r="P871" s="98"/>
      <c r="Q871" s="101"/>
      <c r="R871" s="113"/>
      <c r="S871" s="107"/>
      <c r="T871" s="107"/>
      <c r="U871" s="107"/>
      <c r="V871" s="110"/>
      <c r="W871" s="104"/>
      <c r="X871" s="98"/>
      <c r="Y871" s="98"/>
      <c r="Z871" s="98"/>
      <c r="AA871" s="101"/>
      <c r="AB871" s="135"/>
    </row>
    <row r="872" spans="1:28" ht="13.5" customHeight="1" thickTop="1" x14ac:dyDescent="0.25">
      <c r="A872" s="140">
        <f>ESCUADRAS!B166</f>
        <v>160</v>
      </c>
      <c r="B872" s="136">
        <f>ESCUADRAS!C166</f>
        <v>0</v>
      </c>
      <c r="C872" s="93"/>
      <c r="D872" s="123"/>
      <c r="E872" s="123"/>
      <c r="F872" s="123"/>
      <c r="G872" s="126"/>
      <c r="H872" s="102"/>
      <c r="I872" s="96"/>
      <c r="J872" s="96"/>
      <c r="K872" s="96"/>
      <c r="L872" s="99"/>
      <c r="M872" s="111"/>
      <c r="N872" s="105"/>
      <c r="O872" s="105"/>
      <c r="P872" s="105"/>
      <c r="Q872" s="108"/>
      <c r="R872" s="102"/>
      <c r="S872" s="96"/>
      <c r="T872" s="96"/>
      <c r="U872" s="96"/>
      <c r="V872" s="99"/>
      <c r="W872" s="102"/>
      <c r="X872" s="96"/>
      <c r="Y872" s="96"/>
      <c r="Z872" s="96"/>
      <c r="AA872" s="99"/>
      <c r="AB872" s="133"/>
    </row>
    <row r="873" spans="1:28" ht="14.25" customHeight="1" x14ac:dyDescent="0.25">
      <c r="A873" s="141"/>
      <c r="B873" s="137"/>
      <c r="C873" s="94"/>
      <c r="D873" s="124"/>
      <c r="E873" s="124"/>
      <c r="F873" s="124"/>
      <c r="G873" s="127"/>
      <c r="H873" s="103"/>
      <c r="I873" s="97"/>
      <c r="J873" s="97"/>
      <c r="K873" s="97"/>
      <c r="L873" s="100"/>
      <c r="M873" s="112"/>
      <c r="N873" s="106"/>
      <c r="O873" s="106"/>
      <c r="P873" s="106"/>
      <c r="Q873" s="109"/>
      <c r="R873" s="103"/>
      <c r="S873" s="97"/>
      <c r="T873" s="97"/>
      <c r="U873" s="97"/>
      <c r="V873" s="100"/>
      <c r="W873" s="103"/>
      <c r="X873" s="97"/>
      <c r="Y873" s="97"/>
      <c r="Z873" s="97"/>
      <c r="AA873" s="100"/>
      <c r="AB873" s="134"/>
    </row>
    <row r="874" spans="1:28" ht="13.5" customHeight="1" thickBot="1" x14ac:dyDescent="0.3">
      <c r="A874" s="142"/>
      <c r="B874" s="138"/>
      <c r="C874" s="95"/>
      <c r="D874" s="125"/>
      <c r="E874" s="125"/>
      <c r="F874" s="125"/>
      <c r="G874" s="128"/>
      <c r="H874" s="104"/>
      <c r="I874" s="98"/>
      <c r="J874" s="98"/>
      <c r="K874" s="98"/>
      <c r="L874" s="101"/>
      <c r="M874" s="113"/>
      <c r="N874" s="107"/>
      <c r="O874" s="107"/>
      <c r="P874" s="107"/>
      <c r="Q874" s="110"/>
      <c r="R874" s="104"/>
      <c r="S874" s="98"/>
      <c r="T874" s="98"/>
      <c r="U874" s="98"/>
      <c r="V874" s="101"/>
      <c r="W874" s="104"/>
      <c r="X874" s="98"/>
      <c r="Y874" s="98"/>
      <c r="Z874" s="98"/>
      <c r="AA874" s="101"/>
      <c r="AB874" s="135"/>
    </row>
    <row r="875" spans="1:28" ht="14.25" customHeight="1" thickTop="1" thickBot="1" x14ac:dyDescent="0.3">
      <c r="A875" s="139">
        <f>ESCUADRAS!B167</f>
        <v>161</v>
      </c>
      <c r="B875" s="136">
        <f>ESCUADRAS!C167</f>
        <v>0</v>
      </c>
      <c r="C875" s="93"/>
      <c r="D875" s="123"/>
      <c r="E875" s="123"/>
      <c r="F875" s="123"/>
      <c r="G875" s="126"/>
      <c r="H875" s="111"/>
      <c r="I875" s="105"/>
      <c r="J875" s="105"/>
      <c r="K875" s="105"/>
      <c r="L875" s="108"/>
      <c r="M875" s="102"/>
      <c r="N875" s="96"/>
      <c r="O875" s="96"/>
      <c r="P875" s="96"/>
      <c r="Q875" s="99"/>
      <c r="R875" s="102"/>
      <c r="S875" s="96"/>
      <c r="T875" s="96"/>
      <c r="U875" s="96"/>
      <c r="V875" s="99"/>
      <c r="W875" s="102"/>
      <c r="X875" s="96"/>
      <c r="Y875" s="96"/>
      <c r="Z875" s="96"/>
      <c r="AA875" s="99"/>
      <c r="AB875" s="133"/>
    </row>
    <row r="876" spans="1:28" ht="14.25" customHeight="1" thickTop="1" thickBot="1" x14ac:dyDescent="0.3">
      <c r="A876" s="139"/>
      <c r="B876" s="137"/>
      <c r="C876" s="94"/>
      <c r="D876" s="124"/>
      <c r="E876" s="124"/>
      <c r="F876" s="124"/>
      <c r="G876" s="127"/>
      <c r="H876" s="112"/>
      <c r="I876" s="106"/>
      <c r="J876" s="106"/>
      <c r="K876" s="106"/>
      <c r="L876" s="109"/>
      <c r="M876" s="103"/>
      <c r="N876" s="97"/>
      <c r="O876" s="97"/>
      <c r="P876" s="97"/>
      <c r="Q876" s="100"/>
      <c r="R876" s="103"/>
      <c r="S876" s="97"/>
      <c r="T876" s="97"/>
      <c r="U876" s="97"/>
      <c r="V876" s="100"/>
      <c r="W876" s="103"/>
      <c r="X876" s="97"/>
      <c r="Y876" s="97"/>
      <c r="Z876" s="97"/>
      <c r="AA876" s="100"/>
      <c r="AB876" s="134"/>
    </row>
    <row r="877" spans="1:28" ht="13.5" customHeight="1" thickTop="1" thickBot="1" x14ac:dyDescent="0.3">
      <c r="A877" s="139"/>
      <c r="B877" s="138"/>
      <c r="C877" s="95"/>
      <c r="D877" s="125"/>
      <c r="E877" s="125"/>
      <c r="F877" s="125"/>
      <c r="G877" s="128"/>
      <c r="H877" s="113"/>
      <c r="I877" s="107"/>
      <c r="J877" s="107"/>
      <c r="K877" s="107"/>
      <c r="L877" s="110"/>
      <c r="M877" s="104"/>
      <c r="N877" s="98"/>
      <c r="O877" s="98"/>
      <c r="P877" s="98"/>
      <c r="Q877" s="101"/>
      <c r="R877" s="104"/>
      <c r="S877" s="98"/>
      <c r="T877" s="98"/>
      <c r="U877" s="98"/>
      <c r="V877" s="101"/>
      <c r="W877" s="104"/>
      <c r="X877" s="98"/>
      <c r="Y877" s="98"/>
      <c r="Z877" s="98"/>
      <c r="AA877" s="101"/>
      <c r="AB877" s="135"/>
    </row>
    <row r="878" spans="1:28" ht="13.5" customHeight="1" thickTop="1" x14ac:dyDescent="0.25">
      <c r="A878" s="140">
        <f>ESCUADRAS!B168</f>
        <v>162</v>
      </c>
      <c r="B878" s="136">
        <f>ESCUADRAS!C168</f>
        <v>0</v>
      </c>
      <c r="C878" s="111"/>
      <c r="D878" s="105"/>
      <c r="E878" s="105"/>
      <c r="F878" s="105"/>
      <c r="G878" s="108"/>
      <c r="H878" s="122"/>
      <c r="I878" s="120"/>
      <c r="J878" s="120"/>
      <c r="K878" s="120"/>
      <c r="L878" s="121"/>
      <c r="M878" s="122"/>
      <c r="N878" s="120"/>
      <c r="O878" s="120"/>
      <c r="P878" s="120"/>
      <c r="Q878" s="121"/>
      <c r="R878" s="122"/>
      <c r="S878" s="120"/>
      <c r="T878" s="120"/>
      <c r="U878" s="120"/>
      <c r="V878" s="121"/>
      <c r="W878" s="122"/>
      <c r="X878" s="120"/>
      <c r="Y878" s="120"/>
      <c r="Z878" s="120"/>
      <c r="AA878" s="121"/>
      <c r="AB878" s="133"/>
    </row>
    <row r="879" spans="1:28" ht="14.25" customHeight="1" x14ac:dyDescent="0.25">
      <c r="A879" s="141"/>
      <c r="B879" s="137"/>
      <c r="C879" s="112"/>
      <c r="D879" s="106"/>
      <c r="E879" s="106"/>
      <c r="F879" s="106"/>
      <c r="G879" s="109"/>
      <c r="H879" s="103"/>
      <c r="I879" s="97"/>
      <c r="J879" s="97"/>
      <c r="K879" s="97"/>
      <c r="L879" s="100"/>
      <c r="M879" s="103"/>
      <c r="N879" s="97"/>
      <c r="O879" s="97"/>
      <c r="P879" s="97"/>
      <c r="Q879" s="100"/>
      <c r="R879" s="103"/>
      <c r="S879" s="97"/>
      <c r="T879" s="97"/>
      <c r="U879" s="97"/>
      <c r="V879" s="100"/>
      <c r="W879" s="103"/>
      <c r="X879" s="97"/>
      <c r="Y879" s="97"/>
      <c r="Z879" s="97"/>
      <c r="AA879" s="100"/>
      <c r="AB879" s="134"/>
    </row>
    <row r="880" spans="1:28" ht="13.5" customHeight="1" thickBot="1" x14ac:dyDescent="0.3">
      <c r="A880" s="142"/>
      <c r="B880" s="138"/>
      <c r="C880" s="113"/>
      <c r="D880" s="107"/>
      <c r="E880" s="107"/>
      <c r="F880" s="107"/>
      <c r="G880" s="110"/>
      <c r="H880" s="104"/>
      <c r="I880" s="98"/>
      <c r="J880" s="98"/>
      <c r="K880" s="98"/>
      <c r="L880" s="101"/>
      <c r="M880" s="104"/>
      <c r="N880" s="98"/>
      <c r="O880" s="98"/>
      <c r="P880" s="98"/>
      <c r="Q880" s="101"/>
      <c r="R880" s="104"/>
      <c r="S880" s="98"/>
      <c r="T880" s="98"/>
      <c r="U880" s="98"/>
      <c r="V880" s="101"/>
      <c r="W880" s="104"/>
      <c r="X880" s="98"/>
      <c r="Y880" s="98"/>
      <c r="Z880" s="98"/>
      <c r="AA880" s="101"/>
      <c r="AB880" s="135"/>
    </row>
    <row r="882" spans="1:32" ht="15" x14ac:dyDescent="0.25">
      <c r="A882" s="28"/>
      <c r="B882" s="26" t="s">
        <v>35</v>
      </c>
      <c r="E882" s="21" t="s">
        <v>41</v>
      </c>
      <c r="I882" s="21" t="s">
        <v>42</v>
      </c>
      <c r="M882" s="21" t="s">
        <v>43</v>
      </c>
      <c r="Q882" s="21" t="s">
        <v>44</v>
      </c>
      <c r="U882" s="21" t="s">
        <v>45</v>
      </c>
      <c r="Y882" s="21" t="s">
        <v>46</v>
      </c>
    </row>
    <row r="889" spans="1:32" ht="24.6" x14ac:dyDescent="0.25">
      <c r="A889" s="144" t="str">
        <f>'INSCRIPCION '!A$1</f>
        <v>TIRADA</v>
      </c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</row>
    <row r="890" spans="1:32" ht="24.6" x14ac:dyDescent="0.4">
      <c r="A890" s="23"/>
      <c r="B890" s="23"/>
    </row>
    <row r="891" spans="1:32" ht="22.8" x14ac:dyDescent="0.25">
      <c r="A891" s="132" t="str">
        <f>'INSCRIPCION '!A$2</f>
        <v>CAMPO DE TIRO LA ISLA</v>
      </c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</row>
    <row r="892" spans="1:32" ht="20.399999999999999" x14ac:dyDescent="0.25">
      <c r="A892" s="143" t="str">
        <f>'INSCRIPCION '!A$3</f>
        <v>XXX PLATOS</v>
      </c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  <c r="AA892" s="143"/>
      <c r="AB892" s="143"/>
      <c r="AC892" s="143"/>
      <c r="AD892" s="143"/>
      <c r="AE892" s="143"/>
      <c r="AF892" s="143"/>
    </row>
    <row r="893" spans="1:32" ht="22.8" x14ac:dyDescent="0.4">
      <c r="A893" s="24"/>
      <c r="B893" s="24"/>
    </row>
    <row r="894" spans="1:32" ht="17.399999999999999" x14ac:dyDescent="0.3">
      <c r="A894" s="25" t="s">
        <v>38</v>
      </c>
      <c r="B894" s="25"/>
      <c r="J894" s="9" t="s">
        <v>6</v>
      </c>
      <c r="K894" s="9"/>
      <c r="L894" s="9"/>
      <c r="M894" s="9"/>
      <c r="N894" s="9"/>
      <c r="O894" s="22">
        <v>4</v>
      </c>
      <c r="P894" s="22"/>
      <c r="Q894" s="8"/>
      <c r="R894" s="8"/>
      <c r="S894" s="7"/>
      <c r="T894" s="8"/>
      <c r="U894" s="8"/>
      <c r="V894" s="9" t="s">
        <v>7</v>
      </c>
      <c r="W894" s="9"/>
      <c r="X894" s="9"/>
      <c r="Y894" s="9"/>
      <c r="Z894" s="22">
        <v>1</v>
      </c>
      <c r="AA894" s="22"/>
    </row>
    <row r="895" spans="1:32" ht="13.8" thickBot="1" x14ac:dyDescent="0.3"/>
    <row r="896" spans="1:32" ht="15.6" thickBot="1" x14ac:dyDescent="0.3">
      <c r="A896" s="27" t="s">
        <v>0</v>
      </c>
      <c r="B896" s="27" t="s">
        <v>8</v>
      </c>
      <c r="C896" s="47">
        <v>1</v>
      </c>
      <c r="D896" s="48">
        <v>2</v>
      </c>
      <c r="E896" s="48">
        <v>3</v>
      </c>
      <c r="F896" s="48">
        <v>4</v>
      </c>
      <c r="G896" s="49">
        <v>5</v>
      </c>
      <c r="H896" s="47">
        <v>6</v>
      </c>
      <c r="I896" s="48">
        <v>7</v>
      </c>
      <c r="J896" s="48">
        <v>8</v>
      </c>
      <c r="K896" s="48">
        <v>9</v>
      </c>
      <c r="L896" s="49">
        <v>10</v>
      </c>
      <c r="M896" s="47">
        <v>11</v>
      </c>
      <c r="N896" s="48">
        <v>12</v>
      </c>
      <c r="O896" s="48">
        <v>13</v>
      </c>
      <c r="P896" s="48">
        <v>14</v>
      </c>
      <c r="Q896" s="49">
        <v>15</v>
      </c>
      <c r="R896" s="47">
        <v>16</v>
      </c>
      <c r="S896" s="48">
        <v>17</v>
      </c>
      <c r="T896" s="48">
        <v>18</v>
      </c>
      <c r="U896" s="48">
        <v>19</v>
      </c>
      <c r="V896" s="49">
        <v>20</v>
      </c>
      <c r="W896" s="47">
        <v>21</v>
      </c>
      <c r="X896" s="48">
        <v>22</v>
      </c>
      <c r="Y896" s="48">
        <v>23</v>
      </c>
      <c r="Z896" s="48">
        <v>24</v>
      </c>
      <c r="AA896" s="49">
        <v>25</v>
      </c>
      <c r="AB896" s="30" t="s">
        <v>1</v>
      </c>
    </row>
    <row r="897" spans="1:28" ht="14.25" customHeight="1" thickTop="1" thickBot="1" x14ac:dyDescent="0.3">
      <c r="A897" s="139">
        <f>ESCUADRAS!B169</f>
        <v>163</v>
      </c>
      <c r="B897" s="136">
        <f>ESCUADRAS!C169</f>
        <v>0</v>
      </c>
      <c r="C897" s="129"/>
      <c r="D897" s="114"/>
      <c r="E897" s="114"/>
      <c r="F897" s="114"/>
      <c r="G897" s="117"/>
      <c r="H897" s="111"/>
      <c r="I897" s="105"/>
      <c r="J897" s="105"/>
      <c r="K897" s="105"/>
      <c r="L897" s="108"/>
      <c r="M897" s="111"/>
      <c r="N897" s="105"/>
      <c r="O897" s="105"/>
      <c r="P897" s="105"/>
      <c r="Q897" s="108"/>
      <c r="R897" s="111"/>
      <c r="S897" s="105"/>
      <c r="T897" s="105"/>
      <c r="U897" s="105"/>
      <c r="V897" s="108"/>
      <c r="W897" s="111"/>
      <c r="X897" s="105"/>
      <c r="Y897" s="105"/>
      <c r="Z897" s="105"/>
      <c r="AA897" s="108"/>
      <c r="AB897" s="133"/>
    </row>
    <row r="898" spans="1:28" ht="13.95" customHeight="1" thickTop="1" thickBot="1" x14ac:dyDescent="0.3">
      <c r="A898" s="139"/>
      <c r="B898" s="137"/>
      <c r="C898" s="130"/>
      <c r="D898" s="115"/>
      <c r="E898" s="115"/>
      <c r="F898" s="115"/>
      <c r="G898" s="118"/>
      <c r="H898" s="112"/>
      <c r="I898" s="106"/>
      <c r="J898" s="106"/>
      <c r="K898" s="106"/>
      <c r="L898" s="109"/>
      <c r="M898" s="112"/>
      <c r="N898" s="106"/>
      <c r="O898" s="106"/>
      <c r="P898" s="106"/>
      <c r="Q898" s="109"/>
      <c r="R898" s="112"/>
      <c r="S898" s="106"/>
      <c r="T898" s="106"/>
      <c r="U898" s="106"/>
      <c r="V898" s="109"/>
      <c r="W898" s="112"/>
      <c r="X898" s="106"/>
      <c r="Y898" s="106"/>
      <c r="Z898" s="106"/>
      <c r="AA898" s="109"/>
      <c r="AB898" s="134"/>
    </row>
    <row r="899" spans="1:28" ht="13.95" customHeight="1" thickTop="1" thickBot="1" x14ac:dyDescent="0.3">
      <c r="A899" s="139"/>
      <c r="B899" s="138"/>
      <c r="C899" s="131"/>
      <c r="D899" s="116"/>
      <c r="E899" s="116"/>
      <c r="F899" s="116"/>
      <c r="G899" s="119"/>
      <c r="H899" s="113"/>
      <c r="I899" s="107"/>
      <c r="J899" s="107"/>
      <c r="K899" s="107"/>
      <c r="L899" s="110"/>
      <c r="M899" s="113"/>
      <c r="N899" s="107"/>
      <c r="O899" s="107"/>
      <c r="P899" s="107"/>
      <c r="Q899" s="110"/>
      <c r="R899" s="113"/>
      <c r="S899" s="107"/>
      <c r="T899" s="107"/>
      <c r="U899" s="107"/>
      <c r="V899" s="110"/>
      <c r="W899" s="113"/>
      <c r="X899" s="107"/>
      <c r="Y899" s="107"/>
      <c r="Z899" s="107"/>
      <c r="AA899" s="110"/>
      <c r="AB899" s="135"/>
    </row>
    <row r="900" spans="1:28" ht="14.25" customHeight="1" thickTop="1" x14ac:dyDescent="0.25">
      <c r="A900" s="140">
        <f>ESCUADRAS!B170</f>
        <v>164</v>
      </c>
      <c r="B900" s="136">
        <f>ESCUADRAS!C170</f>
        <v>0</v>
      </c>
      <c r="C900" s="93"/>
      <c r="D900" s="123"/>
      <c r="E900" s="123"/>
      <c r="F900" s="123"/>
      <c r="G900" s="126"/>
      <c r="H900" s="102"/>
      <c r="I900" s="96"/>
      <c r="J900" s="96"/>
      <c r="K900" s="96"/>
      <c r="L900" s="99"/>
      <c r="M900" s="102"/>
      <c r="N900" s="96"/>
      <c r="O900" s="96"/>
      <c r="P900" s="96"/>
      <c r="Q900" s="99"/>
      <c r="R900" s="102"/>
      <c r="S900" s="96"/>
      <c r="T900" s="96"/>
      <c r="U900" s="96"/>
      <c r="V900" s="99"/>
      <c r="W900" s="111"/>
      <c r="X900" s="105"/>
      <c r="Y900" s="105"/>
      <c r="Z900" s="105"/>
      <c r="AA900" s="108"/>
      <c r="AB900" s="133"/>
    </row>
    <row r="901" spans="1:28" ht="13.95" customHeight="1" x14ac:dyDescent="0.25">
      <c r="A901" s="141"/>
      <c r="B901" s="137"/>
      <c r="C901" s="94"/>
      <c r="D901" s="124"/>
      <c r="E901" s="124"/>
      <c r="F901" s="124"/>
      <c r="G901" s="127"/>
      <c r="H901" s="103"/>
      <c r="I901" s="97"/>
      <c r="J901" s="97"/>
      <c r="K901" s="97"/>
      <c r="L901" s="100"/>
      <c r="M901" s="103"/>
      <c r="N901" s="97"/>
      <c r="O901" s="97"/>
      <c r="P901" s="97"/>
      <c r="Q901" s="100"/>
      <c r="R901" s="103"/>
      <c r="S901" s="97"/>
      <c r="T901" s="97"/>
      <c r="U901" s="97"/>
      <c r="V901" s="100"/>
      <c r="W901" s="112"/>
      <c r="X901" s="106"/>
      <c r="Y901" s="106"/>
      <c r="Z901" s="106"/>
      <c r="AA901" s="109"/>
      <c r="AB901" s="134"/>
    </row>
    <row r="902" spans="1:28" ht="13.95" customHeight="1" thickBot="1" x14ac:dyDescent="0.3">
      <c r="A902" s="142"/>
      <c r="B902" s="138"/>
      <c r="C902" s="95"/>
      <c r="D902" s="125"/>
      <c r="E902" s="125"/>
      <c r="F902" s="125"/>
      <c r="G902" s="128"/>
      <c r="H902" s="104"/>
      <c r="I902" s="98"/>
      <c r="J902" s="98"/>
      <c r="K902" s="98"/>
      <c r="L902" s="101"/>
      <c r="M902" s="104"/>
      <c r="N902" s="98"/>
      <c r="O902" s="98"/>
      <c r="P902" s="98"/>
      <c r="Q902" s="101"/>
      <c r="R902" s="104"/>
      <c r="S902" s="98"/>
      <c r="T902" s="98"/>
      <c r="U902" s="98"/>
      <c r="V902" s="101"/>
      <c r="W902" s="113"/>
      <c r="X902" s="107"/>
      <c r="Y902" s="107"/>
      <c r="Z902" s="107"/>
      <c r="AA902" s="110"/>
      <c r="AB902" s="135"/>
    </row>
    <row r="903" spans="1:28" ht="14.25" customHeight="1" thickTop="1" thickBot="1" x14ac:dyDescent="0.3">
      <c r="A903" s="139">
        <f>ESCUADRAS!B171</f>
        <v>165</v>
      </c>
      <c r="B903" s="136">
        <f>ESCUADRAS!C171</f>
        <v>0</v>
      </c>
      <c r="C903" s="93"/>
      <c r="D903" s="123"/>
      <c r="E903" s="123"/>
      <c r="F903" s="123"/>
      <c r="G903" s="126"/>
      <c r="H903" s="102"/>
      <c r="I903" s="96"/>
      <c r="J903" s="96"/>
      <c r="K903" s="96"/>
      <c r="L903" s="99"/>
      <c r="M903" s="102"/>
      <c r="N903" s="96"/>
      <c r="O903" s="96"/>
      <c r="P903" s="96"/>
      <c r="Q903" s="99"/>
      <c r="R903" s="111"/>
      <c r="S903" s="105"/>
      <c r="T903" s="105"/>
      <c r="U903" s="105"/>
      <c r="V903" s="108"/>
      <c r="W903" s="102"/>
      <c r="X903" s="96"/>
      <c r="Y903" s="96"/>
      <c r="Z903" s="96"/>
      <c r="AA903" s="99"/>
      <c r="AB903" s="133"/>
    </row>
    <row r="904" spans="1:28" ht="13.95" customHeight="1" thickTop="1" thickBot="1" x14ac:dyDescent="0.3">
      <c r="A904" s="139"/>
      <c r="B904" s="137"/>
      <c r="C904" s="94"/>
      <c r="D904" s="124"/>
      <c r="E904" s="124"/>
      <c r="F904" s="124"/>
      <c r="G904" s="127"/>
      <c r="H904" s="103"/>
      <c r="I904" s="97"/>
      <c r="J904" s="97"/>
      <c r="K904" s="97"/>
      <c r="L904" s="100"/>
      <c r="M904" s="103"/>
      <c r="N904" s="97"/>
      <c r="O904" s="97"/>
      <c r="P904" s="97"/>
      <c r="Q904" s="100"/>
      <c r="R904" s="112"/>
      <c r="S904" s="106"/>
      <c r="T904" s="106"/>
      <c r="U904" s="106"/>
      <c r="V904" s="109"/>
      <c r="W904" s="103"/>
      <c r="X904" s="97"/>
      <c r="Y904" s="97"/>
      <c r="Z904" s="97"/>
      <c r="AA904" s="100"/>
      <c r="AB904" s="134"/>
    </row>
    <row r="905" spans="1:28" ht="13.95" customHeight="1" thickTop="1" thickBot="1" x14ac:dyDescent="0.3">
      <c r="A905" s="139"/>
      <c r="B905" s="138"/>
      <c r="C905" s="95"/>
      <c r="D905" s="125"/>
      <c r="E905" s="125"/>
      <c r="F905" s="125"/>
      <c r="G905" s="128"/>
      <c r="H905" s="104"/>
      <c r="I905" s="98"/>
      <c r="J905" s="98"/>
      <c r="K905" s="98"/>
      <c r="L905" s="101"/>
      <c r="M905" s="104"/>
      <c r="N905" s="98"/>
      <c r="O905" s="98"/>
      <c r="P905" s="98"/>
      <c r="Q905" s="101"/>
      <c r="R905" s="113"/>
      <c r="S905" s="107"/>
      <c r="T905" s="107"/>
      <c r="U905" s="107"/>
      <c r="V905" s="110"/>
      <c r="W905" s="104"/>
      <c r="X905" s="98"/>
      <c r="Y905" s="98"/>
      <c r="Z905" s="98"/>
      <c r="AA905" s="101"/>
      <c r="AB905" s="135"/>
    </row>
    <row r="906" spans="1:28" ht="13.5" customHeight="1" thickTop="1" x14ac:dyDescent="0.25">
      <c r="A906" s="140">
        <f>ESCUADRAS!B172</f>
        <v>166</v>
      </c>
      <c r="B906" s="136">
        <f>ESCUADRAS!C172</f>
        <v>0</v>
      </c>
      <c r="C906" s="93"/>
      <c r="D906" s="123"/>
      <c r="E906" s="123"/>
      <c r="F906" s="123"/>
      <c r="G906" s="126"/>
      <c r="H906" s="102"/>
      <c r="I906" s="96"/>
      <c r="J906" s="96"/>
      <c r="K906" s="96"/>
      <c r="L906" s="99"/>
      <c r="M906" s="111"/>
      <c r="N906" s="105"/>
      <c r="O906" s="105"/>
      <c r="P906" s="105"/>
      <c r="Q906" s="108"/>
      <c r="R906" s="102"/>
      <c r="S906" s="96"/>
      <c r="T906" s="96"/>
      <c r="U906" s="96"/>
      <c r="V906" s="99"/>
      <c r="W906" s="102"/>
      <c r="X906" s="96"/>
      <c r="Y906" s="96"/>
      <c r="Z906" s="96"/>
      <c r="AA906" s="99"/>
      <c r="AB906" s="133"/>
    </row>
    <row r="907" spans="1:28" ht="13.95" customHeight="1" x14ac:dyDescent="0.25">
      <c r="A907" s="141"/>
      <c r="B907" s="137"/>
      <c r="C907" s="94"/>
      <c r="D907" s="124"/>
      <c r="E907" s="124"/>
      <c r="F907" s="124"/>
      <c r="G907" s="127"/>
      <c r="H907" s="103"/>
      <c r="I907" s="97"/>
      <c r="J907" s="97"/>
      <c r="K907" s="97"/>
      <c r="L907" s="100"/>
      <c r="M907" s="112"/>
      <c r="N907" s="106"/>
      <c r="O907" s="106"/>
      <c r="P907" s="106"/>
      <c r="Q907" s="109"/>
      <c r="R907" s="103"/>
      <c r="S907" s="97"/>
      <c r="T907" s="97"/>
      <c r="U907" s="97"/>
      <c r="V907" s="100"/>
      <c r="W907" s="103"/>
      <c r="X907" s="97"/>
      <c r="Y907" s="97"/>
      <c r="Z907" s="97"/>
      <c r="AA907" s="100"/>
      <c r="AB907" s="134"/>
    </row>
    <row r="908" spans="1:28" ht="13.95" customHeight="1" thickBot="1" x14ac:dyDescent="0.3">
      <c r="A908" s="142"/>
      <c r="B908" s="138"/>
      <c r="C908" s="95"/>
      <c r="D908" s="125"/>
      <c r="E908" s="125"/>
      <c r="F908" s="125"/>
      <c r="G908" s="128"/>
      <c r="H908" s="104"/>
      <c r="I908" s="98"/>
      <c r="J908" s="98"/>
      <c r="K908" s="98"/>
      <c r="L908" s="101"/>
      <c r="M908" s="113"/>
      <c r="N908" s="107"/>
      <c r="O908" s="107"/>
      <c r="P908" s="107"/>
      <c r="Q908" s="110"/>
      <c r="R908" s="104"/>
      <c r="S908" s="98"/>
      <c r="T908" s="98"/>
      <c r="U908" s="98"/>
      <c r="V908" s="101"/>
      <c r="W908" s="104"/>
      <c r="X908" s="98"/>
      <c r="Y908" s="98"/>
      <c r="Z908" s="98"/>
      <c r="AA908" s="101"/>
      <c r="AB908" s="135"/>
    </row>
    <row r="909" spans="1:28" ht="14.25" customHeight="1" thickTop="1" thickBot="1" x14ac:dyDescent="0.3">
      <c r="A909" s="139">
        <f>ESCUADRAS!B173</f>
        <v>167</v>
      </c>
      <c r="B909" s="136">
        <f>ESCUADRAS!C173</f>
        <v>0</v>
      </c>
      <c r="C909" s="93"/>
      <c r="D909" s="123"/>
      <c r="E909" s="123"/>
      <c r="F909" s="123"/>
      <c r="G909" s="126"/>
      <c r="H909" s="111"/>
      <c r="I909" s="105"/>
      <c r="J909" s="105"/>
      <c r="K909" s="105"/>
      <c r="L909" s="108"/>
      <c r="M909" s="102"/>
      <c r="N909" s="96"/>
      <c r="O909" s="96"/>
      <c r="P909" s="96"/>
      <c r="Q909" s="99"/>
      <c r="R909" s="102"/>
      <c r="S909" s="96"/>
      <c r="T909" s="96"/>
      <c r="U909" s="96"/>
      <c r="V909" s="99"/>
      <c r="W909" s="102"/>
      <c r="X909" s="96"/>
      <c r="Y909" s="96"/>
      <c r="Z909" s="96"/>
      <c r="AA909" s="99"/>
      <c r="AB909" s="133"/>
    </row>
    <row r="910" spans="1:28" ht="13.95" customHeight="1" thickTop="1" thickBot="1" x14ac:dyDescent="0.3">
      <c r="A910" s="139"/>
      <c r="B910" s="137"/>
      <c r="C910" s="94"/>
      <c r="D910" s="124"/>
      <c r="E910" s="124"/>
      <c r="F910" s="124"/>
      <c r="G910" s="127"/>
      <c r="H910" s="112"/>
      <c r="I910" s="106"/>
      <c r="J910" s="106"/>
      <c r="K910" s="106"/>
      <c r="L910" s="109"/>
      <c r="M910" s="103"/>
      <c r="N910" s="97"/>
      <c r="O910" s="97"/>
      <c r="P910" s="97"/>
      <c r="Q910" s="100"/>
      <c r="R910" s="103"/>
      <c r="S910" s="97"/>
      <c r="T910" s="97"/>
      <c r="U910" s="97"/>
      <c r="V910" s="100"/>
      <c r="W910" s="103"/>
      <c r="X910" s="97"/>
      <c r="Y910" s="97"/>
      <c r="Z910" s="97"/>
      <c r="AA910" s="100"/>
      <c r="AB910" s="134"/>
    </row>
    <row r="911" spans="1:28" ht="13.95" customHeight="1" thickTop="1" thickBot="1" x14ac:dyDescent="0.3">
      <c r="A911" s="139"/>
      <c r="B911" s="138"/>
      <c r="C911" s="95"/>
      <c r="D911" s="125"/>
      <c r="E911" s="125"/>
      <c r="F911" s="125"/>
      <c r="G911" s="128"/>
      <c r="H911" s="113"/>
      <c r="I911" s="107"/>
      <c r="J911" s="107"/>
      <c r="K911" s="107"/>
      <c r="L911" s="110"/>
      <c r="M911" s="104"/>
      <c r="N911" s="98"/>
      <c r="O911" s="98"/>
      <c r="P911" s="98"/>
      <c r="Q911" s="101"/>
      <c r="R911" s="104"/>
      <c r="S911" s="98"/>
      <c r="T911" s="98"/>
      <c r="U911" s="98"/>
      <c r="V911" s="101"/>
      <c r="W911" s="104"/>
      <c r="X911" s="98"/>
      <c r="Y911" s="98"/>
      <c r="Z911" s="98"/>
      <c r="AA911" s="101"/>
      <c r="AB911" s="135"/>
    </row>
    <row r="912" spans="1:28" ht="13.5" customHeight="1" thickTop="1" x14ac:dyDescent="0.25">
      <c r="A912" s="140">
        <f>ESCUADRAS!B174</f>
        <v>168</v>
      </c>
      <c r="B912" s="136">
        <f>ESCUADRAS!C174</f>
        <v>0</v>
      </c>
      <c r="C912" s="111"/>
      <c r="D912" s="105"/>
      <c r="E912" s="105"/>
      <c r="F912" s="105"/>
      <c r="G912" s="108"/>
      <c r="H912" s="122"/>
      <c r="I912" s="120"/>
      <c r="J912" s="120"/>
      <c r="K912" s="120"/>
      <c r="L912" s="121"/>
      <c r="M912" s="122"/>
      <c r="N912" s="120"/>
      <c r="O912" s="120"/>
      <c r="P912" s="120"/>
      <c r="Q912" s="121"/>
      <c r="R912" s="122"/>
      <c r="S912" s="120"/>
      <c r="T912" s="120"/>
      <c r="U912" s="120"/>
      <c r="V912" s="121"/>
      <c r="W912" s="122"/>
      <c r="X912" s="120"/>
      <c r="Y912" s="120"/>
      <c r="Z912" s="120"/>
      <c r="AA912" s="121"/>
      <c r="AB912" s="133"/>
    </row>
    <row r="913" spans="1:32" ht="13.95" customHeight="1" x14ac:dyDescent="0.25">
      <c r="A913" s="141"/>
      <c r="B913" s="137"/>
      <c r="C913" s="112"/>
      <c r="D913" s="106"/>
      <c r="E913" s="106"/>
      <c r="F913" s="106"/>
      <c r="G913" s="109"/>
      <c r="H913" s="103"/>
      <c r="I913" s="97"/>
      <c r="J913" s="97"/>
      <c r="K913" s="97"/>
      <c r="L913" s="100"/>
      <c r="M913" s="103"/>
      <c r="N913" s="97"/>
      <c r="O913" s="97"/>
      <c r="P913" s="97"/>
      <c r="Q913" s="100"/>
      <c r="R913" s="103"/>
      <c r="S913" s="97"/>
      <c r="T913" s="97"/>
      <c r="U913" s="97"/>
      <c r="V913" s="100"/>
      <c r="W913" s="103"/>
      <c r="X913" s="97"/>
      <c r="Y913" s="97"/>
      <c r="Z913" s="97"/>
      <c r="AA913" s="100"/>
      <c r="AB913" s="134"/>
    </row>
    <row r="914" spans="1:32" ht="13.95" customHeight="1" thickBot="1" x14ac:dyDescent="0.3">
      <c r="A914" s="142"/>
      <c r="B914" s="138"/>
      <c r="C914" s="113"/>
      <c r="D914" s="107"/>
      <c r="E914" s="107"/>
      <c r="F914" s="107"/>
      <c r="G914" s="110"/>
      <c r="H914" s="104"/>
      <c r="I914" s="98"/>
      <c r="J914" s="98"/>
      <c r="K914" s="98"/>
      <c r="L914" s="101"/>
      <c r="M914" s="104"/>
      <c r="N914" s="98"/>
      <c r="O914" s="98"/>
      <c r="P914" s="98"/>
      <c r="Q914" s="101"/>
      <c r="R914" s="104"/>
      <c r="S914" s="98"/>
      <c r="T914" s="98"/>
      <c r="U914" s="98"/>
      <c r="V914" s="101"/>
      <c r="W914" s="104"/>
      <c r="X914" s="98"/>
      <c r="Y914" s="98"/>
      <c r="Z914" s="98"/>
      <c r="AA914" s="101"/>
      <c r="AB914" s="135"/>
    </row>
    <row r="916" spans="1:32" ht="15" x14ac:dyDescent="0.25">
      <c r="A916" s="28"/>
      <c r="B916" s="26" t="s">
        <v>35</v>
      </c>
      <c r="E916" s="21" t="s">
        <v>41</v>
      </c>
      <c r="I916" s="21" t="s">
        <v>42</v>
      </c>
      <c r="M916" s="21" t="s">
        <v>43</v>
      </c>
      <c r="Q916" s="21" t="s">
        <v>44</v>
      </c>
      <c r="U916" s="21" t="s">
        <v>45</v>
      </c>
      <c r="Y916" s="21" t="s">
        <v>46</v>
      </c>
    </row>
    <row r="923" spans="1:32" ht="24.6" x14ac:dyDescent="0.25">
      <c r="A923" s="144" t="str">
        <f>'INSCRIPCION '!A$1</f>
        <v>TIRADA</v>
      </c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</row>
    <row r="924" spans="1:32" ht="24.6" x14ac:dyDescent="0.4">
      <c r="A924" s="23"/>
      <c r="B924" s="23"/>
    </row>
    <row r="925" spans="1:32" ht="22.8" x14ac:dyDescent="0.25">
      <c r="A925" s="132" t="str">
        <f>'INSCRIPCION '!A$2</f>
        <v>CAMPO DE TIRO LA ISLA</v>
      </c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</row>
    <row r="926" spans="1:32" ht="20.399999999999999" x14ac:dyDescent="0.25">
      <c r="A926" s="143" t="str">
        <f>'INSCRIPCION '!A$3</f>
        <v>XXX PLATOS</v>
      </c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  <c r="AA926" s="143"/>
      <c r="AB926" s="143"/>
      <c r="AC926" s="143"/>
      <c r="AD926" s="143"/>
      <c r="AE926" s="143"/>
      <c r="AF926" s="143"/>
    </row>
    <row r="927" spans="1:32" ht="22.8" x14ac:dyDescent="0.4">
      <c r="A927" s="24"/>
      <c r="B927" s="24"/>
    </row>
    <row r="928" spans="1:32" ht="17.399999999999999" x14ac:dyDescent="0.3">
      <c r="A928" s="25" t="s">
        <v>39</v>
      </c>
      <c r="B928" s="25"/>
      <c r="J928" s="9" t="s">
        <v>6</v>
      </c>
      <c r="K928" s="9"/>
      <c r="L928" s="9"/>
      <c r="M928" s="9"/>
      <c r="N928" s="9"/>
      <c r="O928" s="22">
        <v>1</v>
      </c>
      <c r="P928" s="22"/>
      <c r="Q928" s="8"/>
      <c r="R928" s="8"/>
      <c r="S928" s="7"/>
      <c r="T928" s="8"/>
      <c r="U928" s="8"/>
      <c r="V928" s="9" t="s">
        <v>7</v>
      </c>
      <c r="W928" s="9"/>
      <c r="X928" s="9"/>
      <c r="Y928" s="9"/>
      <c r="Z928" s="22">
        <v>1</v>
      </c>
      <c r="AA928" s="22"/>
    </row>
    <row r="929" spans="1:28" ht="13.8" thickBot="1" x14ac:dyDescent="0.3"/>
    <row r="930" spans="1:28" ht="15.6" thickBot="1" x14ac:dyDescent="0.3">
      <c r="A930" s="27" t="s">
        <v>0</v>
      </c>
      <c r="B930" s="27" t="s">
        <v>8</v>
      </c>
      <c r="C930" s="47">
        <v>1</v>
      </c>
      <c r="D930" s="48">
        <v>2</v>
      </c>
      <c r="E930" s="48">
        <v>3</v>
      </c>
      <c r="F930" s="48">
        <v>4</v>
      </c>
      <c r="G930" s="49">
        <v>5</v>
      </c>
      <c r="H930" s="47">
        <v>6</v>
      </c>
      <c r="I930" s="48">
        <v>7</v>
      </c>
      <c r="J930" s="48">
        <v>8</v>
      </c>
      <c r="K930" s="48">
        <v>9</v>
      </c>
      <c r="L930" s="49">
        <v>10</v>
      </c>
      <c r="M930" s="47">
        <v>11</v>
      </c>
      <c r="N930" s="48">
        <v>12</v>
      </c>
      <c r="O930" s="48">
        <v>13</v>
      </c>
      <c r="P930" s="48">
        <v>14</v>
      </c>
      <c r="Q930" s="49">
        <v>15</v>
      </c>
      <c r="R930" s="47">
        <v>16</v>
      </c>
      <c r="S930" s="48">
        <v>17</v>
      </c>
      <c r="T930" s="48">
        <v>18</v>
      </c>
      <c r="U930" s="48">
        <v>19</v>
      </c>
      <c r="V930" s="49">
        <v>20</v>
      </c>
      <c r="W930" s="47">
        <v>21</v>
      </c>
      <c r="X930" s="48">
        <v>22</v>
      </c>
      <c r="Y930" s="48">
        <v>23</v>
      </c>
      <c r="Z930" s="48">
        <v>24</v>
      </c>
      <c r="AA930" s="49">
        <v>25</v>
      </c>
      <c r="AB930" s="30" t="s">
        <v>1</v>
      </c>
    </row>
    <row r="931" spans="1:28" ht="14.25" customHeight="1" thickTop="1" thickBot="1" x14ac:dyDescent="0.3">
      <c r="A931" s="139">
        <f>ESCUADRAS!B175</f>
        <v>169</v>
      </c>
      <c r="B931" s="136">
        <f>ESCUADRAS!C175</f>
        <v>0</v>
      </c>
      <c r="C931" s="129"/>
      <c r="D931" s="114"/>
      <c r="E931" s="114"/>
      <c r="F931" s="114"/>
      <c r="G931" s="117"/>
      <c r="H931" s="111"/>
      <c r="I931" s="105"/>
      <c r="J931" s="105"/>
      <c r="K931" s="105"/>
      <c r="L931" s="108"/>
      <c r="M931" s="111"/>
      <c r="N931" s="105"/>
      <c r="O931" s="105"/>
      <c r="P931" s="105"/>
      <c r="Q931" s="108"/>
      <c r="R931" s="111"/>
      <c r="S931" s="105"/>
      <c r="T931" s="105"/>
      <c r="U931" s="105"/>
      <c r="V931" s="108"/>
      <c r="W931" s="111"/>
      <c r="X931" s="105"/>
      <c r="Y931" s="105"/>
      <c r="Z931" s="105"/>
      <c r="AA931" s="108"/>
      <c r="AB931" s="133"/>
    </row>
    <row r="932" spans="1:28" ht="13.95" customHeight="1" thickTop="1" thickBot="1" x14ac:dyDescent="0.3">
      <c r="A932" s="139"/>
      <c r="B932" s="137"/>
      <c r="C932" s="130"/>
      <c r="D932" s="115"/>
      <c r="E932" s="115"/>
      <c r="F932" s="115"/>
      <c r="G932" s="118"/>
      <c r="H932" s="112"/>
      <c r="I932" s="106"/>
      <c r="J932" s="106"/>
      <c r="K932" s="106"/>
      <c r="L932" s="109"/>
      <c r="M932" s="112"/>
      <c r="N932" s="106"/>
      <c r="O932" s="106"/>
      <c r="P932" s="106"/>
      <c r="Q932" s="109"/>
      <c r="R932" s="112"/>
      <c r="S932" s="106"/>
      <c r="T932" s="106"/>
      <c r="U932" s="106"/>
      <c r="V932" s="109"/>
      <c r="W932" s="112"/>
      <c r="X932" s="106"/>
      <c r="Y932" s="106"/>
      <c r="Z932" s="106"/>
      <c r="AA932" s="109"/>
      <c r="AB932" s="134"/>
    </row>
    <row r="933" spans="1:28" ht="13.95" customHeight="1" thickTop="1" thickBot="1" x14ac:dyDescent="0.3">
      <c r="A933" s="139"/>
      <c r="B933" s="138"/>
      <c r="C933" s="131"/>
      <c r="D933" s="116"/>
      <c r="E933" s="116"/>
      <c r="F933" s="116"/>
      <c r="G933" s="119"/>
      <c r="H933" s="113"/>
      <c r="I933" s="107"/>
      <c r="J933" s="107"/>
      <c r="K933" s="107"/>
      <c r="L933" s="110"/>
      <c r="M933" s="113"/>
      <c r="N933" s="107"/>
      <c r="O933" s="107"/>
      <c r="P933" s="107"/>
      <c r="Q933" s="110"/>
      <c r="R933" s="113"/>
      <c r="S933" s="107"/>
      <c r="T933" s="107"/>
      <c r="U933" s="107"/>
      <c r="V933" s="110"/>
      <c r="W933" s="113"/>
      <c r="X933" s="107"/>
      <c r="Y933" s="107"/>
      <c r="Z933" s="107"/>
      <c r="AA933" s="110"/>
      <c r="AB933" s="135"/>
    </row>
    <row r="934" spans="1:28" ht="14.25" customHeight="1" thickTop="1" x14ac:dyDescent="0.25">
      <c r="A934" s="140">
        <f>ESCUADRAS!B176</f>
        <v>170</v>
      </c>
      <c r="B934" s="136">
        <f>ESCUADRAS!C176</f>
        <v>0</v>
      </c>
      <c r="C934" s="93"/>
      <c r="D934" s="123"/>
      <c r="E934" s="123"/>
      <c r="F934" s="123"/>
      <c r="G934" s="126"/>
      <c r="H934" s="102"/>
      <c r="I934" s="96"/>
      <c r="J934" s="96"/>
      <c r="K934" s="96"/>
      <c r="L934" s="99"/>
      <c r="M934" s="102"/>
      <c r="N934" s="96"/>
      <c r="O934" s="96"/>
      <c r="P934" s="96"/>
      <c r="Q934" s="99"/>
      <c r="R934" s="102"/>
      <c r="S934" s="96"/>
      <c r="T934" s="96"/>
      <c r="U934" s="96"/>
      <c r="V934" s="99"/>
      <c r="W934" s="111"/>
      <c r="X934" s="105"/>
      <c r="Y934" s="105"/>
      <c r="Z934" s="105"/>
      <c r="AA934" s="108"/>
      <c r="AB934" s="133"/>
    </row>
    <row r="935" spans="1:28" ht="13.95" customHeight="1" x14ac:dyDescent="0.25">
      <c r="A935" s="141"/>
      <c r="B935" s="137"/>
      <c r="C935" s="94"/>
      <c r="D935" s="124"/>
      <c r="E935" s="124"/>
      <c r="F935" s="124"/>
      <c r="G935" s="127"/>
      <c r="H935" s="103"/>
      <c r="I935" s="97"/>
      <c r="J935" s="97"/>
      <c r="K935" s="97"/>
      <c r="L935" s="100"/>
      <c r="M935" s="103"/>
      <c r="N935" s="97"/>
      <c r="O935" s="97"/>
      <c r="P935" s="97"/>
      <c r="Q935" s="100"/>
      <c r="R935" s="103"/>
      <c r="S935" s="97"/>
      <c r="T935" s="97"/>
      <c r="U935" s="97"/>
      <c r="V935" s="100"/>
      <c r="W935" s="112"/>
      <c r="X935" s="106"/>
      <c r="Y935" s="106"/>
      <c r="Z935" s="106"/>
      <c r="AA935" s="109"/>
      <c r="AB935" s="134"/>
    </row>
    <row r="936" spans="1:28" ht="13.95" customHeight="1" thickBot="1" x14ac:dyDescent="0.3">
      <c r="A936" s="142"/>
      <c r="B936" s="138"/>
      <c r="C936" s="95"/>
      <c r="D936" s="125"/>
      <c r="E936" s="125"/>
      <c r="F936" s="125"/>
      <c r="G936" s="128"/>
      <c r="H936" s="104"/>
      <c r="I936" s="98"/>
      <c r="J936" s="98"/>
      <c r="K936" s="98"/>
      <c r="L936" s="101"/>
      <c r="M936" s="104"/>
      <c r="N936" s="98"/>
      <c r="O936" s="98"/>
      <c r="P936" s="98"/>
      <c r="Q936" s="101"/>
      <c r="R936" s="104"/>
      <c r="S936" s="98"/>
      <c r="T936" s="98"/>
      <c r="U936" s="98"/>
      <c r="V936" s="101"/>
      <c r="W936" s="113"/>
      <c r="X936" s="107"/>
      <c r="Y936" s="107"/>
      <c r="Z936" s="107"/>
      <c r="AA936" s="110"/>
      <c r="AB936" s="135"/>
    </row>
    <row r="937" spans="1:28" ht="14.25" customHeight="1" thickTop="1" thickBot="1" x14ac:dyDescent="0.3">
      <c r="A937" s="139">
        <f>ESCUADRAS!B177</f>
        <v>171</v>
      </c>
      <c r="B937" s="136">
        <f>ESCUADRAS!C177</f>
        <v>0</v>
      </c>
      <c r="C937" s="93"/>
      <c r="D937" s="123"/>
      <c r="E937" s="123"/>
      <c r="F937" s="123"/>
      <c r="G937" s="126"/>
      <c r="H937" s="102"/>
      <c r="I937" s="96"/>
      <c r="J937" s="96"/>
      <c r="K937" s="96"/>
      <c r="L937" s="99"/>
      <c r="M937" s="102"/>
      <c r="N937" s="96"/>
      <c r="O937" s="96"/>
      <c r="P937" s="96"/>
      <c r="Q937" s="99"/>
      <c r="R937" s="111"/>
      <c r="S937" s="105"/>
      <c r="T937" s="105"/>
      <c r="U937" s="105"/>
      <c r="V937" s="108"/>
      <c r="W937" s="102"/>
      <c r="X937" s="96"/>
      <c r="Y937" s="96"/>
      <c r="Z937" s="96"/>
      <c r="AA937" s="99"/>
      <c r="AB937" s="133"/>
    </row>
    <row r="938" spans="1:28" ht="13.95" customHeight="1" thickTop="1" thickBot="1" x14ac:dyDescent="0.3">
      <c r="A938" s="139"/>
      <c r="B938" s="137"/>
      <c r="C938" s="94"/>
      <c r="D938" s="124"/>
      <c r="E938" s="124"/>
      <c r="F938" s="124"/>
      <c r="G938" s="127"/>
      <c r="H938" s="103"/>
      <c r="I938" s="97"/>
      <c r="J938" s="97"/>
      <c r="K938" s="97"/>
      <c r="L938" s="100"/>
      <c r="M938" s="103"/>
      <c r="N938" s="97"/>
      <c r="O938" s="97"/>
      <c r="P938" s="97"/>
      <c r="Q938" s="100"/>
      <c r="R938" s="112"/>
      <c r="S938" s="106"/>
      <c r="T938" s="106"/>
      <c r="U938" s="106"/>
      <c r="V938" s="109"/>
      <c r="W938" s="103"/>
      <c r="X938" s="97"/>
      <c r="Y938" s="97"/>
      <c r="Z938" s="97"/>
      <c r="AA938" s="100"/>
      <c r="AB938" s="134"/>
    </row>
    <row r="939" spans="1:28" ht="13.95" customHeight="1" thickTop="1" thickBot="1" x14ac:dyDescent="0.3">
      <c r="A939" s="139"/>
      <c r="B939" s="138"/>
      <c r="C939" s="95"/>
      <c r="D939" s="125"/>
      <c r="E939" s="125"/>
      <c r="F939" s="125"/>
      <c r="G939" s="128"/>
      <c r="H939" s="104"/>
      <c r="I939" s="98"/>
      <c r="J939" s="98"/>
      <c r="K939" s="98"/>
      <c r="L939" s="101"/>
      <c r="M939" s="104"/>
      <c r="N939" s="98"/>
      <c r="O939" s="98"/>
      <c r="P939" s="98"/>
      <c r="Q939" s="101"/>
      <c r="R939" s="113"/>
      <c r="S939" s="107"/>
      <c r="T939" s="107"/>
      <c r="U939" s="107"/>
      <c r="V939" s="110"/>
      <c r="W939" s="104"/>
      <c r="X939" s="98"/>
      <c r="Y939" s="98"/>
      <c r="Z939" s="98"/>
      <c r="AA939" s="101"/>
      <c r="AB939" s="135"/>
    </row>
    <row r="940" spans="1:28" ht="13.5" customHeight="1" thickTop="1" x14ac:dyDescent="0.25">
      <c r="A940" s="140">
        <f>ESCUADRAS!B178</f>
        <v>172</v>
      </c>
      <c r="B940" s="136">
        <f>ESCUADRAS!C178</f>
        <v>0</v>
      </c>
      <c r="C940" s="93"/>
      <c r="D940" s="123"/>
      <c r="E940" s="123"/>
      <c r="F940" s="123"/>
      <c r="G940" s="126"/>
      <c r="H940" s="102"/>
      <c r="I940" s="96"/>
      <c r="J940" s="96"/>
      <c r="K940" s="96"/>
      <c r="L940" s="99"/>
      <c r="M940" s="111"/>
      <c r="N940" s="105"/>
      <c r="O940" s="105"/>
      <c r="P940" s="105"/>
      <c r="Q940" s="108"/>
      <c r="R940" s="102"/>
      <c r="S940" s="96"/>
      <c r="T940" s="96"/>
      <c r="U940" s="96"/>
      <c r="V940" s="99"/>
      <c r="W940" s="102"/>
      <c r="X940" s="96"/>
      <c r="Y940" s="96"/>
      <c r="Z940" s="96"/>
      <c r="AA940" s="99"/>
      <c r="AB940" s="133"/>
    </row>
    <row r="941" spans="1:28" ht="14.25" customHeight="1" x14ac:dyDescent="0.25">
      <c r="A941" s="141"/>
      <c r="B941" s="137"/>
      <c r="C941" s="94"/>
      <c r="D941" s="124"/>
      <c r="E941" s="124"/>
      <c r="F941" s="124"/>
      <c r="G941" s="127"/>
      <c r="H941" s="103"/>
      <c r="I941" s="97"/>
      <c r="J941" s="97"/>
      <c r="K941" s="97"/>
      <c r="L941" s="100"/>
      <c r="M941" s="112"/>
      <c r="N941" s="106"/>
      <c r="O941" s="106"/>
      <c r="P941" s="106"/>
      <c r="Q941" s="109"/>
      <c r="R941" s="103"/>
      <c r="S941" s="97"/>
      <c r="T941" s="97"/>
      <c r="U941" s="97"/>
      <c r="V941" s="100"/>
      <c r="W941" s="103"/>
      <c r="X941" s="97"/>
      <c r="Y941" s="97"/>
      <c r="Z941" s="97"/>
      <c r="AA941" s="100"/>
      <c r="AB941" s="134"/>
    </row>
    <row r="942" spans="1:28" ht="13.5" customHeight="1" thickBot="1" x14ac:dyDescent="0.3">
      <c r="A942" s="142"/>
      <c r="B942" s="138"/>
      <c r="C942" s="95"/>
      <c r="D942" s="125"/>
      <c r="E942" s="125"/>
      <c r="F942" s="125"/>
      <c r="G942" s="128"/>
      <c r="H942" s="104"/>
      <c r="I942" s="98"/>
      <c r="J942" s="98"/>
      <c r="K942" s="98"/>
      <c r="L942" s="101"/>
      <c r="M942" s="113"/>
      <c r="N942" s="107"/>
      <c r="O942" s="107"/>
      <c r="P942" s="107"/>
      <c r="Q942" s="110"/>
      <c r="R942" s="104"/>
      <c r="S942" s="98"/>
      <c r="T942" s="98"/>
      <c r="U942" s="98"/>
      <c r="V942" s="101"/>
      <c r="W942" s="104"/>
      <c r="X942" s="98"/>
      <c r="Y942" s="98"/>
      <c r="Z942" s="98"/>
      <c r="AA942" s="101"/>
      <c r="AB942" s="135"/>
    </row>
    <row r="943" spans="1:28" ht="14.25" customHeight="1" thickTop="1" thickBot="1" x14ac:dyDescent="0.3">
      <c r="A943" s="139">
        <f>ESCUADRAS!B179</f>
        <v>173</v>
      </c>
      <c r="B943" s="136">
        <f>ESCUADRAS!C179</f>
        <v>0</v>
      </c>
      <c r="C943" s="93"/>
      <c r="D943" s="123"/>
      <c r="E943" s="123"/>
      <c r="F943" s="123"/>
      <c r="G943" s="126"/>
      <c r="H943" s="111"/>
      <c r="I943" s="105"/>
      <c r="J943" s="105"/>
      <c r="K943" s="105"/>
      <c r="L943" s="108"/>
      <c r="M943" s="102"/>
      <c r="N943" s="96"/>
      <c r="O943" s="96"/>
      <c r="P943" s="96"/>
      <c r="Q943" s="99"/>
      <c r="R943" s="102"/>
      <c r="S943" s="96"/>
      <c r="T943" s="96"/>
      <c r="U943" s="96"/>
      <c r="V943" s="99"/>
      <c r="W943" s="102"/>
      <c r="X943" s="96"/>
      <c r="Y943" s="96"/>
      <c r="Z943" s="96"/>
      <c r="AA943" s="99"/>
      <c r="AB943" s="133"/>
    </row>
    <row r="944" spans="1:28" ht="14.25" customHeight="1" thickTop="1" thickBot="1" x14ac:dyDescent="0.3">
      <c r="A944" s="139"/>
      <c r="B944" s="137"/>
      <c r="C944" s="94"/>
      <c r="D944" s="124"/>
      <c r="E944" s="124"/>
      <c r="F944" s="124"/>
      <c r="G944" s="127"/>
      <c r="H944" s="112"/>
      <c r="I944" s="106"/>
      <c r="J944" s="106"/>
      <c r="K944" s="106"/>
      <c r="L944" s="109"/>
      <c r="M944" s="103"/>
      <c r="N944" s="97"/>
      <c r="O944" s="97"/>
      <c r="P944" s="97"/>
      <c r="Q944" s="100"/>
      <c r="R944" s="103"/>
      <c r="S944" s="97"/>
      <c r="T944" s="97"/>
      <c r="U944" s="97"/>
      <c r="V944" s="100"/>
      <c r="W944" s="103"/>
      <c r="X944" s="97"/>
      <c r="Y944" s="97"/>
      <c r="Z944" s="97"/>
      <c r="AA944" s="100"/>
      <c r="AB944" s="134"/>
    </row>
    <row r="945" spans="1:32" ht="13.5" customHeight="1" thickTop="1" thickBot="1" x14ac:dyDescent="0.3">
      <c r="A945" s="139"/>
      <c r="B945" s="138"/>
      <c r="C945" s="95"/>
      <c r="D945" s="125"/>
      <c r="E945" s="125"/>
      <c r="F945" s="125"/>
      <c r="G945" s="128"/>
      <c r="H945" s="113"/>
      <c r="I945" s="107"/>
      <c r="J945" s="107"/>
      <c r="K945" s="107"/>
      <c r="L945" s="110"/>
      <c r="M945" s="104"/>
      <c r="N945" s="98"/>
      <c r="O945" s="98"/>
      <c r="P945" s="98"/>
      <c r="Q945" s="101"/>
      <c r="R945" s="104"/>
      <c r="S945" s="98"/>
      <c r="T945" s="98"/>
      <c r="U945" s="98"/>
      <c r="V945" s="101"/>
      <c r="W945" s="104"/>
      <c r="X945" s="98"/>
      <c r="Y945" s="98"/>
      <c r="Z945" s="98"/>
      <c r="AA945" s="101"/>
      <c r="AB945" s="135"/>
    </row>
    <row r="946" spans="1:32" ht="13.5" customHeight="1" thickTop="1" x14ac:dyDescent="0.25">
      <c r="A946" s="140">
        <f>ESCUADRAS!B180</f>
        <v>174</v>
      </c>
      <c r="B946" s="136">
        <f>ESCUADRAS!C180</f>
        <v>0</v>
      </c>
      <c r="C946" s="111"/>
      <c r="D946" s="105"/>
      <c r="E946" s="105"/>
      <c r="F946" s="105"/>
      <c r="G946" s="108"/>
      <c r="H946" s="122"/>
      <c r="I946" s="120"/>
      <c r="J946" s="120"/>
      <c r="K946" s="120"/>
      <c r="L946" s="121"/>
      <c r="M946" s="122"/>
      <c r="N946" s="120"/>
      <c r="O946" s="120"/>
      <c r="P946" s="120"/>
      <c r="Q946" s="121"/>
      <c r="R946" s="122"/>
      <c r="S946" s="120"/>
      <c r="T946" s="120"/>
      <c r="U946" s="120"/>
      <c r="V946" s="121"/>
      <c r="W946" s="122"/>
      <c r="X946" s="120"/>
      <c r="Y946" s="120"/>
      <c r="Z946" s="120"/>
      <c r="AA946" s="121"/>
      <c r="AB946" s="133"/>
    </row>
    <row r="947" spans="1:32" ht="14.25" customHeight="1" x14ac:dyDescent="0.25">
      <c r="A947" s="141"/>
      <c r="B947" s="137"/>
      <c r="C947" s="112"/>
      <c r="D947" s="106"/>
      <c r="E947" s="106"/>
      <c r="F947" s="106"/>
      <c r="G947" s="109"/>
      <c r="H947" s="103"/>
      <c r="I947" s="97"/>
      <c r="J947" s="97"/>
      <c r="K947" s="97"/>
      <c r="L947" s="100"/>
      <c r="M947" s="103"/>
      <c r="N947" s="97"/>
      <c r="O947" s="97"/>
      <c r="P947" s="97"/>
      <c r="Q947" s="100"/>
      <c r="R947" s="103"/>
      <c r="S947" s="97"/>
      <c r="T947" s="97"/>
      <c r="U947" s="97"/>
      <c r="V947" s="100"/>
      <c r="W947" s="103"/>
      <c r="X947" s="97"/>
      <c r="Y947" s="97"/>
      <c r="Z947" s="97"/>
      <c r="AA947" s="100"/>
      <c r="AB947" s="134"/>
    </row>
    <row r="948" spans="1:32" ht="13.5" customHeight="1" thickBot="1" x14ac:dyDescent="0.3">
      <c r="A948" s="142"/>
      <c r="B948" s="138"/>
      <c r="C948" s="113"/>
      <c r="D948" s="107"/>
      <c r="E948" s="107"/>
      <c r="F948" s="107"/>
      <c r="G948" s="110"/>
      <c r="H948" s="104"/>
      <c r="I948" s="98"/>
      <c r="J948" s="98"/>
      <c r="K948" s="98"/>
      <c r="L948" s="101"/>
      <c r="M948" s="104"/>
      <c r="N948" s="98"/>
      <c r="O948" s="98"/>
      <c r="P948" s="98"/>
      <c r="Q948" s="101"/>
      <c r="R948" s="104"/>
      <c r="S948" s="98"/>
      <c r="T948" s="98"/>
      <c r="U948" s="98"/>
      <c r="V948" s="101"/>
      <c r="W948" s="104"/>
      <c r="X948" s="98"/>
      <c r="Y948" s="98"/>
      <c r="Z948" s="98"/>
      <c r="AA948" s="101"/>
      <c r="AB948" s="135"/>
    </row>
    <row r="950" spans="1:32" ht="15" x14ac:dyDescent="0.25">
      <c r="A950" s="28"/>
      <c r="B950" s="26" t="s">
        <v>35</v>
      </c>
      <c r="E950" s="21" t="s">
        <v>41</v>
      </c>
      <c r="I950" s="21" t="s">
        <v>42</v>
      </c>
      <c r="M950" s="21" t="s">
        <v>43</v>
      </c>
      <c r="Q950" s="21" t="s">
        <v>44</v>
      </c>
      <c r="U950" s="21" t="s">
        <v>45</v>
      </c>
      <c r="Y950" s="21" t="s">
        <v>46</v>
      </c>
    </row>
    <row r="957" spans="1:32" ht="24.6" x14ac:dyDescent="0.25">
      <c r="A957" s="144" t="str">
        <f>'INSCRIPCION '!A$1</f>
        <v>TIRADA</v>
      </c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</row>
    <row r="958" spans="1:32" ht="24.6" x14ac:dyDescent="0.4">
      <c r="A958" s="23"/>
      <c r="B958" s="23"/>
    </row>
    <row r="959" spans="1:32" ht="22.8" x14ac:dyDescent="0.25">
      <c r="A959" s="132" t="str">
        <f>'INSCRIPCION '!A$2</f>
        <v>CAMPO DE TIRO LA ISLA</v>
      </c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</row>
    <row r="960" spans="1:32" ht="20.399999999999999" x14ac:dyDescent="0.25">
      <c r="A960" s="143" t="str">
        <f>'INSCRIPCION '!A$3</f>
        <v>XXX PLATOS</v>
      </c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143"/>
      <c r="N960" s="143"/>
      <c r="O960" s="143"/>
      <c r="P960" s="143"/>
      <c r="Q960" s="143"/>
      <c r="R960" s="143"/>
      <c r="S960" s="143"/>
      <c r="T960" s="143"/>
      <c r="U960" s="143"/>
      <c r="V960" s="143"/>
      <c r="W960" s="143"/>
      <c r="X960" s="143"/>
      <c r="Y960" s="143"/>
      <c r="Z960" s="143"/>
      <c r="AA960" s="143"/>
      <c r="AB960" s="143"/>
      <c r="AC960" s="143"/>
      <c r="AD960" s="143"/>
      <c r="AE960" s="143"/>
      <c r="AF960" s="143"/>
    </row>
    <row r="961" spans="1:28" ht="22.8" x14ac:dyDescent="0.4">
      <c r="A961" s="24"/>
      <c r="B961" s="24"/>
    </row>
    <row r="962" spans="1:28" ht="17.399999999999999" x14ac:dyDescent="0.3">
      <c r="A962" s="25" t="s">
        <v>40</v>
      </c>
      <c r="B962" s="25"/>
      <c r="J962" s="9" t="s">
        <v>6</v>
      </c>
      <c r="K962" s="9"/>
      <c r="L962" s="9"/>
      <c r="M962" s="9"/>
      <c r="N962" s="9"/>
      <c r="O962" s="22">
        <v>2</v>
      </c>
      <c r="P962" s="22"/>
      <c r="Q962" s="8"/>
      <c r="R962" s="8"/>
      <c r="S962" s="7"/>
      <c r="T962" s="8"/>
      <c r="U962" s="8"/>
      <c r="V962" s="9" t="s">
        <v>7</v>
      </c>
      <c r="W962" s="9"/>
      <c r="X962" s="9"/>
      <c r="Y962" s="9"/>
      <c r="Z962" s="22">
        <v>1</v>
      </c>
      <c r="AA962" s="22"/>
    </row>
    <row r="963" spans="1:28" ht="13.8" thickBot="1" x14ac:dyDescent="0.3"/>
    <row r="964" spans="1:28" ht="15.6" thickBot="1" x14ac:dyDescent="0.3">
      <c r="A964" s="27" t="s">
        <v>0</v>
      </c>
      <c r="B964" s="27" t="s">
        <v>8</v>
      </c>
      <c r="C964" s="47">
        <v>1</v>
      </c>
      <c r="D964" s="48">
        <v>2</v>
      </c>
      <c r="E964" s="48">
        <v>3</v>
      </c>
      <c r="F964" s="48">
        <v>4</v>
      </c>
      <c r="G964" s="49">
        <v>5</v>
      </c>
      <c r="H964" s="47">
        <v>6</v>
      </c>
      <c r="I964" s="48">
        <v>7</v>
      </c>
      <c r="J964" s="48">
        <v>8</v>
      </c>
      <c r="K964" s="48">
        <v>9</v>
      </c>
      <c r="L964" s="49">
        <v>10</v>
      </c>
      <c r="M964" s="47">
        <v>11</v>
      </c>
      <c r="N964" s="48">
        <v>12</v>
      </c>
      <c r="O964" s="48">
        <v>13</v>
      </c>
      <c r="P964" s="48">
        <v>14</v>
      </c>
      <c r="Q964" s="49">
        <v>15</v>
      </c>
      <c r="R964" s="47">
        <v>16</v>
      </c>
      <c r="S964" s="48">
        <v>17</v>
      </c>
      <c r="T964" s="48">
        <v>18</v>
      </c>
      <c r="U964" s="48">
        <v>19</v>
      </c>
      <c r="V964" s="49">
        <v>20</v>
      </c>
      <c r="W964" s="47">
        <v>21</v>
      </c>
      <c r="X964" s="48">
        <v>22</v>
      </c>
      <c r="Y964" s="48">
        <v>23</v>
      </c>
      <c r="Z964" s="48">
        <v>24</v>
      </c>
      <c r="AA964" s="49">
        <v>25</v>
      </c>
      <c r="AB964" s="30" t="s">
        <v>1</v>
      </c>
    </row>
    <row r="965" spans="1:28" ht="14.25" customHeight="1" thickTop="1" thickBot="1" x14ac:dyDescent="0.3">
      <c r="A965" s="139">
        <f>ESCUADRAS!B181</f>
        <v>175</v>
      </c>
      <c r="B965" s="136">
        <f>ESCUADRAS!C181</f>
        <v>0</v>
      </c>
      <c r="C965" s="129"/>
      <c r="D965" s="114"/>
      <c r="E965" s="114"/>
      <c r="F965" s="114"/>
      <c r="G965" s="117"/>
      <c r="H965" s="111"/>
      <c r="I965" s="105"/>
      <c r="J965" s="105"/>
      <c r="K965" s="105"/>
      <c r="L965" s="108"/>
      <c r="M965" s="111"/>
      <c r="N965" s="105"/>
      <c r="O965" s="105"/>
      <c r="P965" s="105"/>
      <c r="Q965" s="108"/>
      <c r="R965" s="111"/>
      <c r="S965" s="105"/>
      <c r="T965" s="105"/>
      <c r="U965" s="105"/>
      <c r="V965" s="108"/>
      <c r="W965" s="111"/>
      <c r="X965" s="105"/>
      <c r="Y965" s="105"/>
      <c r="Z965" s="105"/>
      <c r="AA965" s="108"/>
      <c r="AB965" s="133"/>
    </row>
    <row r="966" spans="1:28" ht="13.95" customHeight="1" thickTop="1" thickBot="1" x14ac:dyDescent="0.3">
      <c r="A966" s="139"/>
      <c r="B966" s="137"/>
      <c r="C966" s="130"/>
      <c r="D966" s="115"/>
      <c r="E966" s="115"/>
      <c r="F966" s="115"/>
      <c r="G966" s="118"/>
      <c r="H966" s="112"/>
      <c r="I966" s="106"/>
      <c r="J966" s="106"/>
      <c r="K966" s="106"/>
      <c r="L966" s="109"/>
      <c r="M966" s="112"/>
      <c r="N966" s="106"/>
      <c r="O966" s="106"/>
      <c r="P966" s="106"/>
      <c r="Q966" s="109"/>
      <c r="R966" s="112"/>
      <c r="S966" s="106"/>
      <c r="T966" s="106"/>
      <c r="U966" s="106"/>
      <c r="V966" s="109"/>
      <c r="W966" s="112"/>
      <c r="X966" s="106"/>
      <c r="Y966" s="106"/>
      <c r="Z966" s="106"/>
      <c r="AA966" s="109"/>
      <c r="AB966" s="134"/>
    </row>
    <row r="967" spans="1:28" ht="13.95" customHeight="1" thickTop="1" thickBot="1" x14ac:dyDescent="0.3">
      <c r="A967" s="139"/>
      <c r="B967" s="138"/>
      <c r="C967" s="131"/>
      <c r="D967" s="116"/>
      <c r="E967" s="116"/>
      <c r="F967" s="116"/>
      <c r="G967" s="119"/>
      <c r="H967" s="113"/>
      <c r="I967" s="107"/>
      <c r="J967" s="107"/>
      <c r="K967" s="107"/>
      <c r="L967" s="110"/>
      <c r="M967" s="113"/>
      <c r="N967" s="107"/>
      <c r="O967" s="107"/>
      <c r="P967" s="107"/>
      <c r="Q967" s="110"/>
      <c r="R967" s="113"/>
      <c r="S967" s="107"/>
      <c r="T967" s="107"/>
      <c r="U967" s="107"/>
      <c r="V967" s="110"/>
      <c r="W967" s="113"/>
      <c r="X967" s="107"/>
      <c r="Y967" s="107"/>
      <c r="Z967" s="107"/>
      <c r="AA967" s="110"/>
      <c r="AB967" s="135"/>
    </row>
    <row r="968" spans="1:28" ht="14.25" customHeight="1" thickTop="1" x14ac:dyDescent="0.25">
      <c r="A968" s="140">
        <f>ESCUADRAS!B182</f>
        <v>176</v>
      </c>
      <c r="B968" s="136">
        <f>ESCUADRAS!C182</f>
        <v>0</v>
      </c>
      <c r="C968" s="93"/>
      <c r="D968" s="123"/>
      <c r="E968" s="123"/>
      <c r="F968" s="123"/>
      <c r="G968" s="126"/>
      <c r="H968" s="102"/>
      <c r="I968" s="96"/>
      <c r="J968" s="96"/>
      <c r="K968" s="96"/>
      <c r="L968" s="99"/>
      <c r="M968" s="102"/>
      <c r="N968" s="96"/>
      <c r="O968" s="96"/>
      <c r="P968" s="96"/>
      <c r="Q968" s="99"/>
      <c r="R968" s="102"/>
      <c r="S968" s="96"/>
      <c r="T968" s="96"/>
      <c r="U968" s="96"/>
      <c r="V968" s="99"/>
      <c r="W968" s="111"/>
      <c r="X968" s="105"/>
      <c r="Y968" s="105"/>
      <c r="Z968" s="105"/>
      <c r="AA968" s="108"/>
      <c r="AB968" s="133"/>
    </row>
    <row r="969" spans="1:28" ht="13.95" customHeight="1" x14ac:dyDescent="0.25">
      <c r="A969" s="141"/>
      <c r="B969" s="137"/>
      <c r="C969" s="94"/>
      <c r="D969" s="124"/>
      <c r="E969" s="124"/>
      <c r="F969" s="124"/>
      <c r="G969" s="127"/>
      <c r="H969" s="103"/>
      <c r="I969" s="97"/>
      <c r="J969" s="97"/>
      <c r="K969" s="97"/>
      <c r="L969" s="100"/>
      <c r="M969" s="103"/>
      <c r="N969" s="97"/>
      <c r="O969" s="97"/>
      <c r="P969" s="97"/>
      <c r="Q969" s="100"/>
      <c r="R969" s="103"/>
      <c r="S969" s="97"/>
      <c r="T969" s="97"/>
      <c r="U969" s="97"/>
      <c r="V969" s="100"/>
      <c r="W969" s="112"/>
      <c r="X969" s="106"/>
      <c r="Y969" s="106"/>
      <c r="Z969" s="106"/>
      <c r="AA969" s="109"/>
      <c r="AB969" s="134"/>
    </row>
    <row r="970" spans="1:28" ht="13.95" customHeight="1" thickBot="1" x14ac:dyDescent="0.3">
      <c r="A970" s="142"/>
      <c r="B970" s="138"/>
      <c r="C970" s="95"/>
      <c r="D970" s="125"/>
      <c r="E970" s="125"/>
      <c r="F970" s="125"/>
      <c r="G970" s="128"/>
      <c r="H970" s="104"/>
      <c r="I970" s="98"/>
      <c r="J970" s="98"/>
      <c r="K970" s="98"/>
      <c r="L970" s="101"/>
      <c r="M970" s="104"/>
      <c r="N970" s="98"/>
      <c r="O970" s="98"/>
      <c r="P970" s="98"/>
      <c r="Q970" s="101"/>
      <c r="R970" s="104"/>
      <c r="S970" s="98"/>
      <c r="T970" s="98"/>
      <c r="U970" s="98"/>
      <c r="V970" s="101"/>
      <c r="W970" s="113"/>
      <c r="X970" s="107"/>
      <c r="Y970" s="107"/>
      <c r="Z970" s="107"/>
      <c r="AA970" s="110"/>
      <c r="AB970" s="135"/>
    </row>
    <row r="971" spans="1:28" ht="14.25" customHeight="1" thickTop="1" thickBot="1" x14ac:dyDescent="0.3">
      <c r="A971" s="139">
        <f>ESCUADRAS!B183</f>
        <v>177</v>
      </c>
      <c r="B971" s="136">
        <f>ESCUADRAS!C183</f>
        <v>0</v>
      </c>
      <c r="C971" s="93"/>
      <c r="D971" s="123"/>
      <c r="E971" s="123"/>
      <c r="F971" s="123"/>
      <c r="G971" s="126"/>
      <c r="H971" s="102"/>
      <c r="I971" s="96"/>
      <c r="J971" s="96"/>
      <c r="K971" s="96"/>
      <c r="L971" s="99"/>
      <c r="M971" s="102"/>
      <c r="N971" s="96"/>
      <c r="O971" s="96"/>
      <c r="P971" s="96"/>
      <c r="Q971" s="99"/>
      <c r="R971" s="111"/>
      <c r="S971" s="105"/>
      <c r="T971" s="105"/>
      <c r="U971" s="105"/>
      <c r="V971" s="108"/>
      <c r="W971" s="102"/>
      <c r="X971" s="96"/>
      <c r="Y971" s="96"/>
      <c r="Z971" s="96"/>
      <c r="AA971" s="99"/>
      <c r="AB971" s="133"/>
    </row>
    <row r="972" spans="1:28" ht="13.95" customHeight="1" thickTop="1" thickBot="1" x14ac:dyDescent="0.3">
      <c r="A972" s="139"/>
      <c r="B972" s="137"/>
      <c r="C972" s="94"/>
      <c r="D972" s="124"/>
      <c r="E972" s="124"/>
      <c r="F972" s="124"/>
      <c r="G972" s="127"/>
      <c r="H972" s="103"/>
      <c r="I972" s="97"/>
      <c r="J972" s="97"/>
      <c r="K972" s="97"/>
      <c r="L972" s="100"/>
      <c r="M972" s="103"/>
      <c r="N972" s="97"/>
      <c r="O972" s="97"/>
      <c r="P972" s="97"/>
      <c r="Q972" s="100"/>
      <c r="R972" s="112"/>
      <c r="S972" s="106"/>
      <c r="T972" s="106"/>
      <c r="U972" s="106"/>
      <c r="V972" s="109"/>
      <c r="W972" s="103"/>
      <c r="X972" s="97"/>
      <c r="Y972" s="97"/>
      <c r="Z972" s="97"/>
      <c r="AA972" s="100"/>
      <c r="AB972" s="134"/>
    </row>
    <row r="973" spans="1:28" ht="13.95" customHeight="1" thickTop="1" thickBot="1" x14ac:dyDescent="0.3">
      <c r="A973" s="139"/>
      <c r="B973" s="138"/>
      <c r="C973" s="95"/>
      <c r="D973" s="125"/>
      <c r="E973" s="125"/>
      <c r="F973" s="125"/>
      <c r="G973" s="128"/>
      <c r="H973" s="104"/>
      <c r="I973" s="98"/>
      <c r="J973" s="98"/>
      <c r="K973" s="98"/>
      <c r="L973" s="101"/>
      <c r="M973" s="104"/>
      <c r="N973" s="98"/>
      <c r="O973" s="98"/>
      <c r="P973" s="98"/>
      <c r="Q973" s="101"/>
      <c r="R973" s="113"/>
      <c r="S973" s="107"/>
      <c r="T973" s="107"/>
      <c r="U973" s="107"/>
      <c r="V973" s="110"/>
      <c r="W973" s="104"/>
      <c r="X973" s="98"/>
      <c r="Y973" s="98"/>
      <c r="Z973" s="98"/>
      <c r="AA973" s="101"/>
      <c r="AB973" s="135"/>
    </row>
    <row r="974" spans="1:28" ht="13.5" customHeight="1" thickTop="1" x14ac:dyDescent="0.25">
      <c r="A974" s="140">
        <f>ESCUADRAS!B184</f>
        <v>178</v>
      </c>
      <c r="B974" s="136">
        <f>ESCUADRAS!C184</f>
        <v>0</v>
      </c>
      <c r="C974" s="93"/>
      <c r="D974" s="123"/>
      <c r="E974" s="123"/>
      <c r="F974" s="123"/>
      <c r="G974" s="126"/>
      <c r="H974" s="102"/>
      <c r="I974" s="96"/>
      <c r="J974" s="96"/>
      <c r="K974" s="96"/>
      <c r="L974" s="99"/>
      <c r="M974" s="111"/>
      <c r="N974" s="105"/>
      <c r="O974" s="105"/>
      <c r="P974" s="105"/>
      <c r="Q974" s="108"/>
      <c r="R974" s="102"/>
      <c r="S974" s="96"/>
      <c r="T974" s="96"/>
      <c r="U974" s="96"/>
      <c r="V974" s="99"/>
      <c r="W974" s="102"/>
      <c r="X974" s="96"/>
      <c r="Y974" s="96"/>
      <c r="Z974" s="96"/>
      <c r="AA974" s="99"/>
      <c r="AB974" s="133"/>
    </row>
    <row r="975" spans="1:28" ht="13.95" customHeight="1" x14ac:dyDescent="0.25">
      <c r="A975" s="141"/>
      <c r="B975" s="137"/>
      <c r="C975" s="94"/>
      <c r="D975" s="124"/>
      <c r="E975" s="124"/>
      <c r="F975" s="124"/>
      <c r="G975" s="127"/>
      <c r="H975" s="103"/>
      <c r="I975" s="97"/>
      <c r="J975" s="97"/>
      <c r="K975" s="97"/>
      <c r="L975" s="100"/>
      <c r="M975" s="112"/>
      <c r="N975" s="106"/>
      <c r="O975" s="106"/>
      <c r="P975" s="106"/>
      <c r="Q975" s="109"/>
      <c r="R975" s="103"/>
      <c r="S975" s="97"/>
      <c r="T975" s="97"/>
      <c r="U975" s="97"/>
      <c r="V975" s="100"/>
      <c r="W975" s="103"/>
      <c r="X975" s="97"/>
      <c r="Y975" s="97"/>
      <c r="Z975" s="97"/>
      <c r="AA975" s="100"/>
      <c r="AB975" s="134"/>
    </row>
    <row r="976" spans="1:28" ht="13.95" customHeight="1" thickBot="1" x14ac:dyDescent="0.3">
      <c r="A976" s="142"/>
      <c r="B976" s="138"/>
      <c r="C976" s="95"/>
      <c r="D976" s="125"/>
      <c r="E976" s="125"/>
      <c r="F976" s="125"/>
      <c r="G976" s="128"/>
      <c r="H976" s="104"/>
      <c r="I976" s="98"/>
      <c r="J976" s="98"/>
      <c r="K976" s="98"/>
      <c r="L976" s="101"/>
      <c r="M976" s="113"/>
      <c r="N976" s="107"/>
      <c r="O976" s="107"/>
      <c r="P976" s="107"/>
      <c r="Q976" s="110"/>
      <c r="R976" s="104"/>
      <c r="S976" s="98"/>
      <c r="T976" s="98"/>
      <c r="U976" s="98"/>
      <c r="V976" s="101"/>
      <c r="W976" s="104"/>
      <c r="X976" s="98"/>
      <c r="Y976" s="98"/>
      <c r="Z976" s="98"/>
      <c r="AA976" s="101"/>
      <c r="AB976" s="135"/>
    </row>
    <row r="977" spans="1:28" ht="14.25" customHeight="1" thickTop="1" thickBot="1" x14ac:dyDescent="0.3">
      <c r="A977" s="139">
        <f>ESCUADRAS!B185</f>
        <v>179</v>
      </c>
      <c r="B977" s="136">
        <f>ESCUADRAS!C185</f>
        <v>0</v>
      </c>
      <c r="C977" s="93"/>
      <c r="D977" s="123"/>
      <c r="E977" s="123"/>
      <c r="F977" s="123"/>
      <c r="G977" s="126"/>
      <c r="H977" s="111"/>
      <c r="I977" s="105"/>
      <c r="J977" s="105"/>
      <c r="K977" s="105"/>
      <c r="L977" s="108"/>
      <c r="M977" s="102"/>
      <c r="N977" s="96"/>
      <c r="O977" s="96"/>
      <c r="P977" s="96"/>
      <c r="Q977" s="99"/>
      <c r="R977" s="102"/>
      <c r="S977" s="96"/>
      <c r="T977" s="96"/>
      <c r="U977" s="96"/>
      <c r="V977" s="99"/>
      <c r="W977" s="102"/>
      <c r="X977" s="96"/>
      <c r="Y977" s="96"/>
      <c r="Z977" s="96"/>
      <c r="AA977" s="99"/>
      <c r="AB977" s="133"/>
    </row>
    <row r="978" spans="1:28" ht="13.95" customHeight="1" thickTop="1" thickBot="1" x14ac:dyDescent="0.3">
      <c r="A978" s="139"/>
      <c r="B978" s="137"/>
      <c r="C978" s="94"/>
      <c r="D978" s="124"/>
      <c r="E978" s="124"/>
      <c r="F978" s="124"/>
      <c r="G978" s="127"/>
      <c r="H978" s="112"/>
      <c r="I978" s="106"/>
      <c r="J978" s="106"/>
      <c r="K978" s="106"/>
      <c r="L978" s="109"/>
      <c r="M978" s="103"/>
      <c r="N978" s="97"/>
      <c r="O978" s="97"/>
      <c r="P978" s="97"/>
      <c r="Q978" s="100"/>
      <c r="R978" s="103"/>
      <c r="S978" s="97"/>
      <c r="T978" s="97"/>
      <c r="U978" s="97"/>
      <c r="V978" s="100"/>
      <c r="W978" s="103"/>
      <c r="X978" s="97"/>
      <c r="Y978" s="97"/>
      <c r="Z978" s="97"/>
      <c r="AA978" s="100"/>
      <c r="AB978" s="134"/>
    </row>
    <row r="979" spans="1:28" ht="13.95" customHeight="1" thickTop="1" thickBot="1" x14ac:dyDescent="0.3">
      <c r="A979" s="139"/>
      <c r="B979" s="138"/>
      <c r="C979" s="95"/>
      <c r="D979" s="125"/>
      <c r="E979" s="125"/>
      <c r="F979" s="125"/>
      <c r="G979" s="128"/>
      <c r="H979" s="113"/>
      <c r="I979" s="107"/>
      <c r="J979" s="107"/>
      <c r="K979" s="107"/>
      <c r="L979" s="110"/>
      <c r="M979" s="104"/>
      <c r="N979" s="98"/>
      <c r="O979" s="98"/>
      <c r="P979" s="98"/>
      <c r="Q979" s="101"/>
      <c r="R979" s="104"/>
      <c r="S979" s="98"/>
      <c r="T979" s="98"/>
      <c r="U979" s="98"/>
      <c r="V979" s="101"/>
      <c r="W979" s="104"/>
      <c r="X979" s="98"/>
      <c r="Y979" s="98"/>
      <c r="Z979" s="98"/>
      <c r="AA979" s="101"/>
      <c r="AB979" s="135"/>
    </row>
    <row r="980" spans="1:28" ht="13.5" customHeight="1" thickTop="1" x14ac:dyDescent="0.25">
      <c r="A980" s="140">
        <f>ESCUADRAS!B186</f>
        <v>180</v>
      </c>
      <c r="B980" s="136">
        <f>ESCUADRAS!C186</f>
        <v>0</v>
      </c>
      <c r="C980" s="111"/>
      <c r="D980" s="105"/>
      <c r="E980" s="105"/>
      <c r="F980" s="105"/>
      <c r="G980" s="108"/>
      <c r="H980" s="122"/>
      <c r="I980" s="120"/>
      <c r="J980" s="120"/>
      <c r="K980" s="120"/>
      <c r="L980" s="121"/>
      <c r="M980" s="122"/>
      <c r="N980" s="120"/>
      <c r="O980" s="120"/>
      <c r="P980" s="120"/>
      <c r="Q980" s="121"/>
      <c r="R980" s="122"/>
      <c r="S980" s="120"/>
      <c r="T980" s="120"/>
      <c r="U980" s="120"/>
      <c r="V980" s="121"/>
      <c r="W980" s="122"/>
      <c r="X980" s="120"/>
      <c r="Y980" s="120"/>
      <c r="Z980" s="120"/>
      <c r="AA980" s="121"/>
      <c r="AB980" s="133"/>
    </row>
    <row r="981" spans="1:28" ht="13.95" customHeight="1" x14ac:dyDescent="0.25">
      <c r="A981" s="141"/>
      <c r="B981" s="137"/>
      <c r="C981" s="112"/>
      <c r="D981" s="106"/>
      <c r="E981" s="106"/>
      <c r="F981" s="106"/>
      <c r="G981" s="109"/>
      <c r="H981" s="103"/>
      <c r="I981" s="97"/>
      <c r="J981" s="97"/>
      <c r="K981" s="97"/>
      <c r="L981" s="100"/>
      <c r="M981" s="103"/>
      <c r="N981" s="97"/>
      <c r="O981" s="97"/>
      <c r="P981" s="97"/>
      <c r="Q981" s="100"/>
      <c r="R981" s="103"/>
      <c r="S981" s="97"/>
      <c r="T981" s="97"/>
      <c r="U981" s="97"/>
      <c r="V981" s="100"/>
      <c r="W981" s="103"/>
      <c r="X981" s="97"/>
      <c r="Y981" s="97"/>
      <c r="Z981" s="97"/>
      <c r="AA981" s="100"/>
      <c r="AB981" s="134"/>
    </row>
    <row r="982" spans="1:28" ht="13.95" customHeight="1" thickBot="1" x14ac:dyDescent="0.3">
      <c r="A982" s="142"/>
      <c r="B982" s="138"/>
      <c r="C982" s="113"/>
      <c r="D982" s="107"/>
      <c r="E982" s="107"/>
      <c r="F982" s="107"/>
      <c r="G982" s="110"/>
      <c r="H982" s="104"/>
      <c r="I982" s="98"/>
      <c r="J982" s="98"/>
      <c r="K982" s="98"/>
      <c r="L982" s="101"/>
      <c r="M982" s="104"/>
      <c r="N982" s="98"/>
      <c r="O982" s="98"/>
      <c r="P982" s="98"/>
      <c r="Q982" s="101"/>
      <c r="R982" s="104"/>
      <c r="S982" s="98"/>
      <c r="T982" s="98"/>
      <c r="U982" s="98"/>
      <c r="V982" s="101"/>
      <c r="W982" s="104"/>
      <c r="X982" s="98"/>
      <c r="Y982" s="98"/>
      <c r="Z982" s="98"/>
      <c r="AA982" s="101"/>
      <c r="AB982" s="135"/>
    </row>
    <row r="984" spans="1:28" ht="15" x14ac:dyDescent="0.25">
      <c r="A984" s="28"/>
      <c r="B984" s="26" t="s">
        <v>35</v>
      </c>
      <c r="E984" s="21" t="s">
        <v>41</v>
      </c>
      <c r="I984" s="21" t="s">
        <v>42</v>
      </c>
      <c r="M984" s="21" t="s">
        <v>43</v>
      </c>
      <c r="Q984" s="21" t="s">
        <v>44</v>
      </c>
      <c r="U984" s="21" t="s">
        <v>45</v>
      </c>
      <c r="Y984" s="21" t="s">
        <v>46</v>
      </c>
    </row>
    <row r="993" spans="1:32" ht="24.6" x14ac:dyDescent="0.25">
      <c r="A993" s="144" t="str">
        <f>'INSCRIPCION '!A$1</f>
        <v>TIRADA</v>
      </c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</row>
    <row r="994" spans="1:32" ht="24.6" x14ac:dyDescent="0.4">
      <c r="A994" s="23"/>
      <c r="B994" s="23"/>
    </row>
    <row r="995" spans="1:32" ht="22.8" x14ac:dyDescent="0.25">
      <c r="A995" s="132" t="str">
        <f>'INSCRIPCION '!A$2</f>
        <v>CAMPO DE TIRO LA ISLA</v>
      </c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L995" s="132"/>
      <c r="M995" s="132"/>
      <c r="N995" s="132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  <c r="AC995" s="132"/>
      <c r="AD995" s="132"/>
      <c r="AE995" s="132"/>
      <c r="AF995" s="132"/>
    </row>
    <row r="996" spans="1:32" ht="20.399999999999999" x14ac:dyDescent="0.25">
      <c r="A996" s="143" t="str">
        <f>'INSCRIPCION '!A$3</f>
        <v>XXX PLATOS</v>
      </c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143"/>
      <c r="N996" s="143"/>
      <c r="O996" s="143"/>
      <c r="P996" s="143"/>
      <c r="Q996" s="143"/>
      <c r="R996" s="143"/>
      <c r="S996" s="143"/>
      <c r="T996" s="143"/>
      <c r="U996" s="143"/>
      <c r="V996" s="143"/>
      <c r="W996" s="143"/>
      <c r="X996" s="143"/>
      <c r="Y996" s="143"/>
      <c r="Z996" s="143"/>
      <c r="AA996" s="143"/>
      <c r="AB996" s="143"/>
      <c r="AC996" s="143"/>
      <c r="AD996" s="143"/>
      <c r="AE996" s="143"/>
      <c r="AF996" s="143"/>
    </row>
    <row r="997" spans="1:32" ht="22.8" x14ac:dyDescent="0.4">
      <c r="A997" s="24"/>
      <c r="B997" s="24"/>
    </row>
    <row r="998" spans="1:32" ht="17.399999999999999" x14ac:dyDescent="0.3">
      <c r="A998" s="25" t="s">
        <v>67</v>
      </c>
      <c r="B998" s="25"/>
      <c r="J998" s="9" t="s">
        <v>6</v>
      </c>
      <c r="K998" s="9"/>
      <c r="L998" s="9"/>
      <c r="M998" s="9"/>
      <c r="N998" s="9"/>
      <c r="O998" s="22">
        <v>3</v>
      </c>
      <c r="P998" s="22"/>
      <c r="Q998" s="8"/>
      <c r="R998" s="8"/>
      <c r="S998" s="7"/>
      <c r="T998" s="8"/>
      <c r="U998" s="8"/>
      <c r="V998" s="9" t="s">
        <v>7</v>
      </c>
      <c r="W998" s="9"/>
      <c r="X998" s="9"/>
      <c r="Y998" s="9"/>
      <c r="Z998" s="22">
        <v>1</v>
      </c>
      <c r="AA998" s="22"/>
    </row>
    <row r="999" spans="1:32" ht="13.8" thickBot="1" x14ac:dyDescent="0.3"/>
    <row r="1000" spans="1:32" ht="15.6" thickBot="1" x14ac:dyDescent="0.3">
      <c r="A1000" s="27" t="s">
        <v>0</v>
      </c>
      <c r="B1000" s="27" t="s">
        <v>8</v>
      </c>
      <c r="C1000" s="47">
        <v>1</v>
      </c>
      <c r="D1000" s="48">
        <v>2</v>
      </c>
      <c r="E1000" s="48">
        <v>3</v>
      </c>
      <c r="F1000" s="48">
        <v>4</v>
      </c>
      <c r="G1000" s="49">
        <v>5</v>
      </c>
      <c r="H1000" s="47">
        <v>6</v>
      </c>
      <c r="I1000" s="48">
        <v>7</v>
      </c>
      <c r="J1000" s="48">
        <v>8</v>
      </c>
      <c r="K1000" s="48">
        <v>9</v>
      </c>
      <c r="L1000" s="49">
        <v>10</v>
      </c>
      <c r="M1000" s="47">
        <v>11</v>
      </c>
      <c r="N1000" s="48">
        <v>12</v>
      </c>
      <c r="O1000" s="48">
        <v>13</v>
      </c>
      <c r="P1000" s="48">
        <v>14</v>
      </c>
      <c r="Q1000" s="49">
        <v>15</v>
      </c>
      <c r="R1000" s="47">
        <v>16</v>
      </c>
      <c r="S1000" s="48">
        <v>17</v>
      </c>
      <c r="T1000" s="48">
        <v>18</v>
      </c>
      <c r="U1000" s="48">
        <v>19</v>
      </c>
      <c r="V1000" s="49">
        <v>20</v>
      </c>
      <c r="W1000" s="47">
        <v>21</v>
      </c>
      <c r="X1000" s="48">
        <v>22</v>
      </c>
      <c r="Y1000" s="48">
        <v>23</v>
      </c>
      <c r="Z1000" s="48">
        <v>24</v>
      </c>
      <c r="AA1000" s="49">
        <v>25</v>
      </c>
      <c r="AB1000" s="30" t="s">
        <v>1</v>
      </c>
    </row>
    <row r="1001" spans="1:32" ht="14.25" customHeight="1" thickTop="1" thickBot="1" x14ac:dyDescent="0.3">
      <c r="A1001" s="139">
        <v>181</v>
      </c>
      <c r="B1001" s="148">
        <f>ESCUADRAS!C187</f>
        <v>0</v>
      </c>
      <c r="C1001" s="129"/>
      <c r="D1001" s="114"/>
      <c r="E1001" s="114"/>
      <c r="F1001" s="114"/>
      <c r="G1001" s="117"/>
      <c r="H1001" s="111"/>
      <c r="I1001" s="105"/>
      <c r="J1001" s="105"/>
      <c r="K1001" s="105"/>
      <c r="L1001" s="108"/>
      <c r="M1001" s="111"/>
      <c r="N1001" s="105"/>
      <c r="O1001" s="105"/>
      <c r="P1001" s="105"/>
      <c r="Q1001" s="108"/>
      <c r="R1001" s="111"/>
      <c r="S1001" s="105"/>
      <c r="T1001" s="105"/>
      <c r="U1001" s="105"/>
      <c r="V1001" s="108"/>
      <c r="W1001" s="111"/>
      <c r="X1001" s="105"/>
      <c r="Y1001" s="105"/>
      <c r="Z1001" s="105"/>
      <c r="AA1001" s="108"/>
      <c r="AB1001" s="133"/>
    </row>
    <row r="1002" spans="1:32" ht="14.25" customHeight="1" thickTop="1" thickBot="1" x14ac:dyDescent="0.3">
      <c r="A1002" s="139"/>
      <c r="B1002" s="148"/>
      <c r="C1002" s="130"/>
      <c r="D1002" s="115"/>
      <c r="E1002" s="115"/>
      <c r="F1002" s="115"/>
      <c r="G1002" s="118"/>
      <c r="H1002" s="112"/>
      <c r="I1002" s="106"/>
      <c r="J1002" s="106"/>
      <c r="K1002" s="106"/>
      <c r="L1002" s="109"/>
      <c r="M1002" s="112"/>
      <c r="N1002" s="106"/>
      <c r="O1002" s="106"/>
      <c r="P1002" s="106"/>
      <c r="Q1002" s="109"/>
      <c r="R1002" s="112"/>
      <c r="S1002" s="106"/>
      <c r="T1002" s="106"/>
      <c r="U1002" s="106"/>
      <c r="V1002" s="109"/>
      <c r="W1002" s="112"/>
      <c r="X1002" s="106"/>
      <c r="Y1002" s="106"/>
      <c r="Z1002" s="106"/>
      <c r="AA1002" s="109"/>
      <c r="AB1002" s="134"/>
    </row>
    <row r="1003" spans="1:32" ht="14.25" customHeight="1" thickTop="1" thickBot="1" x14ac:dyDescent="0.3">
      <c r="A1003" s="139"/>
      <c r="B1003" s="148"/>
      <c r="C1003" s="131"/>
      <c r="D1003" s="116"/>
      <c r="E1003" s="116"/>
      <c r="F1003" s="116"/>
      <c r="G1003" s="119"/>
      <c r="H1003" s="113"/>
      <c r="I1003" s="107"/>
      <c r="J1003" s="107"/>
      <c r="K1003" s="107"/>
      <c r="L1003" s="110"/>
      <c r="M1003" s="113"/>
      <c r="N1003" s="107"/>
      <c r="O1003" s="107"/>
      <c r="P1003" s="107"/>
      <c r="Q1003" s="110"/>
      <c r="R1003" s="113"/>
      <c r="S1003" s="107"/>
      <c r="T1003" s="107"/>
      <c r="U1003" s="107"/>
      <c r="V1003" s="110"/>
      <c r="W1003" s="113"/>
      <c r="X1003" s="107"/>
      <c r="Y1003" s="107"/>
      <c r="Z1003" s="107"/>
      <c r="AA1003" s="110"/>
      <c r="AB1003" s="135"/>
    </row>
    <row r="1004" spans="1:32" ht="13.5" customHeight="1" thickTop="1" thickBot="1" x14ac:dyDescent="0.3">
      <c r="A1004" s="149">
        <v>182</v>
      </c>
      <c r="B1004" s="148">
        <f>ESCUADRAS!C188</f>
        <v>0</v>
      </c>
      <c r="C1004" s="93"/>
      <c r="D1004" s="123"/>
      <c r="E1004" s="123"/>
      <c r="F1004" s="123"/>
      <c r="G1004" s="126"/>
      <c r="H1004" s="102"/>
      <c r="I1004" s="96"/>
      <c r="J1004" s="96"/>
      <c r="K1004" s="96"/>
      <c r="L1004" s="99"/>
      <c r="M1004" s="102"/>
      <c r="N1004" s="96"/>
      <c r="O1004" s="96"/>
      <c r="P1004" s="96"/>
      <c r="Q1004" s="99"/>
      <c r="R1004" s="102"/>
      <c r="S1004" s="96"/>
      <c r="T1004" s="96"/>
      <c r="U1004" s="96"/>
      <c r="V1004" s="99"/>
      <c r="W1004" s="111"/>
      <c r="X1004" s="105"/>
      <c r="Y1004" s="105"/>
      <c r="Z1004" s="105"/>
      <c r="AA1004" s="108"/>
      <c r="AB1004" s="133"/>
    </row>
    <row r="1005" spans="1:32" ht="12.75" customHeight="1" thickTop="1" thickBot="1" x14ac:dyDescent="0.3">
      <c r="A1005" s="149"/>
      <c r="B1005" s="148"/>
      <c r="C1005" s="94"/>
      <c r="D1005" s="124"/>
      <c r="E1005" s="124"/>
      <c r="F1005" s="124"/>
      <c r="G1005" s="127"/>
      <c r="H1005" s="103"/>
      <c r="I1005" s="97"/>
      <c r="J1005" s="97"/>
      <c r="K1005" s="97"/>
      <c r="L1005" s="100"/>
      <c r="M1005" s="103"/>
      <c r="N1005" s="97"/>
      <c r="O1005" s="97"/>
      <c r="P1005" s="97"/>
      <c r="Q1005" s="100"/>
      <c r="R1005" s="103"/>
      <c r="S1005" s="97"/>
      <c r="T1005" s="97"/>
      <c r="U1005" s="97"/>
      <c r="V1005" s="100"/>
      <c r="W1005" s="112"/>
      <c r="X1005" s="106"/>
      <c r="Y1005" s="106"/>
      <c r="Z1005" s="106"/>
      <c r="AA1005" s="109"/>
      <c r="AB1005" s="134"/>
    </row>
    <row r="1006" spans="1:32" ht="13.5" customHeight="1" thickTop="1" thickBot="1" x14ac:dyDescent="0.3">
      <c r="A1006" s="149"/>
      <c r="B1006" s="148"/>
      <c r="C1006" s="95"/>
      <c r="D1006" s="125"/>
      <c r="E1006" s="125"/>
      <c r="F1006" s="125"/>
      <c r="G1006" s="128"/>
      <c r="H1006" s="104"/>
      <c r="I1006" s="98"/>
      <c r="J1006" s="98"/>
      <c r="K1006" s="98"/>
      <c r="L1006" s="101"/>
      <c r="M1006" s="104"/>
      <c r="N1006" s="98"/>
      <c r="O1006" s="98"/>
      <c r="P1006" s="98"/>
      <c r="Q1006" s="101"/>
      <c r="R1006" s="104"/>
      <c r="S1006" s="98"/>
      <c r="T1006" s="98"/>
      <c r="U1006" s="98"/>
      <c r="V1006" s="101"/>
      <c r="W1006" s="113"/>
      <c r="X1006" s="107"/>
      <c r="Y1006" s="107"/>
      <c r="Z1006" s="107"/>
      <c r="AA1006" s="110"/>
      <c r="AB1006" s="135"/>
    </row>
    <row r="1007" spans="1:32" ht="14.25" customHeight="1" thickTop="1" thickBot="1" x14ac:dyDescent="0.3">
      <c r="A1007" s="139">
        <v>183</v>
      </c>
      <c r="B1007" s="148">
        <f>ESCUADRAS!C189</f>
        <v>0</v>
      </c>
      <c r="C1007" s="93"/>
      <c r="D1007" s="123"/>
      <c r="E1007" s="123"/>
      <c r="F1007" s="123"/>
      <c r="G1007" s="126"/>
      <c r="H1007" s="102"/>
      <c r="I1007" s="96"/>
      <c r="J1007" s="96"/>
      <c r="K1007" s="96"/>
      <c r="L1007" s="99"/>
      <c r="M1007" s="102"/>
      <c r="N1007" s="96"/>
      <c r="O1007" s="96"/>
      <c r="P1007" s="96"/>
      <c r="Q1007" s="99"/>
      <c r="R1007" s="111"/>
      <c r="S1007" s="105"/>
      <c r="T1007" s="105"/>
      <c r="U1007" s="105"/>
      <c r="V1007" s="108"/>
      <c r="W1007" s="102"/>
      <c r="X1007" s="96"/>
      <c r="Y1007" s="96"/>
      <c r="Z1007" s="96"/>
      <c r="AA1007" s="99"/>
      <c r="AB1007" s="133"/>
    </row>
    <row r="1008" spans="1:32" ht="14.25" customHeight="1" thickTop="1" thickBot="1" x14ac:dyDescent="0.3">
      <c r="A1008" s="139"/>
      <c r="B1008" s="148"/>
      <c r="C1008" s="94"/>
      <c r="D1008" s="124"/>
      <c r="E1008" s="124"/>
      <c r="F1008" s="124"/>
      <c r="G1008" s="127"/>
      <c r="H1008" s="103"/>
      <c r="I1008" s="97"/>
      <c r="J1008" s="97"/>
      <c r="K1008" s="97"/>
      <c r="L1008" s="100"/>
      <c r="M1008" s="103"/>
      <c r="N1008" s="97"/>
      <c r="O1008" s="97"/>
      <c r="P1008" s="97"/>
      <c r="Q1008" s="100"/>
      <c r="R1008" s="112"/>
      <c r="S1008" s="106"/>
      <c r="T1008" s="106"/>
      <c r="U1008" s="106"/>
      <c r="V1008" s="109"/>
      <c r="W1008" s="103"/>
      <c r="X1008" s="97"/>
      <c r="Y1008" s="97"/>
      <c r="Z1008" s="97"/>
      <c r="AA1008" s="100"/>
      <c r="AB1008" s="134"/>
    </row>
    <row r="1009" spans="1:28" ht="14.25" customHeight="1" thickTop="1" thickBot="1" x14ac:dyDescent="0.3">
      <c r="A1009" s="139"/>
      <c r="B1009" s="148"/>
      <c r="C1009" s="95"/>
      <c r="D1009" s="125"/>
      <c r="E1009" s="125"/>
      <c r="F1009" s="125"/>
      <c r="G1009" s="128"/>
      <c r="H1009" s="104"/>
      <c r="I1009" s="98"/>
      <c r="J1009" s="98"/>
      <c r="K1009" s="98"/>
      <c r="L1009" s="101"/>
      <c r="M1009" s="104"/>
      <c r="N1009" s="98"/>
      <c r="O1009" s="98"/>
      <c r="P1009" s="98"/>
      <c r="Q1009" s="101"/>
      <c r="R1009" s="113"/>
      <c r="S1009" s="107"/>
      <c r="T1009" s="107"/>
      <c r="U1009" s="107"/>
      <c r="V1009" s="110"/>
      <c r="W1009" s="104"/>
      <c r="X1009" s="98"/>
      <c r="Y1009" s="98"/>
      <c r="Z1009" s="98"/>
      <c r="AA1009" s="101"/>
      <c r="AB1009" s="135"/>
    </row>
    <row r="1010" spans="1:28" ht="13.5" customHeight="1" thickTop="1" thickBot="1" x14ac:dyDescent="0.3">
      <c r="A1010" s="149">
        <v>184</v>
      </c>
      <c r="B1010" s="148">
        <f>ESCUADRAS!C190</f>
        <v>0</v>
      </c>
      <c r="C1010" s="93"/>
      <c r="D1010" s="123"/>
      <c r="E1010" s="123"/>
      <c r="F1010" s="123"/>
      <c r="G1010" s="126"/>
      <c r="H1010" s="102"/>
      <c r="I1010" s="96"/>
      <c r="J1010" s="96"/>
      <c r="K1010" s="96"/>
      <c r="L1010" s="99"/>
      <c r="M1010" s="111"/>
      <c r="N1010" s="105"/>
      <c r="O1010" s="105"/>
      <c r="P1010" s="105"/>
      <c r="Q1010" s="108"/>
      <c r="R1010" s="102"/>
      <c r="S1010" s="96"/>
      <c r="T1010" s="96"/>
      <c r="U1010" s="96"/>
      <c r="V1010" s="99"/>
      <c r="W1010" s="102"/>
      <c r="X1010" s="96"/>
      <c r="Y1010" s="96"/>
      <c r="Z1010" s="96"/>
      <c r="AA1010" s="99"/>
      <c r="AB1010" s="133"/>
    </row>
    <row r="1011" spans="1:28" ht="12.75" customHeight="1" thickTop="1" thickBot="1" x14ac:dyDescent="0.3">
      <c r="A1011" s="149"/>
      <c r="B1011" s="148"/>
      <c r="C1011" s="94"/>
      <c r="D1011" s="124"/>
      <c r="E1011" s="124"/>
      <c r="F1011" s="124"/>
      <c r="G1011" s="127"/>
      <c r="H1011" s="103"/>
      <c r="I1011" s="97"/>
      <c r="J1011" s="97"/>
      <c r="K1011" s="97"/>
      <c r="L1011" s="100"/>
      <c r="M1011" s="112"/>
      <c r="N1011" s="106"/>
      <c r="O1011" s="106"/>
      <c r="P1011" s="106"/>
      <c r="Q1011" s="109"/>
      <c r="R1011" s="103"/>
      <c r="S1011" s="97"/>
      <c r="T1011" s="97"/>
      <c r="U1011" s="97"/>
      <c r="V1011" s="100"/>
      <c r="W1011" s="103"/>
      <c r="X1011" s="97"/>
      <c r="Y1011" s="97"/>
      <c r="Z1011" s="97"/>
      <c r="AA1011" s="100"/>
      <c r="AB1011" s="134"/>
    </row>
    <row r="1012" spans="1:28" ht="13.5" customHeight="1" thickTop="1" thickBot="1" x14ac:dyDescent="0.3">
      <c r="A1012" s="149"/>
      <c r="B1012" s="148"/>
      <c r="C1012" s="95"/>
      <c r="D1012" s="125"/>
      <c r="E1012" s="125"/>
      <c r="F1012" s="125"/>
      <c r="G1012" s="128"/>
      <c r="H1012" s="104"/>
      <c r="I1012" s="98"/>
      <c r="J1012" s="98"/>
      <c r="K1012" s="98"/>
      <c r="L1012" s="101"/>
      <c r="M1012" s="113"/>
      <c r="N1012" s="107"/>
      <c r="O1012" s="107"/>
      <c r="P1012" s="107"/>
      <c r="Q1012" s="110"/>
      <c r="R1012" s="104"/>
      <c r="S1012" s="98"/>
      <c r="T1012" s="98"/>
      <c r="U1012" s="98"/>
      <c r="V1012" s="101"/>
      <c r="W1012" s="104"/>
      <c r="X1012" s="98"/>
      <c r="Y1012" s="98"/>
      <c r="Z1012" s="98"/>
      <c r="AA1012" s="101"/>
      <c r="AB1012" s="135"/>
    </row>
    <row r="1013" spans="1:28" ht="14.25" customHeight="1" thickTop="1" thickBot="1" x14ac:dyDescent="0.3">
      <c r="A1013" s="139">
        <v>185</v>
      </c>
      <c r="B1013" s="148">
        <f>ESCUADRAS!C191</f>
        <v>0</v>
      </c>
      <c r="C1013" s="93"/>
      <c r="D1013" s="123"/>
      <c r="E1013" s="123"/>
      <c r="F1013" s="123"/>
      <c r="G1013" s="126"/>
      <c r="H1013" s="111"/>
      <c r="I1013" s="105"/>
      <c r="J1013" s="105"/>
      <c r="K1013" s="105"/>
      <c r="L1013" s="108"/>
      <c r="M1013" s="102"/>
      <c r="N1013" s="96"/>
      <c r="O1013" s="96"/>
      <c r="P1013" s="96"/>
      <c r="Q1013" s="99"/>
      <c r="R1013" s="102"/>
      <c r="S1013" s="96"/>
      <c r="T1013" s="96"/>
      <c r="U1013" s="96"/>
      <c r="V1013" s="99"/>
      <c r="W1013" s="102"/>
      <c r="X1013" s="96"/>
      <c r="Y1013" s="96"/>
      <c r="Z1013" s="96"/>
      <c r="AA1013" s="99"/>
      <c r="AB1013" s="133"/>
    </row>
    <row r="1014" spans="1:28" ht="14.25" customHeight="1" thickTop="1" thickBot="1" x14ac:dyDescent="0.3">
      <c r="A1014" s="139"/>
      <c r="B1014" s="148"/>
      <c r="C1014" s="94"/>
      <c r="D1014" s="124"/>
      <c r="E1014" s="124"/>
      <c r="F1014" s="124"/>
      <c r="G1014" s="127"/>
      <c r="H1014" s="112"/>
      <c r="I1014" s="106"/>
      <c r="J1014" s="106"/>
      <c r="K1014" s="106"/>
      <c r="L1014" s="109"/>
      <c r="M1014" s="103"/>
      <c r="N1014" s="97"/>
      <c r="O1014" s="97"/>
      <c r="P1014" s="97"/>
      <c r="Q1014" s="100"/>
      <c r="R1014" s="103"/>
      <c r="S1014" s="97"/>
      <c r="T1014" s="97"/>
      <c r="U1014" s="97"/>
      <c r="V1014" s="100"/>
      <c r="W1014" s="103"/>
      <c r="X1014" s="97"/>
      <c r="Y1014" s="97"/>
      <c r="Z1014" s="97"/>
      <c r="AA1014" s="100"/>
      <c r="AB1014" s="134"/>
    </row>
    <row r="1015" spans="1:28" ht="14.25" customHeight="1" thickTop="1" thickBot="1" x14ac:dyDescent="0.3">
      <c r="A1015" s="139"/>
      <c r="B1015" s="148"/>
      <c r="C1015" s="95"/>
      <c r="D1015" s="125"/>
      <c r="E1015" s="125"/>
      <c r="F1015" s="125"/>
      <c r="G1015" s="128"/>
      <c r="H1015" s="113"/>
      <c r="I1015" s="107"/>
      <c r="J1015" s="107"/>
      <c r="K1015" s="107"/>
      <c r="L1015" s="110"/>
      <c r="M1015" s="104"/>
      <c r="N1015" s="98"/>
      <c r="O1015" s="98"/>
      <c r="P1015" s="98"/>
      <c r="Q1015" s="101"/>
      <c r="R1015" s="104"/>
      <c r="S1015" s="98"/>
      <c r="T1015" s="98"/>
      <c r="U1015" s="98"/>
      <c r="V1015" s="101"/>
      <c r="W1015" s="104"/>
      <c r="X1015" s="98"/>
      <c r="Y1015" s="98"/>
      <c r="Z1015" s="98"/>
      <c r="AA1015" s="101"/>
      <c r="AB1015" s="135"/>
    </row>
    <row r="1016" spans="1:28" ht="13.5" customHeight="1" thickTop="1" thickBot="1" x14ac:dyDescent="0.3">
      <c r="A1016" s="149">
        <v>186</v>
      </c>
      <c r="B1016" s="148">
        <f>ESCUADRAS!C192</f>
        <v>0</v>
      </c>
      <c r="C1016" s="111"/>
      <c r="D1016" s="105"/>
      <c r="E1016" s="105"/>
      <c r="F1016" s="105"/>
      <c r="G1016" s="108"/>
      <c r="H1016" s="122"/>
      <c r="I1016" s="120"/>
      <c r="J1016" s="120"/>
      <c r="K1016" s="120"/>
      <c r="L1016" s="121"/>
      <c r="M1016" s="122"/>
      <c r="N1016" s="120"/>
      <c r="O1016" s="120"/>
      <c r="P1016" s="120"/>
      <c r="Q1016" s="121"/>
      <c r="R1016" s="122"/>
      <c r="S1016" s="120"/>
      <c r="T1016" s="120"/>
      <c r="U1016" s="120"/>
      <c r="V1016" s="121"/>
      <c r="W1016" s="122"/>
      <c r="X1016" s="120"/>
      <c r="Y1016" s="120"/>
      <c r="Z1016" s="120"/>
      <c r="AA1016" s="121"/>
      <c r="AB1016" s="133"/>
    </row>
    <row r="1017" spans="1:28" ht="12.75" customHeight="1" thickTop="1" thickBot="1" x14ac:dyDescent="0.3">
      <c r="A1017" s="149"/>
      <c r="B1017" s="148"/>
      <c r="C1017" s="112"/>
      <c r="D1017" s="106"/>
      <c r="E1017" s="106"/>
      <c r="F1017" s="106"/>
      <c r="G1017" s="109"/>
      <c r="H1017" s="103"/>
      <c r="I1017" s="97"/>
      <c r="J1017" s="97"/>
      <c r="K1017" s="97"/>
      <c r="L1017" s="100"/>
      <c r="M1017" s="103"/>
      <c r="N1017" s="97"/>
      <c r="O1017" s="97"/>
      <c r="P1017" s="97"/>
      <c r="Q1017" s="100"/>
      <c r="R1017" s="103"/>
      <c r="S1017" s="97"/>
      <c r="T1017" s="97"/>
      <c r="U1017" s="97"/>
      <c r="V1017" s="100"/>
      <c r="W1017" s="103"/>
      <c r="X1017" s="97"/>
      <c r="Y1017" s="97"/>
      <c r="Z1017" s="97"/>
      <c r="AA1017" s="100"/>
      <c r="AB1017" s="134"/>
    </row>
    <row r="1018" spans="1:28" ht="13.5" customHeight="1" thickTop="1" thickBot="1" x14ac:dyDescent="0.3">
      <c r="A1018" s="149"/>
      <c r="B1018" s="148"/>
      <c r="C1018" s="113"/>
      <c r="D1018" s="107"/>
      <c r="E1018" s="107"/>
      <c r="F1018" s="107"/>
      <c r="G1018" s="110"/>
      <c r="H1018" s="104"/>
      <c r="I1018" s="98"/>
      <c r="J1018" s="98"/>
      <c r="K1018" s="98"/>
      <c r="L1018" s="101"/>
      <c r="M1018" s="104"/>
      <c r="N1018" s="98"/>
      <c r="O1018" s="98"/>
      <c r="P1018" s="98"/>
      <c r="Q1018" s="101"/>
      <c r="R1018" s="104"/>
      <c r="S1018" s="98"/>
      <c r="T1018" s="98"/>
      <c r="U1018" s="98"/>
      <c r="V1018" s="101"/>
      <c r="W1018" s="104"/>
      <c r="X1018" s="98"/>
      <c r="Y1018" s="98"/>
      <c r="Z1018" s="98"/>
      <c r="AA1018" s="101"/>
      <c r="AB1018" s="135"/>
    </row>
    <row r="1019" spans="1:28" ht="13.8" thickTop="1" x14ac:dyDescent="0.25"/>
    <row r="1020" spans="1:28" ht="15" x14ac:dyDescent="0.25">
      <c r="A1020" s="28"/>
      <c r="B1020" s="26" t="s">
        <v>35</v>
      </c>
      <c r="E1020" s="21" t="s">
        <v>41</v>
      </c>
      <c r="I1020" s="21" t="s">
        <v>42</v>
      </c>
      <c r="M1020" s="21" t="s">
        <v>43</v>
      </c>
      <c r="Q1020" s="21" t="s">
        <v>44</v>
      </c>
      <c r="U1020" s="21" t="s">
        <v>45</v>
      </c>
      <c r="Y1020" s="21" t="s">
        <v>46</v>
      </c>
    </row>
    <row r="1026" spans="1:32" ht="24.6" x14ac:dyDescent="0.25">
      <c r="A1026" s="144" t="str">
        <f>'INSCRIPCION '!A$1</f>
        <v>TIRADA</v>
      </c>
      <c r="B1026" s="144"/>
      <c r="C1026" s="144"/>
      <c r="D1026" s="144"/>
      <c r="E1026" s="144"/>
      <c r="F1026" s="144"/>
      <c r="G1026" s="144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  <c r="AF1026" s="144"/>
    </row>
    <row r="1027" spans="1:32" ht="24.6" x14ac:dyDescent="0.4">
      <c r="A1027" s="23"/>
      <c r="B1027" s="23"/>
    </row>
    <row r="1028" spans="1:32" ht="22.8" x14ac:dyDescent="0.25">
      <c r="A1028" s="132" t="str">
        <f>'INSCRIPCION '!A$2</f>
        <v>CAMPO DE TIRO LA ISLA</v>
      </c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L1028" s="132"/>
      <c r="M1028" s="132"/>
      <c r="N1028" s="132"/>
      <c r="O1028" s="132"/>
      <c r="P1028" s="132"/>
      <c r="Q1028" s="132"/>
      <c r="R1028" s="132"/>
      <c r="S1028" s="132"/>
      <c r="T1028" s="132"/>
      <c r="U1028" s="132"/>
      <c r="V1028" s="132"/>
      <c r="W1028" s="132"/>
      <c r="X1028" s="132"/>
      <c r="Y1028" s="132"/>
      <c r="Z1028" s="132"/>
      <c r="AA1028" s="132"/>
      <c r="AB1028" s="132"/>
      <c r="AC1028" s="132"/>
      <c r="AD1028" s="132"/>
      <c r="AE1028" s="132"/>
      <c r="AF1028" s="132"/>
    </row>
    <row r="1029" spans="1:32" ht="20.399999999999999" x14ac:dyDescent="0.25">
      <c r="A1029" s="143" t="str">
        <f>'INSCRIPCION '!A$3</f>
        <v>XXX PLATOS</v>
      </c>
      <c r="B1029" s="143"/>
      <c r="C1029" s="143"/>
      <c r="D1029" s="143"/>
      <c r="E1029" s="143"/>
      <c r="F1029" s="143"/>
      <c r="G1029" s="143"/>
      <c r="H1029" s="143"/>
      <c r="I1029" s="143"/>
      <c r="J1029" s="143"/>
      <c r="K1029" s="143"/>
      <c r="L1029" s="143"/>
      <c r="M1029" s="143"/>
      <c r="N1029" s="143"/>
      <c r="O1029" s="143"/>
      <c r="P1029" s="143"/>
      <c r="Q1029" s="143"/>
      <c r="R1029" s="143"/>
      <c r="S1029" s="143"/>
      <c r="T1029" s="143"/>
      <c r="U1029" s="143"/>
      <c r="V1029" s="143"/>
      <c r="W1029" s="143"/>
      <c r="X1029" s="143"/>
      <c r="Y1029" s="143"/>
      <c r="Z1029" s="143"/>
      <c r="AA1029" s="143"/>
      <c r="AB1029" s="143"/>
      <c r="AC1029" s="143"/>
      <c r="AD1029" s="143"/>
      <c r="AE1029" s="143"/>
      <c r="AF1029" s="143"/>
    </row>
    <row r="1030" spans="1:32" ht="22.8" x14ac:dyDescent="0.4">
      <c r="A1030" s="24"/>
      <c r="B1030" s="24"/>
    </row>
    <row r="1031" spans="1:32" ht="17.399999999999999" x14ac:dyDescent="0.3">
      <c r="A1031" s="25" t="s">
        <v>68</v>
      </c>
      <c r="B1031" s="25"/>
      <c r="J1031" s="9" t="s">
        <v>6</v>
      </c>
      <c r="K1031" s="9"/>
      <c r="L1031" s="9"/>
      <c r="M1031" s="9"/>
      <c r="N1031" s="9"/>
      <c r="O1031" s="22">
        <v>4</v>
      </c>
      <c r="P1031" s="22"/>
      <c r="Q1031" s="8"/>
      <c r="R1031" s="8"/>
      <c r="S1031" s="7"/>
      <c r="T1031" s="8"/>
      <c r="U1031" s="8"/>
      <c r="V1031" s="9" t="s">
        <v>7</v>
      </c>
      <c r="W1031" s="9"/>
      <c r="X1031" s="9"/>
      <c r="Y1031" s="9"/>
      <c r="Z1031" s="22">
        <v>1</v>
      </c>
      <c r="AA1031" s="22"/>
    </row>
    <row r="1032" spans="1:32" ht="13.8" thickBot="1" x14ac:dyDescent="0.3"/>
    <row r="1033" spans="1:32" ht="15.6" thickBot="1" x14ac:dyDescent="0.3">
      <c r="A1033" s="27" t="s">
        <v>0</v>
      </c>
      <c r="B1033" s="27" t="s">
        <v>8</v>
      </c>
      <c r="C1033" s="47">
        <v>1</v>
      </c>
      <c r="D1033" s="48">
        <v>2</v>
      </c>
      <c r="E1033" s="48">
        <v>3</v>
      </c>
      <c r="F1033" s="48">
        <v>4</v>
      </c>
      <c r="G1033" s="49">
        <v>5</v>
      </c>
      <c r="H1033" s="47">
        <v>6</v>
      </c>
      <c r="I1033" s="48">
        <v>7</v>
      </c>
      <c r="J1033" s="48">
        <v>8</v>
      </c>
      <c r="K1033" s="48">
        <v>9</v>
      </c>
      <c r="L1033" s="49">
        <v>10</v>
      </c>
      <c r="M1033" s="47">
        <v>11</v>
      </c>
      <c r="N1033" s="48">
        <v>12</v>
      </c>
      <c r="O1033" s="48">
        <v>13</v>
      </c>
      <c r="P1033" s="48">
        <v>14</v>
      </c>
      <c r="Q1033" s="49">
        <v>15</v>
      </c>
      <c r="R1033" s="47">
        <v>16</v>
      </c>
      <c r="S1033" s="48">
        <v>17</v>
      </c>
      <c r="T1033" s="48">
        <v>18</v>
      </c>
      <c r="U1033" s="48">
        <v>19</v>
      </c>
      <c r="V1033" s="49">
        <v>20</v>
      </c>
      <c r="W1033" s="47">
        <v>21</v>
      </c>
      <c r="X1033" s="48">
        <v>22</v>
      </c>
      <c r="Y1033" s="48">
        <v>23</v>
      </c>
      <c r="Z1033" s="48">
        <v>24</v>
      </c>
      <c r="AA1033" s="49">
        <v>25</v>
      </c>
      <c r="AB1033" s="30" t="s">
        <v>1</v>
      </c>
    </row>
    <row r="1034" spans="1:32" ht="14.4" thickTop="1" thickBot="1" x14ac:dyDescent="0.3">
      <c r="A1034" s="139">
        <v>187</v>
      </c>
      <c r="B1034" s="136">
        <f>ESCUADRAS!C193</f>
        <v>0</v>
      </c>
      <c r="C1034" s="129"/>
      <c r="D1034" s="114"/>
      <c r="E1034" s="114"/>
      <c r="F1034" s="114"/>
      <c r="G1034" s="117"/>
      <c r="H1034" s="111"/>
      <c r="I1034" s="105"/>
      <c r="J1034" s="105"/>
      <c r="K1034" s="105"/>
      <c r="L1034" s="108"/>
      <c r="M1034" s="111"/>
      <c r="N1034" s="105"/>
      <c r="O1034" s="105"/>
      <c r="P1034" s="105"/>
      <c r="Q1034" s="108"/>
      <c r="R1034" s="111"/>
      <c r="S1034" s="105"/>
      <c r="T1034" s="105"/>
      <c r="U1034" s="105"/>
      <c r="V1034" s="108"/>
      <c r="W1034" s="111"/>
      <c r="X1034" s="105"/>
      <c r="Y1034" s="105"/>
      <c r="Z1034" s="105"/>
      <c r="AA1034" s="108"/>
      <c r="AB1034" s="133"/>
    </row>
    <row r="1035" spans="1:32" ht="14.4" thickTop="1" thickBot="1" x14ac:dyDescent="0.3">
      <c r="A1035" s="139"/>
      <c r="B1035" s="137"/>
      <c r="C1035" s="130"/>
      <c r="D1035" s="115"/>
      <c r="E1035" s="115"/>
      <c r="F1035" s="115"/>
      <c r="G1035" s="118"/>
      <c r="H1035" s="112"/>
      <c r="I1035" s="106"/>
      <c r="J1035" s="106"/>
      <c r="K1035" s="106"/>
      <c r="L1035" s="109"/>
      <c r="M1035" s="112"/>
      <c r="N1035" s="106"/>
      <c r="O1035" s="106"/>
      <c r="P1035" s="106"/>
      <c r="Q1035" s="109"/>
      <c r="R1035" s="112"/>
      <c r="S1035" s="106"/>
      <c r="T1035" s="106"/>
      <c r="U1035" s="106"/>
      <c r="V1035" s="109"/>
      <c r="W1035" s="112"/>
      <c r="X1035" s="106"/>
      <c r="Y1035" s="106"/>
      <c r="Z1035" s="106"/>
      <c r="AA1035" s="109"/>
      <c r="AB1035" s="134"/>
    </row>
    <row r="1036" spans="1:32" ht="14.4" thickTop="1" thickBot="1" x14ac:dyDescent="0.3">
      <c r="A1036" s="139"/>
      <c r="B1036" s="138"/>
      <c r="C1036" s="131"/>
      <c r="D1036" s="116"/>
      <c r="E1036" s="116"/>
      <c r="F1036" s="116"/>
      <c r="G1036" s="119"/>
      <c r="H1036" s="113"/>
      <c r="I1036" s="107"/>
      <c r="J1036" s="107"/>
      <c r="K1036" s="107"/>
      <c r="L1036" s="110"/>
      <c r="M1036" s="113"/>
      <c r="N1036" s="107"/>
      <c r="O1036" s="107"/>
      <c r="P1036" s="107"/>
      <c r="Q1036" s="110"/>
      <c r="R1036" s="113"/>
      <c r="S1036" s="107"/>
      <c r="T1036" s="107"/>
      <c r="U1036" s="107"/>
      <c r="V1036" s="110"/>
      <c r="W1036" s="113"/>
      <c r="X1036" s="107"/>
      <c r="Y1036" s="107"/>
      <c r="Z1036" s="107"/>
      <c r="AA1036" s="110"/>
      <c r="AB1036" s="135"/>
    </row>
    <row r="1037" spans="1:32" ht="13.5" customHeight="1" thickTop="1" x14ac:dyDescent="0.25">
      <c r="A1037" s="140">
        <v>188</v>
      </c>
      <c r="B1037" s="136">
        <f>ESCUADRAS!C194</f>
        <v>0</v>
      </c>
      <c r="C1037" s="93"/>
      <c r="D1037" s="123"/>
      <c r="E1037" s="123"/>
      <c r="F1037" s="123"/>
      <c r="G1037" s="126"/>
      <c r="H1037" s="102"/>
      <c r="I1037" s="96"/>
      <c r="J1037" s="96"/>
      <c r="K1037" s="96"/>
      <c r="L1037" s="99"/>
      <c r="M1037" s="102"/>
      <c r="N1037" s="96"/>
      <c r="O1037" s="96"/>
      <c r="P1037" s="96"/>
      <c r="Q1037" s="99"/>
      <c r="R1037" s="102"/>
      <c r="S1037" s="96"/>
      <c r="T1037" s="96"/>
      <c r="U1037" s="96"/>
      <c r="V1037" s="99"/>
      <c r="W1037" s="111"/>
      <c r="X1037" s="105"/>
      <c r="Y1037" s="105"/>
      <c r="Z1037" s="105"/>
      <c r="AA1037" s="108"/>
      <c r="AB1037" s="133"/>
    </row>
    <row r="1038" spans="1:32" ht="12.75" customHeight="1" x14ac:dyDescent="0.25">
      <c r="A1038" s="141"/>
      <c r="B1038" s="137"/>
      <c r="C1038" s="94"/>
      <c r="D1038" s="124"/>
      <c r="E1038" s="124"/>
      <c r="F1038" s="124"/>
      <c r="G1038" s="127"/>
      <c r="H1038" s="103"/>
      <c r="I1038" s="97"/>
      <c r="J1038" s="97"/>
      <c r="K1038" s="97"/>
      <c r="L1038" s="100"/>
      <c r="M1038" s="103"/>
      <c r="N1038" s="97"/>
      <c r="O1038" s="97"/>
      <c r="P1038" s="97"/>
      <c r="Q1038" s="100"/>
      <c r="R1038" s="103"/>
      <c r="S1038" s="97"/>
      <c r="T1038" s="97"/>
      <c r="U1038" s="97"/>
      <c r="V1038" s="100"/>
      <c r="W1038" s="112"/>
      <c r="X1038" s="106"/>
      <c r="Y1038" s="106"/>
      <c r="Z1038" s="106"/>
      <c r="AA1038" s="109"/>
      <c r="AB1038" s="134"/>
    </row>
    <row r="1039" spans="1:32" ht="13.5" customHeight="1" thickBot="1" x14ac:dyDescent="0.3">
      <c r="A1039" s="142"/>
      <c r="B1039" s="138"/>
      <c r="C1039" s="95"/>
      <c r="D1039" s="125"/>
      <c r="E1039" s="125"/>
      <c r="F1039" s="125"/>
      <c r="G1039" s="128"/>
      <c r="H1039" s="104"/>
      <c r="I1039" s="98"/>
      <c r="J1039" s="98"/>
      <c r="K1039" s="98"/>
      <c r="L1039" s="101"/>
      <c r="M1039" s="104"/>
      <c r="N1039" s="98"/>
      <c r="O1039" s="98"/>
      <c r="P1039" s="98"/>
      <c r="Q1039" s="101"/>
      <c r="R1039" s="104"/>
      <c r="S1039" s="98"/>
      <c r="T1039" s="98"/>
      <c r="U1039" s="98"/>
      <c r="V1039" s="101"/>
      <c r="W1039" s="113"/>
      <c r="X1039" s="107"/>
      <c r="Y1039" s="107"/>
      <c r="Z1039" s="107"/>
      <c r="AA1039" s="110"/>
      <c r="AB1039" s="135"/>
    </row>
    <row r="1040" spans="1:32" ht="14.25" customHeight="1" thickTop="1" thickBot="1" x14ac:dyDescent="0.3">
      <c r="A1040" s="139">
        <v>189</v>
      </c>
      <c r="B1040" s="136">
        <f>ESCUADRAS!C195</f>
        <v>0</v>
      </c>
      <c r="C1040" s="93"/>
      <c r="D1040" s="123"/>
      <c r="E1040" s="123"/>
      <c r="F1040" s="123"/>
      <c r="G1040" s="126"/>
      <c r="H1040" s="102"/>
      <c r="I1040" s="96"/>
      <c r="J1040" s="96"/>
      <c r="K1040" s="96"/>
      <c r="L1040" s="99"/>
      <c r="M1040" s="102"/>
      <c r="N1040" s="96"/>
      <c r="O1040" s="96"/>
      <c r="P1040" s="96"/>
      <c r="Q1040" s="99"/>
      <c r="R1040" s="111"/>
      <c r="S1040" s="105"/>
      <c r="T1040" s="105"/>
      <c r="U1040" s="105"/>
      <c r="V1040" s="108"/>
      <c r="W1040" s="102"/>
      <c r="X1040" s="96"/>
      <c r="Y1040" s="96"/>
      <c r="Z1040" s="96"/>
      <c r="AA1040" s="99"/>
      <c r="AB1040" s="133"/>
    </row>
    <row r="1041" spans="1:28" ht="14.25" customHeight="1" thickTop="1" thickBot="1" x14ac:dyDescent="0.3">
      <c r="A1041" s="139"/>
      <c r="B1041" s="137"/>
      <c r="C1041" s="94"/>
      <c r="D1041" s="124"/>
      <c r="E1041" s="124"/>
      <c r="F1041" s="124"/>
      <c r="G1041" s="127"/>
      <c r="H1041" s="103"/>
      <c r="I1041" s="97"/>
      <c r="J1041" s="97"/>
      <c r="K1041" s="97"/>
      <c r="L1041" s="100"/>
      <c r="M1041" s="103"/>
      <c r="N1041" s="97"/>
      <c r="O1041" s="97"/>
      <c r="P1041" s="97"/>
      <c r="Q1041" s="100"/>
      <c r="R1041" s="112"/>
      <c r="S1041" s="106"/>
      <c r="T1041" s="106"/>
      <c r="U1041" s="106"/>
      <c r="V1041" s="109"/>
      <c r="W1041" s="103"/>
      <c r="X1041" s="97"/>
      <c r="Y1041" s="97"/>
      <c r="Z1041" s="97"/>
      <c r="AA1041" s="100"/>
      <c r="AB1041" s="134"/>
    </row>
    <row r="1042" spans="1:28" ht="14.25" customHeight="1" thickTop="1" thickBot="1" x14ac:dyDescent="0.3">
      <c r="A1042" s="139"/>
      <c r="B1042" s="138"/>
      <c r="C1042" s="95"/>
      <c r="D1042" s="125"/>
      <c r="E1042" s="125"/>
      <c r="F1042" s="125"/>
      <c r="G1042" s="128"/>
      <c r="H1042" s="104"/>
      <c r="I1042" s="98"/>
      <c r="J1042" s="98"/>
      <c r="K1042" s="98"/>
      <c r="L1042" s="101"/>
      <c r="M1042" s="104"/>
      <c r="N1042" s="98"/>
      <c r="O1042" s="98"/>
      <c r="P1042" s="98"/>
      <c r="Q1042" s="101"/>
      <c r="R1042" s="113"/>
      <c r="S1042" s="107"/>
      <c r="T1042" s="107"/>
      <c r="U1042" s="107"/>
      <c r="V1042" s="110"/>
      <c r="W1042" s="104"/>
      <c r="X1042" s="98"/>
      <c r="Y1042" s="98"/>
      <c r="Z1042" s="98"/>
      <c r="AA1042" s="101"/>
      <c r="AB1042" s="135"/>
    </row>
    <row r="1043" spans="1:28" ht="13.5" customHeight="1" thickTop="1" x14ac:dyDescent="0.25">
      <c r="A1043" s="140">
        <v>190</v>
      </c>
      <c r="B1043" s="136">
        <f>ESCUADRAS!C196</f>
        <v>0</v>
      </c>
      <c r="C1043" s="93"/>
      <c r="D1043" s="123"/>
      <c r="E1043" s="123"/>
      <c r="F1043" s="123"/>
      <c r="G1043" s="126"/>
      <c r="H1043" s="102"/>
      <c r="I1043" s="96"/>
      <c r="J1043" s="96"/>
      <c r="K1043" s="96"/>
      <c r="L1043" s="99"/>
      <c r="M1043" s="111"/>
      <c r="N1043" s="105"/>
      <c r="O1043" s="105"/>
      <c r="P1043" s="105"/>
      <c r="Q1043" s="108"/>
      <c r="R1043" s="102"/>
      <c r="S1043" s="96"/>
      <c r="T1043" s="96"/>
      <c r="U1043" s="96"/>
      <c r="V1043" s="99"/>
      <c r="W1043" s="102"/>
      <c r="X1043" s="96"/>
      <c r="Y1043" s="96"/>
      <c r="Z1043" s="96"/>
      <c r="AA1043" s="99"/>
      <c r="AB1043" s="133"/>
    </row>
    <row r="1044" spans="1:28" ht="12.75" customHeight="1" x14ac:dyDescent="0.25">
      <c r="A1044" s="141"/>
      <c r="B1044" s="137"/>
      <c r="C1044" s="94"/>
      <c r="D1044" s="124"/>
      <c r="E1044" s="124"/>
      <c r="F1044" s="124"/>
      <c r="G1044" s="127"/>
      <c r="H1044" s="103"/>
      <c r="I1044" s="97"/>
      <c r="J1044" s="97"/>
      <c r="K1044" s="97"/>
      <c r="L1044" s="100"/>
      <c r="M1044" s="112"/>
      <c r="N1044" s="106"/>
      <c r="O1044" s="106"/>
      <c r="P1044" s="106"/>
      <c r="Q1044" s="109"/>
      <c r="R1044" s="103"/>
      <c r="S1044" s="97"/>
      <c r="T1044" s="97"/>
      <c r="U1044" s="97"/>
      <c r="V1044" s="100"/>
      <c r="W1044" s="103"/>
      <c r="X1044" s="97"/>
      <c r="Y1044" s="97"/>
      <c r="Z1044" s="97"/>
      <c r="AA1044" s="100"/>
      <c r="AB1044" s="134"/>
    </row>
    <row r="1045" spans="1:28" ht="13.5" customHeight="1" thickBot="1" x14ac:dyDescent="0.3">
      <c r="A1045" s="142"/>
      <c r="B1045" s="138"/>
      <c r="C1045" s="95"/>
      <c r="D1045" s="125"/>
      <c r="E1045" s="125"/>
      <c r="F1045" s="125"/>
      <c r="G1045" s="128"/>
      <c r="H1045" s="104"/>
      <c r="I1045" s="98"/>
      <c r="J1045" s="98"/>
      <c r="K1045" s="98"/>
      <c r="L1045" s="101"/>
      <c r="M1045" s="113"/>
      <c r="N1045" s="107"/>
      <c r="O1045" s="107"/>
      <c r="P1045" s="107"/>
      <c r="Q1045" s="110"/>
      <c r="R1045" s="104"/>
      <c r="S1045" s="98"/>
      <c r="T1045" s="98"/>
      <c r="U1045" s="98"/>
      <c r="V1045" s="101"/>
      <c r="W1045" s="104"/>
      <c r="X1045" s="98"/>
      <c r="Y1045" s="98"/>
      <c r="Z1045" s="98"/>
      <c r="AA1045" s="101"/>
      <c r="AB1045" s="135"/>
    </row>
    <row r="1046" spans="1:28" ht="14.25" customHeight="1" thickTop="1" thickBot="1" x14ac:dyDescent="0.3">
      <c r="A1046" s="139">
        <v>191</v>
      </c>
      <c r="B1046" s="136">
        <f>ESCUADRAS!C197</f>
        <v>0</v>
      </c>
      <c r="C1046" s="93"/>
      <c r="D1046" s="123"/>
      <c r="E1046" s="123"/>
      <c r="F1046" s="123"/>
      <c r="G1046" s="126"/>
      <c r="H1046" s="111"/>
      <c r="I1046" s="105"/>
      <c r="J1046" s="105"/>
      <c r="K1046" s="105"/>
      <c r="L1046" s="108"/>
      <c r="M1046" s="102"/>
      <c r="N1046" s="96"/>
      <c r="O1046" s="96"/>
      <c r="P1046" s="96"/>
      <c r="Q1046" s="99"/>
      <c r="R1046" s="102"/>
      <c r="S1046" s="96"/>
      <c r="T1046" s="96"/>
      <c r="U1046" s="96"/>
      <c r="V1046" s="99"/>
      <c r="W1046" s="102"/>
      <c r="X1046" s="96"/>
      <c r="Y1046" s="96"/>
      <c r="Z1046" s="96"/>
      <c r="AA1046" s="99"/>
      <c r="AB1046" s="133"/>
    </row>
    <row r="1047" spans="1:28" ht="14.25" customHeight="1" thickTop="1" thickBot="1" x14ac:dyDescent="0.3">
      <c r="A1047" s="139"/>
      <c r="B1047" s="137"/>
      <c r="C1047" s="94"/>
      <c r="D1047" s="124"/>
      <c r="E1047" s="124"/>
      <c r="F1047" s="124"/>
      <c r="G1047" s="127"/>
      <c r="H1047" s="112"/>
      <c r="I1047" s="106"/>
      <c r="J1047" s="106"/>
      <c r="K1047" s="106"/>
      <c r="L1047" s="109"/>
      <c r="M1047" s="103"/>
      <c r="N1047" s="97"/>
      <c r="O1047" s="97"/>
      <c r="P1047" s="97"/>
      <c r="Q1047" s="100"/>
      <c r="R1047" s="103"/>
      <c r="S1047" s="97"/>
      <c r="T1047" s="97"/>
      <c r="U1047" s="97"/>
      <c r="V1047" s="100"/>
      <c r="W1047" s="103"/>
      <c r="X1047" s="97"/>
      <c r="Y1047" s="97"/>
      <c r="Z1047" s="97"/>
      <c r="AA1047" s="100"/>
      <c r="AB1047" s="134"/>
    </row>
    <row r="1048" spans="1:28" ht="14.25" customHeight="1" thickTop="1" thickBot="1" x14ac:dyDescent="0.3">
      <c r="A1048" s="139"/>
      <c r="B1048" s="138"/>
      <c r="C1048" s="95"/>
      <c r="D1048" s="125"/>
      <c r="E1048" s="125"/>
      <c r="F1048" s="125"/>
      <c r="G1048" s="128"/>
      <c r="H1048" s="113"/>
      <c r="I1048" s="107"/>
      <c r="J1048" s="107"/>
      <c r="K1048" s="107"/>
      <c r="L1048" s="110"/>
      <c r="M1048" s="104"/>
      <c r="N1048" s="98"/>
      <c r="O1048" s="98"/>
      <c r="P1048" s="98"/>
      <c r="Q1048" s="101"/>
      <c r="R1048" s="104"/>
      <c r="S1048" s="98"/>
      <c r="T1048" s="98"/>
      <c r="U1048" s="98"/>
      <c r="V1048" s="101"/>
      <c r="W1048" s="104"/>
      <c r="X1048" s="98"/>
      <c r="Y1048" s="98"/>
      <c r="Z1048" s="98"/>
      <c r="AA1048" s="101"/>
      <c r="AB1048" s="135"/>
    </row>
    <row r="1049" spans="1:28" ht="13.5" customHeight="1" thickTop="1" x14ac:dyDescent="0.25">
      <c r="A1049" s="140">
        <v>192</v>
      </c>
      <c r="B1049" s="136">
        <f>ESCUADRAS!C198</f>
        <v>0</v>
      </c>
      <c r="C1049" s="111"/>
      <c r="D1049" s="105"/>
      <c r="E1049" s="105"/>
      <c r="F1049" s="105"/>
      <c r="G1049" s="108"/>
      <c r="H1049" s="122"/>
      <c r="I1049" s="120"/>
      <c r="J1049" s="120"/>
      <c r="K1049" s="120"/>
      <c r="L1049" s="121"/>
      <c r="M1049" s="122"/>
      <c r="N1049" s="120"/>
      <c r="O1049" s="120"/>
      <c r="P1049" s="120"/>
      <c r="Q1049" s="121"/>
      <c r="R1049" s="122"/>
      <c r="S1049" s="120"/>
      <c r="T1049" s="120"/>
      <c r="U1049" s="120"/>
      <c r="V1049" s="121"/>
      <c r="W1049" s="122"/>
      <c r="X1049" s="120"/>
      <c r="Y1049" s="120"/>
      <c r="Z1049" s="120"/>
      <c r="AA1049" s="121"/>
      <c r="AB1049" s="133"/>
    </row>
    <row r="1050" spans="1:28" ht="12.75" customHeight="1" x14ac:dyDescent="0.25">
      <c r="A1050" s="141"/>
      <c r="B1050" s="137"/>
      <c r="C1050" s="112"/>
      <c r="D1050" s="106"/>
      <c r="E1050" s="106"/>
      <c r="F1050" s="106"/>
      <c r="G1050" s="109"/>
      <c r="H1050" s="103"/>
      <c r="I1050" s="97"/>
      <c r="J1050" s="97"/>
      <c r="K1050" s="97"/>
      <c r="L1050" s="100"/>
      <c r="M1050" s="103"/>
      <c r="N1050" s="97"/>
      <c r="O1050" s="97"/>
      <c r="P1050" s="97"/>
      <c r="Q1050" s="100"/>
      <c r="R1050" s="103"/>
      <c r="S1050" s="97"/>
      <c r="T1050" s="97"/>
      <c r="U1050" s="97"/>
      <c r="V1050" s="100"/>
      <c r="W1050" s="103"/>
      <c r="X1050" s="97"/>
      <c r="Y1050" s="97"/>
      <c r="Z1050" s="97"/>
      <c r="AA1050" s="100"/>
      <c r="AB1050" s="134"/>
    </row>
    <row r="1051" spans="1:28" ht="13.5" customHeight="1" thickBot="1" x14ac:dyDescent="0.3">
      <c r="A1051" s="142"/>
      <c r="B1051" s="138"/>
      <c r="C1051" s="113"/>
      <c r="D1051" s="107"/>
      <c r="E1051" s="107"/>
      <c r="F1051" s="107"/>
      <c r="G1051" s="110"/>
      <c r="H1051" s="104"/>
      <c r="I1051" s="98"/>
      <c r="J1051" s="98"/>
      <c r="K1051" s="98"/>
      <c r="L1051" s="101"/>
      <c r="M1051" s="104"/>
      <c r="N1051" s="98"/>
      <c r="O1051" s="98"/>
      <c r="P1051" s="98"/>
      <c r="Q1051" s="101"/>
      <c r="R1051" s="104"/>
      <c r="S1051" s="98"/>
      <c r="T1051" s="98"/>
      <c r="U1051" s="98"/>
      <c r="V1051" s="101"/>
      <c r="W1051" s="104"/>
      <c r="X1051" s="98"/>
      <c r="Y1051" s="98"/>
      <c r="Z1051" s="98"/>
      <c r="AA1051" s="101"/>
      <c r="AB1051" s="135"/>
    </row>
    <row r="1053" spans="1:28" ht="15" x14ac:dyDescent="0.25">
      <c r="A1053" s="28"/>
      <c r="B1053" s="26" t="s">
        <v>35</v>
      </c>
      <c r="E1053" s="21" t="s">
        <v>41</v>
      </c>
      <c r="I1053" s="21" t="s">
        <v>42</v>
      </c>
      <c r="M1053" s="21" t="s">
        <v>43</v>
      </c>
      <c r="Q1053" s="21" t="s">
        <v>44</v>
      </c>
      <c r="U1053" s="21" t="s">
        <v>45</v>
      </c>
      <c r="Y1053" s="21" t="s">
        <v>46</v>
      </c>
    </row>
    <row r="1059" spans="1:32" ht="24.6" x14ac:dyDescent="0.25">
      <c r="A1059" s="144" t="str">
        <f>'INSCRIPCION '!A$1</f>
        <v>TIRADA</v>
      </c>
      <c r="B1059" s="144"/>
      <c r="C1059" s="144"/>
      <c r="D1059" s="144"/>
      <c r="E1059" s="144"/>
      <c r="F1059" s="144"/>
      <c r="G1059" s="144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  <c r="AF1059" s="144"/>
    </row>
    <row r="1060" spans="1:32" ht="24.6" x14ac:dyDescent="0.4">
      <c r="A1060" s="23"/>
      <c r="B1060" s="23"/>
    </row>
    <row r="1061" spans="1:32" ht="22.8" x14ac:dyDescent="0.25">
      <c r="A1061" s="132" t="str">
        <f>'INSCRIPCION '!A$2</f>
        <v>CAMPO DE TIRO LA ISLA</v>
      </c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L1061" s="132"/>
      <c r="M1061" s="132"/>
      <c r="N1061" s="132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  <c r="AC1061" s="132"/>
      <c r="AD1061" s="132"/>
      <c r="AE1061" s="132"/>
      <c r="AF1061" s="132"/>
    </row>
    <row r="1062" spans="1:32" ht="20.399999999999999" x14ac:dyDescent="0.25">
      <c r="A1062" s="143" t="str">
        <f>'INSCRIPCION '!A$3</f>
        <v>XXX PLATOS</v>
      </c>
      <c r="B1062" s="143"/>
      <c r="C1062" s="143"/>
      <c r="D1062" s="143"/>
      <c r="E1062" s="143"/>
      <c r="F1062" s="143"/>
      <c r="G1062" s="143"/>
      <c r="H1062" s="143"/>
      <c r="I1062" s="143"/>
      <c r="J1062" s="143"/>
      <c r="K1062" s="143"/>
      <c r="L1062" s="143"/>
      <c r="M1062" s="143"/>
      <c r="N1062" s="143"/>
      <c r="O1062" s="143"/>
      <c r="P1062" s="143"/>
      <c r="Q1062" s="143"/>
      <c r="R1062" s="143"/>
      <c r="S1062" s="143"/>
      <c r="T1062" s="143"/>
      <c r="U1062" s="143"/>
      <c r="V1062" s="143"/>
      <c r="W1062" s="143"/>
      <c r="X1062" s="143"/>
      <c r="Y1062" s="143"/>
      <c r="Z1062" s="143"/>
      <c r="AA1062" s="143"/>
      <c r="AB1062" s="143"/>
      <c r="AC1062" s="143"/>
      <c r="AD1062" s="143"/>
      <c r="AE1062" s="143"/>
      <c r="AF1062" s="143"/>
    </row>
    <row r="1063" spans="1:32" ht="22.8" x14ac:dyDescent="0.4">
      <c r="A1063" s="24"/>
      <c r="B1063" s="24"/>
    </row>
    <row r="1064" spans="1:32" ht="17.399999999999999" x14ac:dyDescent="0.3">
      <c r="A1064" s="25" t="s">
        <v>69</v>
      </c>
      <c r="B1064" s="25"/>
      <c r="J1064" s="9" t="s">
        <v>6</v>
      </c>
      <c r="K1064" s="9"/>
      <c r="L1064" s="9"/>
      <c r="M1064" s="9"/>
      <c r="N1064" s="9"/>
      <c r="O1064" s="22">
        <v>1</v>
      </c>
      <c r="P1064" s="22"/>
      <c r="Q1064" s="8"/>
      <c r="R1064" s="8"/>
      <c r="S1064" s="7"/>
      <c r="T1064" s="8"/>
      <c r="U1064" s="8"/>
      <c r="V1064" s="9" t="s">
        <v>7</v>
      </c>
      <c r="W1064" s="9"/>
      <c r="X1064" s="9"/>
      <c r="Y1064" s="9"/>
      <c r="Z1064" s="22">
        <v>1</v>
      </c>
      <c r="AA1064" s="22"/>
    </row>
    <row r="1065" spans="1:32" ht="13.8" thickBot="1" x14ac:dyDescent="0.3"/>
    <row r="1066" spans="1:32" ht="15.6" thickBot="1" x14ac:dyDescent="0.3">
      <c r="A1066" s="27" t="s">
        <v>0</v>
      </c>
      <c r="B1066" s="27" t="s">
        <v>8</v>
      </c>
      <c r="C1066" s="47">
        <v>1</v>
      </c>
      <c r="D1066" s="48">
        <v>2</v>
      </c>
      <c r="E1066" s="48">
        <v>3</v>
      </c>
      <c r="F1066" s="48">
        <v>4</v>
      </c>
      <c r="G1066" s="49">
        <v>5</v>
      </c>
      <c r="H1066" s="47">
        <v>6</v>
      </c>
      <c r="I1066" s="48">
        <v>7</v>
      </c>
      <c r="J1066" s="48">
        <v>8</v>
      </c>
      <c r="K1066" s="48">
        <v>9</v>
      </c>
      <c r="L1066" s="49">
        <v>10</v>
      </c>
      <c r="M1066" s="47">
        <v>11</v>
      </c>
      <c r="N1066" s="48">
        <v>12</v>
      </c>
      <c r="O1066" s="48">
        <v>13</v>
      </c>
      <c r="P1066" s="48">
        <v>14</v>
      </c>
      <c r="Q1066" s="49">
        <v>15</v>
      </c>
      <c r="R1066" s="47">
        <v>16</v>
      </c>
      <c r="S1066" s="48">
        <v>17</v>
      </c>
      <c r="T1066" s="48">
        <v>18</v>
      </c>
      <c r="U1066" s="48">
        <v>19</v>
      </c>
      <c r="V1066" s="49">
        <v>20</v>
      </c>
      <c r="W1066" s="47">
        <v>21</v>
      </c>
      <c r="X1066" s="48">
        <v>22</v>
      </c>
      <c r="Y1066" s="48">
        <v>23</v>
      </c>
      <c r="Z1066" s="48">
        <v>24</v>
      </c>
      <c r="AA1066" s="49">
        <v>25</v>
      </c>
      <c r="AB1066" s="30" t="s">
        <v>1</v>
      </c>
    </row>
    <row r="1067" spans="1:32" ht="14.4" thickTop="1" thickBot="1" x14ac:dyDescent="0.3">
      <c r="A1067" s="139">
        <v>193</v>
      </c>
      <c r="B1067" s="136">
        <f>ESCUADRAS!C199</f>
        <v>0</v>
      </c>
      <c r="C1067" s="129"/>
      <c r="D1067" s="114"/>
      <c r="E1067" s="114"/>
      <c r="F1067" s="114"/>
      <c r="G1067" s="117"/>
      <c r="H1067" s="111"/>
      <c r="I1067" s="105"/>
      <c r="J1067" s="105"/>
      <c r="K1067" s="105"/>
      <c r="L1067" s="108"/>
      <c r="M1067" s="111"/>
      <c r="N1067" s="105"/>
      <c r="O1067" s="105"/>
      <c r="P1067" s="105"/>
      <c r="Q1067" s="108"/>
      <c r="R1067" s="111"/>
      <c r="S1067" s="105"/>
      <c r="T1067" s="105"/>
      <c r="U1067" s="105"/>
      <c r="V1067" s="108"/>
      <c r="W1067" s="111"/>
      <c r="X1067" s="105"/>
      <c r="Y1067" s="105"/>
      <c r="Z1067" s="105"/>
      <c r="AA1067" s="108"/>
      <c r="AB1067" s="133"/>
    </row>
    <row r="1068" spans="1:32" ht="14.4" thickTop="1" thickBot="1" x14ac:dyDescent="0.3">
      <c r="A1068" s="139"/>
      <c r="B1068" s="137"/>
      <c r="C1068" s="130"/>
      <c r="D1068" s="115"/>
      <c r="E1068" s="115"/>
      <c r="F1068" s="115"/>
      <c r="G1068" s="118"/>
      <c r="H1068" s="112"/>
      <c r="I1068" s="106"/>
      <c r="J1068" s="106"/>
      <c r="K1068" s="106"/>
      <c r="L1068" s="109"/>
      <c r="M1068" s="112"/>
      <c r="N1068" s="106"/>
      <c r="O1068" s="106"/>
      <c r="P1068" s="106"/>
      <c r="Q1068" s="109"/>
      <c r="R1068" s="112"/>
      <c r="S1068" s="106"/>
      <c r="T1068" s="106"/>
      <c r="U1068" s="106"/>
      <c r="V1068" s="109"/>
      <c r="W1068" s="112"/>
      <c r="X1068" s="106"/>
      <c r="Y1068" s="106"/>
      <c r="Z1068" s="106"/>
      <c r="AA1068" s="109"/>
      <c r="AB1068" s="134"/>
    </row>
    <row r="1069" spans="1:32" ht="14.4" thickTop="1" thickBot="1" x14ac:dyDescent="0.3">
      <c r="A1069" s="139"/>
      <c r="B1069" s="138"/>
      <c r="C1069" s="131"/>
      <c r="D1069" s="116"/>
      <c r="E1069" s="116"/>
      <c r="F1069" s="116"/>
      <c r="G1069" s="119"/>
      <c r="H1069" s="113"/>
      <c r="I1069" s="107"/>
      <c r="J1069" s="107"/>
      <c r="K1069" s="107"/>
      <c r="L1069" s="110"/>
      <c r="M1069" s="113"/>
      <c r="N1069" s="107"/>
      <c r="O1069" s="107"/>
      <c r="P1069" s="107"/>
      <c r="Q1069" s="110"/>
      <c r="R1069" s="113"/>
      <c r="S1069" s="107"/>
      <c r="T1069" s="107"/>
      <c r="U1069" s="107"/>
      <c r="V1069" s="110"/>
      <c r="W1069" s="113"/>
      <c r="X1069" s="107"/>
      <c r="Y1069" s="107"/>
      <c r="Z1069" s="107"/>
      <c r="AA1069" s="110"/>
      <c r="AB1069" s="135"/>
    </row>
    <row r="1070" spans="1:32" ht="13.5" customHeight="1" thickTop="1" x14ac:dyDescent="0.25">
      <c r="A1070" s="140">
        <v>194</v>
      </c>
      <c r="B1070" s="136">
        <f>ESCUADRAS!C200</f>
        <v>0</v>
      </c>
      <c r="C1070" s="93"/>
      <c r="D1070" s="123"/>
      <c r="E1070" s="123"/>
      <c r="F1070" s="123"/>
      <c r="G1070" s="126"/>
      <c r="H1070" s="102"/>
      <c r="I1070" s="96"/>
      <c r="J1070" s="96"/>
      <c r="K1070" s="96"/>
      <c r="L1070" s="99"/>
      <c r="M1070" s="102"/>
      <c r="N1070" s="96"/>
      <c r="O1070" s="96"/>
      <c r="P1070" s="96"/>
      <c r="Q1070" s="99"/>
      <c r="R1070" s="102"/>
      <c r="S1070" s="96"/>
      <c r="T1070" s="96"/>
      <c r="U1070" s="96"/>
      <c r="V1070" s="99"/>
      <c r="W1070" s="111"/>
      <c r="X1070" s="105"/>
      <c r="Y1070" s="105"/>
      <c r="Z1070" s="105"/>
      <c r="AA1070" s="108"/>
      <c r="AB1070" s="133"/>
    </row>
    <row r="1071" spans="1:32" ht="12.75" customHeight="1" x14ac:dyDescent="0.25">
      <c r="A1071" s="141"/>
      <c r="B1071" s="137"/>
      <c r="C1071" s="94"/>
      <c r="D1071" s="124"/>
      <c r="E1071" s="124"/>
      <c r="F1071" s="124"/>
      <c r="G1071" s="127"/>
      <c r="H1071" s="103"/>
      <c r="I1071" s="97"/>
      <c r="J1071" s="97"/>
      <c r="K1071" s="97"/>
      <c r="L1071" s="100"/>
      <c r="M1071" s="103"/>
      <c r="N1071" s="97"/>
      <c r="O1071" s="97"/>
      <c r="P1071" s="97"/>
      <c r="Q1071" s="100"/>
      <c r="R1071" s="103"/>
      <c r="S1071" s="97"/>
      <c r="T1071" s="97"/>
      <c r="U1071" s="97"/>
      <c r="V1071" s="100"/>
      <c r="W1071" s="112"/>
      <c r="X1071" s="106"/>
      <c r="Y1071" s="106"/>
      <c r="Z1071" s="106"/>
      <c r="AA1071" s="109"/>
      <c r="AB1071" s="134"/>
    </row>
    <row r="1072" spans="1:32" ht="13.5" customHeight="1" thickBot="1" x14ac:dyDescent="0.3">
      <c r="A1072" s="142"/>
      <c r="B1072" s="138"/>
      <c r="C1072" s="95"/>
      <c r="D1072" s="125"/>
      <c r="E1072" s="125"/>
      <c r="F1072" s="125"/>
      <c r="G1072" s="128"/>
      <c r="H1072" s="104"/>
      <c r="I1072" s="98"/>
      <c r="J1072" s="98"/>
      <c r="K1072" s="98"/>
      <c r="L1072" s="101"/>
      <c r="M1072" s="104"/>
      <c r="N1072" s="98"/>
      <c r="O1072" s="98"/>
      <c r="P1072" s="98"/>
      <c r="Q1072" s="101"/>
      <c r="R1072" s="104"/>
      <c r="S1072" s="98"/>
      <c r="T1072" s="98"/>
      <c r="U1072" s="98"/>
      <c r="V1072" s="101"/>
      <c r="W1072" s="113"/>
      <c r="X1072" s="107"/>
      <c r="Y1072" s="107"/>
      <c r="Z1072" s="107"/>
      <c r="AA1072" s="110"/>
      <c r="AB1072" s="135"/>
    </row>
    <row r="1073" spans="1:28" ht="14.25" customHeight="1" thickTop="1" thickBot="1" x14ac:dyDescent="0.3">
      <c r="A1073" s="139">
        <v>195</v>
      </c>
      <c r="B1073" s="136">
        <f>ESCUADRAS!C201</f>
        <v>0</v>
      </c>
      <c r="C1073" s="93"/>
      <c r="D1073" s="123"/>
      <c r="E1073" s="123"/>
      <c r="F1073" s="123"/>
      <c r="G1073" s="126"/>
      <c r="H1073" s="102"/>
      <c r="I1073" s="96"/>
      <c r="J1073" s="96"/>
      <c r="K1073" s="96"/>
      <c r="L1073" s="99"/>
      <c r="M1073" s="102"/>
      <c r="N1073" s="96"/>
      <c r="O1073" s="96"/>
      <c r="P1073" s="96"/>
      <c r="Q1073" s="99"/>
      <c r="R1073" s="111"/>
      <c r="S1073" s="105"/>
      <c r="T1073" s="105"/>
      <c r="U1073" s="105"/>
      <c r="V1073" s="108"/>
      <c r="W1073" s="102"/>
      <c r="X1073" s="96"/>
      <c r="Y1073" s="96"/>
      <c r="Z1073" s="96"/>
      <c r="AA1073" s="99"/>
      <c r="AB1073" s="133"/>
    </row>
    <row r="1074" spans="1:28" ht="14.25" customHeight="1" thickTop="1" thickBot="1" x14ac:dyDescent="0.3">
      <c r="A1074" s="139"/>
      <c r="B1074" s="137"/>
      <c r="C1074" s="94"/>
      <c r="D1074" s="124"/>
      <c r="E1074" s="124"/>
      <c r="F1074" s="124"/>
      <c r="G1074" s="127"/>
      <c r="H1074" s="103"/>
      <c r="I1074" s="97"/>
      <c r="J1074" s="97"/>
      <c r="K1074" s="97"/>
      <c r="L1074" s="100"/>
      <c r="M1074" s="103"/>
      <c r="N1074" s="97"/>
      <c r="O1074" s="97"/>
      <c r="P1074" s="97"/>
      <c r="Q1074" s="100"/>
      <c r="R1074" s="112"/>
      <c r="S1074" s="106"/>
      <c r="T1074" s="106"/>
      <c r="U1074" s="106"/>
      <c r="V1074" s="109"/>
      <c r="W1074" s="103"/>
      <c r="X1074" s="97"/>
      <c r="Y1074" s="97"/>
      <c r="Z1074" s="97"/>
      <c r="AA1074" s="100"/>
      <c r="AB1074" s="134"/>
    </row>
    <row r="1075" spans="1:28" ht="14.25" customHeight="1" thickTop="1" thickBot="1" x14ac:dyDescent="0.3">
      <c r="A1075" s="139"/>
      <c r="B1075" s="138"/>
      <c r="C1075" s="95"/>
      <c r="D1075" s="125"/>
      <c r="E1075" s="125"/>
      <c r="F1075" s="125"/>
      <c r="G1075" s="128"/>
      <c r="H1075" s="104"/>
      <c r="I1075" s="98"/>
      <c r="J1075" s="98"/>
      <c r="K1075" s="98"/>
      <c r="L1075" s="101"/>
      <c r="M1075" s="104"/>
      <c r="N1075" s="98"/>
      <c r="O1075" s="98"/>
      <c r="P1075" s="98"/>
      <c r="Q1075" s="101"/>
      <c r="R1075" s="113"/>
      <c r="S1075" s="107"/>
      <c r="T1075" s="107"/>
      <c r="U1075" s="107"/>
      <c r="V1075" s="110"/>
      <c r="W1075" s="104"/>
      <c r="X1075" s="98"/>
      <c r="Y1075" s="98"/>
      <c r="Z1075" s="98"/>
      <c r="AA1075" s="101"/>
      <c r="AB1075" s="135"/>
    </row>
    <row r="1076" spans="1:28" ht="13.5" customHeight="1" thickTop="1" x14ac:dyDescent="0.25">
      <c r="A1076" s="140">
        <v>196</v>
      </c>
      <c r="B1076" s="136">
        <f>ESCUADRAS!C202</f>
        <v>0</v>
      </c>
      <c r="C1076" s="93"/>
      <c r="D1076" s="123"/>
      <c r="E1076" s="123"/>
      <c r="F1076" s="123"/>
      <c r="G1076" s="126"/>
      <c r="H1076" s="102"/>
      <c r="I1076" s="96"/>
      <c r="J1076" s="96"/>
      <c r="K1076" s="96"/>
      <c r="L1076" s="99"/>
      <c r="M1076" s="111"/>
      <c r="N1076" s="105"/>
      <c r="O1076" s="105"/>
      <c r="P1076" s="105"/>
      <c r="Q1076" s="108"/>
      <c r="R1076" s="102"/>
      <c r="S1076" s="96"/>
      <c r="T1076" s="96"/>
      <c r="U1076" s="96"/>
      <c r="V1076" s="99"/>
      <c r="W1076" s="102"/>
      <c r="X1076" s="96"/>
      <c r="Y1076" s="96"/>
      <c r="Z1076" s="96"/>
      <c r="AA1076" s="99"/>
      <c r="AB1076" s="133"/>
    </row>
    <row r="1077" spans="1:28" ht="12.75" customHeight="1" x14ac:dyDescent="0.25">
      <c r="A1077" s="141"/>
      <c r="B1077" s="137"/>
      <c r="C1077" s="94"/>
      <c r="D1077" s="124"/>
      <c r="E1077" s="124"/>
      <c r="F1077" s="124"/>
      <c r="G1077" s="127"/>
      <c r="H1077" s="103"/>
      <c r="I1077" s="97"/>
      <c r="J1077" s="97"/>
      <c r="K1077" s="97"/>
      <c r="L1077" s="100"/>
      <c r="M1077" s="112"/>
      <c r="N1077" s="106"/>
      <c r="O1077" s="106"/>
      <c r="P1077" s="106"/>
      <c r="Q1077" s="109"/>
      <c r="R1077" s="103"/>
      <c r="S1077" s="97"/>
      <c r="T1077" s="97"/>
      <c r="U1077" s="97"/>
      <c r="V1077" s="100"/>
      <c r="W1077" s="103"/>
      <c r="X1077" s="97"/>
      <c r="Y1077" s="97"/>
      <c r="Z1077" s="97"/>
      <c r="AA1077" s="100"/>
      <c r="AB1077" s="134"/>
    </row>
    <row r="1078" spans="1:28" ht="13.5" customHeight="1" thickBot="1" x14ac:dyDescent="0.3">
      <c r="A1078" s="142"/>
      <c r="B1078" s="138"/>
      <c r="C1078" s="95"/>
      <c r="D1078" s="125"/>
      <c r="E1078" s="125"/>
      <c r="F1078" s="125"/>
      <c r="G1078" s="128"/>
      <c r="H1078" s="104"/>
      <c r="I1078" s="98"/>
      <c r="J1078" s="98"/>
      <c r="K1078" s="98"/>
      <c r="L1078" s="101"/>
      <c r="M1078" s="113"/>
      <c r="N1078" s="107"/>
      <c r="O1078" s="107"/>
      <c r="P1078" s="107"/>
      <c r="Q1078" s="110"/>
      <c r="R1078" s="104"/>
      <c r="S1078" s="98"/>
      <c r="T1078" s="98"/>
      <c r="U1078" s="98"/>
      <c r="V1078" s="101"/>
      <c r="W1078" s="104"/>
      <c r="X1078" s="98"/>
      <c r="Y1078" s="98"/>
      <c r="Z1078" s="98"/>
      <c r="AA1078" s="101"/>
      <c r="AB1078" s="135"/>
    </row>
    <row r="1079" spans="1:28" ht="14.25" customHeight="1" thickTop="1" thickBot="1" x14ac:dyDescent="0.3">
      <c r="A1079" s="139">
        <v>197</v>
      </c>
      <c r="B1079" s="136">
        <f>ESCUADRAS!C203</f>
        <v>0</v>
      </c>
      <c r="C1079" s="93"/>
      <c r="D1079" s="123"/>
      <c r="E1079" s="123"/>
      <c r="F1079" s="123"/>
      <c r="G1079" s="126"/>
      <c r="H1079" s="111"/>
      <c r="I1079" s="105"/>
      <c r="J1079" s="105"/>
      <c r="K1079" s="105"/>
      <c r="L1079" s="108"/>
      <c r="M1079" s="102"/>
      <c r="N1079" s="96"/>
      <c r="O1079" s="96"/>
      <c r="P1079" s="96"/>
      <c r="Q1079" s="99"/>
      <c r="R1079" s="102"/>
      <c r="S1079" s="96"/>
      <c r="T1079" s="96"/>
      <c r="U1079" s="96"/>
      <c r="V1079" s="99"/>
      <c r="W1079" s="102"/>
      <c r="X1079" s="96"/>
      <c r="Y1079" s="96"/>
      <c r="Z1079" s="96"/>
      <c r="AA1079" s="99"/>
      <c r="AB1079" s="133"/>
    </row>
    <row r="1080" spans="1:28" ht="14.25" customHeight="1" thickTop="1" thickBot="1" x14ac:dyDescent="0.3">
      <c r="A1080" s="139"/>
      <c r="B1080" s="137"/>
      <c r="C1080" s="94"/>
      <c r="D1080" s="124"/>
      <c r="E1080" s="124"/>
      <c r="F1080" s="124"/>
      <c r="G1080" s="127"/>
      <c r="H1080" s="112"/>
      <c r="I1080" s="106"/>
      <c r="J1080" s="106"/>
      <c r="K1080" s="106"/>
      <c r="L1080" s="109"/>
      <c r="M1080" s="103"/>
      <c r="N1080" s="97"/>
      <c r="O1080" s="97"/>
      <c r="P1080" s="97"/>
      <c r="Q1080" s="100"/>
      <c r="R1080" s="103"/>
      <c r="S1080" s="97"/>
      <c r="T1080" s="97"/>
      <c r="U1080" s="97"/>
      <c r="V1080" s="100"/>
      <c r="W1080" s="103"/>
      <c r="X1080" s="97"/>
      <c r="Y1080" s="97"/>
      <c r="Z1080" s="97"/>
      <c r="AA1080" s="100"/>
      <c r="AB1080" s="134"/>
    </row>
    <row r="1081" spans="1:28" ht="14.25" customHeight="1" thickTop="1" thickBot="1" x14ac:dyDescent="0.3">
      <c r="A1081" s="139"/>
      <c r="B1081" s="138"/>
      <c r="C1081" s="95"/>
      <c r="D1081" s="125"/>
      <c r="E1081" s="125"/>
      <c r="F1081" s="125"/>
      <c r="G1081" s="128"/>
      <c r="H1081" s="113"/>
      <c r="I1081" s="107"/>
      <c r="J1081" s="107"/>
      <c r="K1081" s="107"/>
      <c r="L1081" s="110"/>
      <c r="M1081" s="104"/>
      <c r="N1081" s="98"/>
      <c r="O1081" s="98"/>
      <c r="P1081" s="98"/>
      <c r="Q1081" s="101"/>
      <c r="R1081" s="104"/>
      <c r="S1081" s="98"/>
      <c r="T1081" s="98"/>
      <c r="U1081" s="98"/>
      <c r="V1081" s="101"/>
      <c r="W1081" s="104"/>
      <c r="X1081" s="98"/>
      <c r="Y1081" s="98"/>
      <c r="Z1081" s="98"/>
      <c r="AA1081" s="101"/>
      <c r="AB1081" s="135"/>
    </row>
    <row r="1082" spans="1:28" ht="13.5" customHeight="1" thickTop="1" x14ac:dyDescent="0.25">
      <c r="A1082" s="140">
        <v>198</v>
      </c>
      <c r="B1082" s="136">
        <f>ESCUADRAS!C204</f>
        <v>0</v>
      </c>
      <c r="C1082" s="111"/>
      <c r="D1082" s="105"/>
      <c r="E1082" s="105"/>
      <c r="F1082" s="105"/>
      <c r="G1082" s="108"/>
      <c r="H1082" s="122"/>
      <c r="I1082" s="120"/>
      <c r="J1082" s="120"/>
      <c r="K1082" s="120"/>
      <c r="L1082" s="121"/>
      <c r="M1082" s="122"/>
      <c r="N1082" s="120"/>
      <c r="O1082" s="120"/>
      <c r="P1082" s="120"/>
      <c r="Q1082" s="121"/>
      <c r="R1082" s="122"/>
      <c r="S1082" s="120"/>
      <c r="T1082" s="120"/>
      <c r="U1082" s="120"/>
      <c r="V1082" s="121"/>
      <c r="W1082" s="122"/>
      <c r="X1082" s="120"/>
      <c r="Y1082" s="120"/>
      <c r="Z1082" s="120"/>
      <c r="AA1082" s="121"/>
      <c r="AB1082" s="133"/>
    </row>
    <row r="1083" spans="1:28" ht="12.75" customHeight="1" x14ac:dyDescent="0.25">
      <c r="A1083" s="141"/>
      <c r="B1083" s="137"/>
      <c r="C1083" s="112"/>
      <c r="D1083" s="106"/>
      <c r="E1083" s="106"/>
      <c r="F1083" s="106"/>
      <c r="G1083" s="109"/>
      <c r="H1083" s="103"/>
      <c r="I1083" s="97"/>
      <c r="J1083" s="97"/>
      <c r="K1083" s="97"/>
      <c r="L1083" s="100"/>
      <c r="M1083" s="103"/>
      <c r="N1083" s="97"/>
      <c r="O1083" s="97"/>
      <c r="P1083" s="97"/>
      <c r="Q1083" s="100"/>
      <c r="R1083" s="103"/>
      <c r="S1083" s="97"/>
      <c r="T1083" s="97"/>
      <c r="U1083" s="97"/>
      <c r="V1083" s="100"/>
      <c r="W1083" s="103"/>
      <c r="X1083" s="97"/>
      <c r="Y1083" s="97"/>
      <c r="Z1083" s="97"/>
      <c r="AA1083" s="100"/>
      <c r="AB1083" s="134"/>
    </row>
    <row r="1084" spans="1:28" ht="13.5" customHeight="1" thickBot="1" x14ac:dyDescent="0.3">
      <c r="A1084" s="142"/>
      <c r="B1084" s="138"/>
      <c r="C1084" s="113"/>
      <c r="D1084" s="107"/>
      <c r="E1084" s="107"/>
      <c r="F1084" s="107"/>
      <c r="G1084" s="110"/>
      <c r="H1084" s="104"/>
      <c r="I1084" s="98"/>
      <c r="J1084" s="98"/>
      <c r="K1084" s="98"/>
      <c r="L1084" s="101"/>
      <c r="M1084" s="104"/>
      <c r="N1084" s="98"/>
      <c r="O1084" s="98"/>
      <c r="P1084" s="98"/>
      <c r="Q1084" s="101"/>
      <c r="R1084" s="104"/>
      <c r="S1084" s="98"/>
      <c r="T1084" s="98"/>
      <c r="U1084" s="98"/>
      <c r="V1084" s="101"/>
      <c r="W1084" s="104"/>
      <c r="X1084" s="98"/>
      <c r="Y1084" s="98"/>
      <c r="Z1084" s="98"/>
      <c r="AA1084" s="101"/>
      <c r="AB1084" s="135"/>
    </row>
    <row r="1086" spans="1:28" ht="15" x14ac:dyDescent="0.25">
      <c r="A1086" s="28"/>
      <c r="B1086" s="26" t="s">
        <v>35</v>
      </c>
      <c r="E1086" s="21" t="s">
        <v>41</v>
      </c>
      <c r="I1086" s="21" t="s">
        <v>42</v>
      </c>
      <c r="M1086" s="21" t="s">
        <v>43</v>
      </c>
      <c r="Q1086" s="21" t="s">
        <v>44</v>
      </c>
      <c r="U1086" s="21" t="s">
        <v>45</v>
      </c>
      <c r="Y1086" s="21" t="s">
        <v>46</v>
      </c>
    </row>
    <row r="1092" spans="1:32" ht="24.6" x14ac:dyDescent="0.25">
      <c r="A1092" s="144" t="str">
        <f>'INSCRIPCION '!A$1</f>
        <v>TIRADA</v>
      </c>
      <c r="B1092" s="144"/>
      <c r="C1092" s="144"/>
      <c r="D1092" s="144"/>
      <c r="E1092" s="144"/>
      <c r="F1092" s="144"/>
      <c r="G1092" s="144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  <c r="AF1092" s="144"/>
    </row>
    <row r="1093" spans="1:32" ht="24.6" x14ac:dyDescent="0.4">
      <c r="A1093" s="23"/>
      <c r="B1093" s="23"/>
    </row>
    <row r="1094" spans="1:32" ht="22.8" x14ac:dyDescent="0.25">
      <c r="A1094" s="132" t="str">
        <f>'INSCRIPCION '!A$2</f>
        <v>CAMPO DE TIRO LA ISLA</v>
      </c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L1094" s="132"/>
      <c r="M1094" s="132"/>
      <c r="N1094" s="132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  <c r="AC1094" s="132"/>
      <c r="AD1094" s="132"/>
      <c r="AE1094" s="132"/>
      <c r="AF1094" s="132"/>
    </row>
    <row r="1095" spans="1:32" ht="20.399999999999999" x14ac:dyDescent="0.25">
      <c r="A1095" s="143" t="str">
        <f>'INSCRIPCION '!A$3</f>
        <v>XXX PLATOS</v>
      </c>
      <c r="B1095" s="143"/>
      <c r="C1095" s="143"/>
      <c r="D1095" s="143"/>
      <c r="E1095" s="143"/>
      <c r="F1095" s="143"/>
      <c r="G1095" s="143"/>
      <c r="H1095" s="143"/>
      <c r="I1095" s="143"/>
      <c r="J1095" s="143"/>
      <c r="K1095" s="143"/>
      <c r="L1095" s="143"/>
      <c r="M1095" s="143"/>
      <c r="N1095" s="143"/>
      <c r="O1095" s="143"/>
      <c r="P1095" s="143"/>
      <c r="Q1095" s="143"/>
      <c r="R1095" s="143"/>
      <c r="S1095" s="143"/>
      <c r="T1095" s="143"/>
      <c r="U1095" s="143"/>
      <c r="V1095" s="143"/>
      <c r="W1095" s="143"/>
      <c r="X1095" s="143"/>
      <c r="Y1095" s="143"/>
      <c r="Z1095" s="143"/>
      <c r="AA1095" s="143"/>
      <c r="AB1095" s="143"/>
      <c r="AC1095" s="143"/>
      <c r="AD1095" s="143"/>
      <c r="AE1095" s="143"/>
      <c r="AF1095" s="143"/>
    </row>
    <row r="1096" spans="1:32" ht="22.8" x14ac:dyDescent="0.4">
      <c r="A1096" s="24"/>
      <c r="B1096" s="24"/>
    </row>
    <row r="1097" spans="1:32" ht="17.399999999999999" x14ac:dyDescent="0.3">
      <c r="A1097" s="25" t="s">
        <v>70</v>
      </c>
      <c r="B1097" s="25"/>
      <c r="J1097" s="9" t="s">
        <v>6</v>
      </c>
      <c r="K1097" s="9"/>
      <c r="L1097" s="9"/>
      <c r="M1097" s="9"/>
      <c r="N1097" s="9"/>
      <c r="O1097" s="22">
        <v>2</v>
      </c>
      <c r="P1097" s="22"/>
      <c r="Q1097" s="8"/>
      <c r="R1097" s="8"/>
      <c r="S1097" s="7"/>
      <c r="T1097" s="8"/>
      <c r="U1097" s="8"/>
      <c r="V1097" s="9" t="s">
        <v>7</v>
      </c>
      <c r="W1097" s="9"/>
      <c r="X1097" s="9"/>
      <c r="Y1097" s="9"/>
      <c r="Z1097" s="22">
        <v>1</v>
      </c>
      <c r="AA1097" s="22"/>
    </row>
    <row r="1098" spans="1:32" ht="13.8" thickBot="1" x14ac:dyDescent="0.3"/>
    <row r="1099" spans="1:32" ht="15.6" thickBot="1" x14ac:dyDescent="0.3">
      <c r="A1099" s="27" t="s">
        <v>0</v>
      </c>
      <c r="B1099" s="27" t="s">
        <v>8</v>
      </c>
      <c r="C1099" s="47">
        <v>1</v>
      </c>
      <c r="D1099" s="48">
        <v>2</v>
      </c>
      <c r="E1099" s="48">
        <v>3</v>
      </c>
      <c r="F1099" s="48">
        <v>4</v>
      </c>
      <c r="G1099" s="49">
        <v>5</v>
      </c>
      <c r="H1099" s="47">
        <v>6</v>
      </c>
      <c r="I1099" s="48">
        <v>7</v>
      </c>
      <c r="J1099" s="48">
        <v>8</v>
      </c>
      <c r="K1099" s="48">
        <v>9</v>
      </c>
      <c r="L1099" s="49">
        <v>10</v>
      </c>
      <c r="M1099" s="47">
        <v>11</v>
      </c>
      <c r="N1099" s="48">
        <v>12</v>
      </c>
      <c r="O1099" s="48">
        <v>13</v>
      </c>
      <c r="P1099" s="48">
        <v>14</v>
      </c>
      <c r="Q1099" s="49">
        <v>15</v>
      </c>
      <c r="R1099" s="47">
        <v>16</v>
      </c>
      <c r="S1099" s="48">
        <v>17</v>
      </c>
      <c r="T1099" s="48">
        <v>18</v>
      </c>
      <c r="U1099" s="48">
        <v>19</v>
      </c>
      <c r="V1099" s="49">
        <v>20</v>
      </c>
      <c r="W1099" s="47">
        <v>21</v>
      </c>
      <c r="X1099" s="48">
        <v>22</v>
      </c>
      <c r="Y1099" s="48">
        <v>23</v>
      </c>
      <c r="Z1099" s="48">
        <v>24</v>
      </c>
      <c r="AA1099" s="49">
        <v>25</v>
      </c>
      <c r="AB1099" s="30" t="s">
        <v>1</v>
      </c>
    </row>
    <row r="1100" spans="1:32" ht="14.4" thickTop="1" thickBot="1" x14ac:dyDescent="0.3">
      <c r="A1100" s="139">
        <v>199</v>
      </c>
      <c r="B1100" s="136">
        <f>ESCUADRAS!C205</f>
        <v>0</v>
      </c>
      <c r="C1100" s="129"/>
      <c r="D1100" s="114"/>
      <c r="E1100" s="114"/>
      <c r="F1100" s="114"/>
      <c r="G1100" s="117"/>
      <c r="H1100" s="111"/>
      <c r="I1100" s="105"/>
      <c r="J1100" s="105"/>
      <c r="K1100" s="105"/>
      <c r="L1100" s="108"/>
      <c r="M1100" s="111"/>
      <c r="N1100" s="105"/>
      <c r="O1100" s="105"/>
      <c r="P1100" s="105"/>
      <c r="Q1100" s="108"/>
      <c r="R1100" s="111"/>
      <c r="S1100" s="105"/>
      <c r="T1100" s="105"/>
      <c r="U1100" s="105"/>
      <c r="V1100" s="108"/>
      <c r="W1100" s="111"/>
      <c r="X1100" s="105"/>
      <c r="Y1100" s="105"/>
      <c r="Z1100" s="105"/>
      <c r="AA1100" s="108"/>
      <c r="AB1100" s="133"/>
    </row>
    <row r="1101" spans="1:32" ht="14.4" thickTop="1" thickBot="1" x14ac:dyDescent="0.3">
      <c r="A1101" s="139"/>
      <c r="B1101" s="137"/>
      <c r="C1101" s="130"/>
      <c r="D1101" s="115"/>
      <c r="E1101" s="115"/>
      <c r="F1101" s="115"/>
      <c r="G1101" s="118"/>
      <c r="H1101" s="112"/>
      <c r="I1101" s="106"/>
      <c r="J1101" s="106"/>
      <c r="K1101" s="106"/>
      <c r="L1101" s="109"/>
      <c r="M1101" s="112"/>
      <c r="N1101" s="106"/>
      <c r="O1101" s="106"/>
      <c r="P1101" s="106"/>
      <c r="Q1101" s="109"/>
      <c r="R1101" s="112"/>
      <c r="S1101" s="106"/>
      <c r="T1101" s="106"/>
      <c r="U1101" s="106"/>
      <c r="V1101" s="109"/>
      <c r="W1101" s="112"/>
      <c r="X1101" s="106"/>
      <c r="Y1101" s="106"/>
      <c r="Z1101" s="106"/>
      <c r="AA1101" s="109"/>
      <c r="AB1101" s="134"/>
    </row>
    <row r="1102" spans="1:32" ht="14.4" thickTop="1" thickBot="1" x14ac:dyDescent="0.3">
      <c r="A1102" s="139"/>
      <c r="B1102" s="138"/>
      <c r="C1102" s="131"/>
      <c r="D1102" s="116"/>
      <c r="E1102" s="116"/>
      <c r="F1102" s="116"/>
      <c r="G1102" s="119"/>
      <c r="H1102" s="113"/>
      <c r="I1102" s="107"/>
      <c r="J1102" s="107"/>
      <c r="K1102" s="107"/>
      <c r="L1102" s="110"/>
      <c r="M1102" s="113"/>
      <c r="N1102" s="107"/>
      <c r="O1102" s="107"/>
      <c r="P1102" s="107"/>
      <c r="Q1102" s="110"/>
      <c r="R1102" s="113"/>
      <c r="S1102" s="107"/>
      <c r="T1102" s="107"/>
      <c r="U1102" s="107"/>
      <c r="V1102" s="110"/>
      <c r="W1102" s="113"/>
      <c r="X1102" s="107"/>
      <c r="Y1102" s="107"/>
      <c r="Z1102" s="107"/>
      <c r="AA1102" s="110"/>
      <c r="AB1102" s="135"/>
    </row>
    <row r="1103" spans="1:32" ht="13.8" thickTop="1" x14ac:dyDescent="0.25">
      <c r="A1103" s="140">
        <v>200</v>
      </c>
      <c r="B1103" s="136">
        <f>ESCUADRAS!C206</f>
        <v>0</v>
      </c>
      <c r="C1103" s="93"/>
      <c r="D1103" s="123"/>
      <c r="E1103" s="123"/>
      <c r="F1103" s="123"/>
      <c r="G1103" s="126"/>
      <c r="H1103" s="102"/>
      <c r="I1103" s="96"/>
      <c r="J1103" s="96"/>
      <c r="K1103" s="96"/>
      <c r="L1103" s="99"/>
      <c r="M1103" s="102"/>
      <c r="N1103" s="96"/>
      <c r="O1103" s="96"/>
      <c r="P1103" s="96"/>
      <c r="Q1103" s="99"/>
      <c r="R1103" s="102"/>
      <c r="S1103" s="96"/>
      <c r="T1103" s="96"/>
      <c r="U1103" s="96"/>
      <c r="V1103" s="99"/>
      <c r="W1103" s="111"/>
      <c r="X1103" s="105"/>
      <c r="Y1103" s="105"/>
      <c r="Z1103" s="105"/>
      <c r="AA1103" s="108"/>
      <c r="AB1103" s="133"/>
    </row>
    <row r="1104" spans="1:32" x14ac:dyDescent="0.25">
      <c r="A1104" s="141"/>
      <c r="B1104" s="137"/>
      <c r="C1104" s="94"/>
      <c r="D1104" s="124"/>
      <c r="E1104" s="124"/>
      <c r="F1104" s="124"/>
      <c r="G1104" s="127"/>
      <c r="H1104" s="103"/>
      <c r="I1104" s="97"/>
      <c r="J1104" s="97"/>
      <c r="K1104" s="97"/>
      <c r="L1104" s="100"/>
      <c r="M1104" s="103"/>
      <c r="N1104" s="97"/>
      <c r="O1104" s="97"/>
      <c r="P1104" s="97"/>
      <c r="Q1104" s="100"/>
      <c r="R1104" s="103"/>
      <c r="S1104" s="97"/>
      <c r="T1104" s="97"/>
      <c r="U1104" s="97"/>
      <c r="V1104" s="100"/>
      <c r="W1104" s="112"/>
      <c r="X1104" s="106"/>
      <c r="Y1104" s="106"/>
      <c r="Z1104" s="106"/>
      <c r="AA1104" s="109"/>
      <c r="AB1104" s="134"/>
    </row>
    <row r="1105" spans="1:28" ht="13.8" thickBot="1" x14ac:dyDescent="0.3">
      <c r="A1105" s="142"/>
      <c r="B1105" s="138"/>
      <c r="C1105" s="95"/>
      <c r="D1105" s="125"/>
      <c r="E1105" s="125"/>
      <c r="F1105" s="125"/>
      <c r="G1105" s="128"/>
      <c r="H1105" s="104"/>
      <c r="I1105" s="98"/>
      <c r="J1105" s="98"/>
      <c r="K1105" s="98"/>
      <c r="L1105" s="101"/>
      <c r="M1105" s="104"/>
      <c r="N1105" s="98"/>
      <c r="O1105" s="98"/>
      <c r="P1105" s="98"/>
      <c r="Q1105" s="101"/>
      <c r="R1105" s="104"/>
      <c r="S1105" s="98"/>
      <c r="T1105" s="98"/>
      <c r="U1105" s="98"/>
      <c r="V1105" s="101"/>
      <c r="W1105" s="113"/>
      <c r="X1105" s="107"/>
      <c r="Y1105" s="107"/>
      <c r="Z1105" s="107"/>
      <c r="AA1105" s="110"/>
      <c r="AB1105" s="135"/>
    </row>
    <row r="1106" spans="1:28" ht="14.4" thickTop="1" thickBot="1" x14ac:dyDescent="0.3">
      <c r="A1106" s="139">
        <v>201</v>
      </c>
      <c r="B1106" s="136">
        <f>ESCUADRAS!C207</f>
        <v>0</v>
      </c>
      <c r="C1106" s="93"/>
      <c r="D1106" s="123"/>
      <c r="E1106" s="123"/>
      <c r="F1106" s="123"/>
      <c r="G1106" s="126"/>
      <c r="H1106" s="102"/>
      <c r="I1106" s="96"/>
      <c r="J1106" s="96"/>
      <c r="K1106" s="96"/>
      <c r="L1106" s="99"/>
      <c r="M1106" s="102"/>
      <c r="N1106" s="96"/>
      <c r="O1106" s="96"/>
      <c r="P1106" s="96"/>
      <c r="Q1106" s="99"/>
      <c r="R1106" s="111"/>
      <c r="S1106" s="105"/>
      <c r="T1106" s="105"/>
      <c r="U1106" s="105"/>
      <c r="V1106" s="108"/>
      <c r="W1106" s="102"/>
      <c r="X1106" s="96"/>
      <c r="Y1106" s="96"/>
      <c r="Z1106" s="96"/>
      <c r="AA1106" s="99"/>
      <c r="AB1106" s="133"/>
    </row>
    <row r="1107" spans="1:28" ht="14.4" thickTop="1" thickBot="1" x14ac:dyDescent="0.3">
      <c r="A1107" s="139"/>
      <c r="B1107" s="137"/>
      <c r="C1107" s="94"/>
      <c r="D1107" s="124"/>
      <c r="E1107" s="124"/>
      <c r="F1107" s="124"/>
      <c r="G1107" s="127"/>
      <c r="H1107" s="103"/>
      <c r="I1107" s="97"/>
      <c r="J1107" s="97"/>
      <c r="K1107" s="97"/>
      <c r="L1107" s="100"/>
      <c r="M1107" s="103"/>
      <c r="N1107" s="97"/>
      <c r="O1107" s="97"/>
      <c r="P1107" s="97"/>
      <c r="Q1107" s="100"/>
      <c r="R1107" s="112"/>
      <c r="S1107" s="106"/>
      <c r="T1107" s="106"/>
      <c r="U1107" s="106"/>
      <c r="V1107" s="109"/>
      <c r="W1107" s="103"/>
      <c r="X1107" s="97"/>
      <c r="Y1107" s="97"/>
      <c r="Z1107" s="97"/>
      <c r="AA1107" s="100"/>
      <c r="AB1107" s="134"/>
    </row>
    <row r="1108" spans="1:28" ht="14.4" thickTop="1" thickBot="1" x14ac:dyDescent="0.3">
      <c r="A1108" s="139"/>
      <c r="B1108" s="138"/>
      <c r="C1108" s="95"/>
      <c r="D1108" s="125"/>
      <c r="E1108" s="125"/>
      <c r="F1108" s="125"/>
      <c r="G1108" s="128"/>
      <c r="H1108" s="104"/>
      <c r="I1108" s="98"/>
      <c r="J1108" s="98"/>
      <c r="K1108" s="98"/>
      <c r="L1108" s="101"/>
      <c r="M1108" s="104"/>
      <c r="N1108" s="98"/>
      <c r="O1108" s="98"/>
      <c r="P1108" s="98"/>
      <c r="Q1108" s="101"/>
      <c r="R1108" s="113"/>
      <c r="S1108" s="107"/>
      <c r="T1108" s="107"/>
      <c r="U1108" s="107"/>
      <c r="V1108" s="110"/>
      <c r="W1108" s="104"/>
      <c r="X1108" s="98"/>
      <c r="Y1108" s="98"/>
      <c r="Z1108" s="98"/>
      <c r="AA1108" s="101"/>
      <c r="AB1108" s="135"/>
    </row>
    <row r="1109" spans="1:28" ht="13.8" thickTop="1" x14ac:dyDescent="0.25">
      <c r="A1109" s="140">
        <v>202</v>
      </c>
      <c r="B1109" s="136">
        <f>ESCUADRAS!C208</f>
        <v>0</v>
      </c>
      <c r="C1109" s="93"/>
      <c r="D1109" s="123"/>
      <c r="E1109" s="123"/>
      <c r="F1109" s="123"/>
      <c r="G1109" s="126"/>
      <c r="H1109" s="102"/>
      <c r="I1109" s="96"/>
      <c r="J1109" s="96"/>
      <c r="K1109" s="96"/>
      <c r="L1109" s="99"/>
      <c r="M1109" s="111"/>
      <c r="N1109" s="105"/>
      <c r="O1109" s="105"/>
      <c r="P1109" s="105"/>
      <c r="Q1109" s="108"/>
      <c r="R1109" s="102"/>
      <c r="S1109" s="96"/>
      <c r="T1109" s="96"/>
      <c r="U1109" s="96"/>
      <c r="V1109" s="99"/>
      <c r="W1109" s="102"/>
      <c r="X1109" s="96"/>
      <c r="Y1109" s="96"/>
      <c r="Z1109" s="96"/>
      <c r="AA1109" s="99"/>
      <c r="AB1109" s="133"/>
    </row>
    <row r="1110" spans="1:28" x14ac:dyDescent="0.25">
      <c r="A1110" s="141"/>
      <c r="B1110" s="137"/>
      <c r="C1110" s="94"/>
      <c r="D1110" s="124"/>
      <c r="E1110" s="124"/>
      <c r="F1110" s="124"/>
      <c r="G1110" s="127"/>
      <c r="H1110" s="103"/>
      <c r="I1110" s="97"/>
      <c r="J1110" s="97"/>
      <c r="K1110" s="97"/>
      <c r="L1110" s="100"/>
      <c r="M1110" s="112"/>
      <c r="N1110" s="106"/>
      <c r="O1110" s="106"/>
      <c r="P1110" s="106"/>
      <c r="Q1110" s="109"/>
      <c r="R1110" s="103"/>
      <c r="S1110" s="97"/>
      <c r="T1110" s="97"/>
      <c r="U1110" s="97"/>
      <c r="V1110" s="100"/>
      <c r="W1110" s="103"/>
      <c r="X1110" s="97"/>
      <c r="Y1110" s="97"/>
      <c r="Z1110" s="97"/>
      <c r="AA1110" s="100"/>
      <c r="AB1110" s="134"/>
    </row>
    <row r="1111" spans="1:28" ht="13.8" thickBot="1" x14ac:dyDescent="0.3">
      <c r="A1111" s="142"/>
      <c r="B1111" s="138"/>
      <c r="C1111" s="95"/>
      <c r="D1111" s="125"/>
      <c r="E1111" s="125"/>
      <c r="F1111" s="125"/>
      <c r="G1111" s="128"/>
      <c r="H1111" s="104"/>
      <c r="I1111" s="98"/>
      <c r="J1111" s="98"/>
      <c r="K1111" s="98"/>
      <c r="L1111" s="101"/>
      <c r="M1111" s="113"/>
      <c r="N1111" s="107"/>
      <c r="O1111" s="107"/>
      <c r="P1111" s="107"/>
      <c r="Q1111" s="110"/>
      <c r="R1111" s="104"/>
      <c r="S1111" s="98"/>
      <c r="T1111" s="98"/>
      <c r="U1111" s="98"/>
      <c r="V1111" s="101"/>
      <c r="W1111" s="104"/>
      <c r="X1111" s="98"/>
      <c r="Y1111" s="98"/>
      <c r="Z1111" s="98"/>
      <c r="AA1111" s="101"/>
      <c r="AB1111" s="135"/>
    </row>
    <row r="1112" spans="1:28" ht="14.4" thickTop="1" thickBot="1" x14ac:dyDescent="0.3">
      <c r="A1112" s="139">
        <v>203</v>
      </c>
      <c r="B1112" s="136">
        <f>ESCUADRAS!C209</f>
        <v>0</v>
      </c>
      <c r="C1112" s="93"/>
      <c r="D1112" s="123"/>
      <c r="E1112" s="123"/>
      <c r="F1112" s="123"/>
      <c r="G1112" s="126"/>
      <c r="H1112" s="111"/>
      <c r="I1112" s="105"/>
      <c r="J1112" s="105"/>
      <c r="K1112" s="105"/>
      <c r="L1112" s="108"/>
      <c r="M1112" s="102"/>
      <c r="N1112" s="96"/>
      <c r="O1112" s="96"/>
      <c r="P1112" s="96"/>
      <c r="Q1112" s="99"/>
      <c r="R1112" s="102"/>
      <c r="S1112" s="96"/>
      <c r="T1112" s="96"/>
      <c r="U1112" s="96"/>
      <c r="V1112" s="99"/>
      <c r="W1112" s="102"/>
      <c r="X1112" s="96"/>
      <c r="Y1112" s="96"/>
      <c r="Z1112" s="96"/>
      <c r="AA1112" s="99"/>
      <c r="AB1112" s="133"/>
    </row>
    <row r="1113" spans="1:28" ht="14.4" thickTop="1" thickBot="1" x14ac:dyDescent="0.3">
      <c r="A1113" s="139"/>
      <c r="B1113" s="137"/>
      <c r="C1113" s="94"/>
      <c r="D1113" s="124"/>
      <c r="E1113" s="124"/>
      <c r="F1113" s="124"/>
      <c r="G1113" s="127"/>
      <c r="H1113" s="112"/>
      <c r="I1113" s="106"/>
      <c r="J1113" s="106"/>
      <c r="K1113" s="106"/>
      <c r="L1113" s="109"/>
      <c r="M1113" s="103"/>
      <c r="N1113" s="97"/>
      <c r="O1113" s="97"/>
      <c r="P1113" s="97"/>
      <c r="Q1113" s="100"/>
      <c r="R1113" s="103"/>
      <c r="S1113" s="97"/>
      <c r="T1113" s="97"/>
      <c r="U1113" s="97"/>
      <c r="V1113" s="100"/>
      <c r="W1113" s="103"/>
      <c r="X1113" s="97"/>
      <c r="Y1113" s="97"/>
      <c r="Z1113" s="97"/>
      <c r="AA1113" s="100"/>
      <c r="AB1113" s="134"/>
    </row>
    <row r="1114" spans="1:28" ht="14.4" thickTop="1" thickBot="1" x14ac:dyDescent="0.3">
      <c r="A1114" s="139"/>
      <c r="B1114" s="138"/>
      <c r="C1114" s="95"/>
      <c r="D1114" s="125"/>
      <c r="E1114" s="125"/>
      <c r="F1114" s="125"/>
      <c r="G1114" s="128"/>
      <c r="H1114" s="113"/>
      <c r="I1114" s="107"/>
      <c r="J1114" s="107"/>
      <c r="K1114" s="107"/>
      <c r="L1114" s="110"/>
      <c r="M1114" s="104"/>
      <c r="N1114" s="98"/>
      <c r="O1114" s="98"/>
      <c r="P1114" s="98"/>
      <c r="Q1114" s="101"/>
      <c r="R1114" s="104"/>
      <c r="S1114" s="98"/>
      <c r="T1114" s="98"/>
      <c r="U1114" s="98"/>
      <c r="V1114" s="101"/>
      <c r="W1114" s="104"/>
      <c r="X1114" s="98"/>
      <c r="Y1114" s="98"/>
      <c r="Z1114" s="98"/>
      <c r="AA1114" s="101"/>
      <c r="AB1114" s="135"/>
    </row>
    <row r="1115" spans="1:28" ht="13.8" thickTop="1" x14ac:dyDescent="0.25">
      <c r="A1115" s="140">
        <v>204</v>
      </c>
      <c r="B1115" s="136">
        <f>ESCUADRAS!C210</f>
        <v>0</v>
      </c>
      <c r="C1115" s="111"/>
      <c r="D1115" s="105"/>
      <c r="E1115" s="105"/>
      <c r="F1115" s="105"/>
      <c r="G1115" s="108"/>
      <c r="H1115" s="122"/>
      <c r="I1115" s="120"/>
      <c r="J1115" s="120"/>
      <c r="K1115" s="120"/>
      <c r="L1115" s="121"/>
      <c r="M1115" s="122"/>
      <c r="N1115" s="120"/>
      <c r="O1115" s="120"/>
      <c r="P1115" s="120"/>
      <c r="Q1115" s="121"/>
      <c r="R1115" s="122"/>
      <c r="S1115" s="120"/>
      <c r="T1115" s="120"/>
      <c r="U1115" s="120"/>
      <c r="V1115" s="121"/>
      <c r="W1115" s="122"/>
      <c r="X1115" s="120"/>
      <c r="Y1115" s="120"/>
      <c r="Z1115" s="120"/>
      <c r="AA1115" s="121"/>
      <c r="AB1115" s="133"/>
    </row>
    <row r="1116" spans="1:28" x14ac:dyDescent="0.25">
      <c r="A1116" s="141"/>
      <c r="B1116" s="137"/>
      <c r="C1116" s="112"/>
      <c r="D1116" s="106"/>
      <c r="E1116" s="106"/>
      <c r="F1116" s="106"/>
      <c r="G1116" s="109"/>
      <c r="H1116" s="103"/>
      <c r="I1116" s="97"/>
      <c r="J1116" s="97"/>
      <c r="K1116" s="97"/>
      <c r="L1116" s="100"/>
      <c r="M1116" s="103"/>
      <c r="N1116" s="97"/>
      <c r="O1116" s="97"/>
      <c r="P1116" s="97"/>
      <c r="Q1116" s="100"/>
      <c r="R1116" s="103"/>
      <c r="S1116" s="97"/>
      <c r="T1116" s="97"/>
      <c r="U1116" s="97"/>
      <c r="V1116" s="100"/>
      <c r="W1116" s="103"/>
      <c r="X1116" s="97"/>
      <c r="Y1116" s="97"/>
      <c r="Z1116" s="97"/>
      <c r="AA1116" s="100"/>
      <c r="AB1116" s="134"/>
    </row>
    <row r="1117" spans="1:28" ht="13.8" thickBot="1" x14ac:dyDescent="0.3">
      <c r="A1117" s="142"/>
      <c r="B1117" s="138"/>
      <c r="C1117" s="113"/>
      <c r="D1117" s="107"/>
      <c r="E1117" s="107"/>
      <c r="F1117" s="107"/>
      <c r="G1117" s="110"/>
      <c r="H1117" s="104"/>
      <c r="I1117" s="98"/>
      <c r="J1117" s="98"/>
      <c r="K1117" s="98"/>
      <c r="L1117" s="101"/>
      <c r="M1117" s="104"/>
      <c r="N1117" s="98"/>
      <c r="O1117" s="98"/>
      <c r="P1117" s="98"/>
      <c r="Q1117" s="101"/>
      <c r="R1117" s="104"/>
      <c r="S1117" s="98"/>
      <c r="T1117" s="98"/>
      <c r="U1117" s="98"/>
      <c r="V1117" s="101"/>
      <c r="W1117" s="104"/>
      <c r="X1117" s="98"/>
      <c r="Y1117" s="98"/>
      <c r="Z1117" s="98"/>
      <c r="AA1117" s="101"/>
      <c r="AB1117" s="135"/>
    </row>
    <row r="1119" spans="1:28" ht="15" x14ac:dyDescent="0.25">
      <c r="A1119" s="28"/>
      <c r="B1119" s="26" t="s">
        <v>35</v>
      </c>
      <c r="E1119" s="21" t="s">
        <v>41</v>
      </c>
      <c r="I1119" s="21" t="s">
        <v>42</v>
      </c>
      <c r="M1119" s="21" t="s">
        <v>43</v>
      </c>
      <c r="Q1119" s="21" t="s">
        <v>44</v>
      </c>
      <c r="U1119" s="21" t="s">
        <v>45</v>
      </c>
      <c r="Y1119" s="21" t="s">
        <v>46</v>
      </c>
    </row>
  </sheetData>
  <mergeCells count="5815">
    <mergeCell ref="Z1112:Z1114"/>
    <mergeCell ref="AA1112:AA1114"/>
    <mergeCell ref="AB1112:AB1114"/>
    <mergeCell ref="A1115:A1117"/>
    <mergeCell ref="B1115:B1117"/>
    <mergeCell ref="C1115:C1117"/>
    <mergeCell ref="D1115:D1117"/>
    <mergeCell ref="E1115:E1117"/>
    <mergeCell ref="F1115:F1117"/>
    <mergeCell ref="G1115:G1117"/>
    <mergeCell ref="H1115:H1117"/>
    <mergeCell ref="I1115:I1117"/>
    <mergeCell ref="J1115:J1117"/>
    <mergeCell ref="K1115:K1117"/>
    <mergeCell ref="L1115:L1117"/>
    <mergeCell ref="M1115:M1117"/>
    <mergeCell ref="N1115:N1117"/>
    <mergeCell ref="O1115:O1117"/>
    <mergeCell ref="P1115:P1117"/>
    <mergeCell ref="Q1115:Q1117"/>
    <mergeCell ref="R1115:R1117"/>
    <mergeCell ref="S1115:S1117"/>
    <mergeCell ref="T1115:T1117"/>
    <mergeCell ref="U1115:U1117"/>
    <mergeCell ref="V1115:V1117"/>
    <mergeCell ref="W1115:W1117"/>
    <mergeCell ref="X1115:X1117"/>
    <mergeCell ref="Y1115:Y1117"/>
    <mergeCell ref="Z1115:Z1117"/>
    <mergeCell ref="AA1115:AA1117"/>
    <mergeCell ref="AB1115:AB1117"/>
    <mergeCell ref="V1109:V1111"/>
    <mergeCell ref="W1109:W1111"/>
    <mergeCell ref="X1109:X1111"/>
    <mergeCell ref="Y1109:Y1111"/>
    <mergeCell ref="Z1109:Z1111"/>
    <mergeCell ref="AA1109:AA1111"/>
    <mergeCell ref="AB1109:AB1111"/>
    <mergeCell ref="A1112:A1114"/>
    <mergeCell ref="B1112:B1114"/>
    <mergeCell ref="C1112:C1114"/>
    <mergeCell ref="D1112:D1114"/>
    <mergeCell ref="E1112:E1114"/>
    <mergeCell ref="F1112:F1114"/>
    <mergeCell ref="G1112:G1114"/>
    <mergeCell ref="H1112:H1114"/>
    <mergeCell ref="I1112:I1114"/>
    <mergeCell ref="J1112:J1114"/>
    <mergeCell ref="K1112:K1114"/>
    <mergeCell ref="L1112:L1114"/>
    <mergeCell ref="M1112:M1114"/>
    <mergeCell ref="N1112:N1114"/>
    <mergeCell ref="O1112:O1114"/>
    <mergeCell ref="P1112:P1114"/>
    <mergeCell ref="Q1112:Q1114"/>
    <mergeCell ref="R1112:R1114"/>
    <mergeCell ref="S1112:S1114"/>
    <mergeCell ref="T1112:T1114"/>
    <mergeCell ref="U1112:U1114"/>
    <mergeCell ref="V1112:V1114"/>
    <mergeCell ref="W1112:W1114"/>
    <mergeCell ref="X1112:X1114"/>
    <mergeCell ref="Y1112:Y1114"/>
    <mergeCell ref="R1106:R1108"/>
    <mergeCell ref="S1106:S1108"/>
    <mergeCell ref="T1106:T1108"/>
    <mergeCell ref="U1106:U1108"/>
    <mergeCell ref="V1106:V1108"/>
    <mergeCell ref="W1106:W1108"/>
    <mergeCell ref="X1106:X1108"/>
    <mergeCell ref="Y1106:Y1108"/>
    <mergeCell ref="Z1106:Z1108"/>
    <mergeCell ref="AA1106:AA1108"/>
    <mergeCell ref="AB1106:AB1108"/>
    <mergeCell ref="A1109:A1111"/>
    <mergeCell ref="B1109:B1111"/>
    <mergeCell ref="C1109:C1111"/>
    <mergeCell ref="D1109:D1111"/>
    <mergeCell ref="E1109:E1111"/>
    <mergeCell ref="F1109:F1111"/>
    <mergeCell ref="G1109:G1111"/>
    <mergeCell ref="H1109:H1111"/>
    <mergeCell ref="I1109:I1111"/>
    <mergeCell ref="J1109:J1111"/>
    <mergeCell ref="K1109:K1111"/>
    <mergeCell ref="L1109:L1111"/>
    <mergeCell ref="M1109:M1111"/>
    <mergeCell ref="N1109:N1111"/>
    <mergeCell ref="O1109:O1111"/>
    <mergeCell ref="P1109:P1111"/>
    <mergeCell ref="Q1109:Q1111"/>
    <mergeCell ref="R1109:R1111"/>
    <mergeCell ref="S1109:S1111"/>
    <mergeCell ref="T1109:T1111"/>
    <mergeCell ref="U1109:U1111"/>
    <mergeCell ref="A1106:A1108"/>
    <mergeCell ref="B1106:B1108"/>
    <mergeCell ref="C1106:C1108"/>
    <mergeCell ref="D1106:D1108"/>
    <mergeCell ref="E1106:E1108"/>
    <mergeCell ref="F1106:F1108"/>
    <mergeCell ref="G1106:G1108"/>
    <mergeCell ref="H1106:H1108"/>
    <mergeCell ref="I1106:I1108"/>
    <mergeCell ref="J1106:J1108"/>
    <mergeCell ref="K1106:K1108"/>
    <mergeCell ref="L1106:L1108"/>
    <mergeCell ref="M1106:M1108"/>
    <mergeCell ref="N1106:N1108"/>
    <mergeCell ref="O1106:O1108"/>
    <mergeCell ref="P1106:P1108"/>
    <mergeCell ref="Q1106:Q1108"/>
    <mergeCell ref="AA1100:AA1102"/>
    <mergeCell ref="AB1100:AB1102"/>
    <mergeCell ref="A1103:A1105"/>
    <mergeCell ref="B1103:B1105"/>
    <mergeCell ref="C1103:C1105"/>
    <mergeCell ref="D1103:D1105"/>
    <mergeCell ref="E1103:E1105"/>
    <mergeCell ref="F1103:F1105"/>
    <mergeCell ref="G1103:G1105"/>
    <mergeCell ref="H1103:H1105"/>
    <mergeCell ref="I1103:I1105"/>
    <mergeCell ref="J1103:J1105"/>
    <mergeCell ref="K1103:K1105"/>
    <mergeCell ref="L1103:L1105"/>
    <mergeCell ref="M1103:M1105"/>
    <mergeCell ref="N1103:N1105"/>
    <mergeCell ref="O1103:O1105"/>
    <mergeCell ref="P1103:P1105"/>
    <mergeCell ref="Q1103:Q1105"/>
    <mergeCell ref="R1103:R1105"/>
    <mergeCell ref="S1103:S1105"/>
    <mergeCell ref="T1103:T1105"/>
    <mergeCell ref="U1103:U1105"/>
    <mergeCell ref="V1103:V1105"/>
    <mergeCell ref="W1103:W1105"/>
    <mergeCell ref="X1103:X1105"/>
    <mergeCell ref="Y1103:Y1105"/>
    <mergeCell ref="Z1103:Z1105"/>
    <mergeCell ref="AA1103:AA1105"/>
    <mergeCell ref="AB1103:AB1105"/>
    <mergeCell ref="Z1082:Z1084"/>
    <mergeCell ref="AA1082:AA1084"/>
    <mergeCell ref="AB1082:AB1084"/>
    <mergeCell ref="A1092:AF1092"/>
    <mergeCell ref="A1094:AF1094"/>
    <mergeCell ref="A1095:AF1095"/>
    <mergeCell ref="A1100:A1102"/>
    <mergeCell ref="B1100:B1102"/>
    <mergeCell ref="C1100:C1102"/>
    <mergeCell ref="D1100:D1102"/>
    <mergeCell ref="E1100:E1102"/>
    <mergeCell ref="F1100:F1102"/>
    <mergeCell ref="G1100:G1102"/>
    <mergeCell ref="H1100:H1102"/>
    <mergeCell ref="I1100:I1102"/>
    <mergeCell ref="J1100:J1102"/>
    <mergeCell ref="K1100:K1102"/>
    <mergeCell ref="L1100:L1102"/>
    <mergeCell ref="M1100:M1102"/>
    <mergeCell ref="N1100:N1102"/>
    <mergeCell ref="O1100:O1102"/>
    <mergeCell ref="P1100:P1102"/>
    <mergeCell ref="Q1100:Q1102"/>
    <mergeCell ref="R1100:R1102"/>
    <mergeCell ref="S1100:S1102"/>
    <mergeCell ref="T1100:T1102"/>
    <mergeCell ref="U1100:U1102"/>
    <mergeCell ref="V1100:V1102"/>
    <mergeCell ref="W1100:W1102"/>
    <mergeCell ref="X1100:X1102"/>
    <mergeCell ref="Y1100:Y1102"/>
    <mergeCell ref="Z1100:Z1102"/>
    <mergeCell ref="V1079:V1081"/>
    <mergeCell ref="W1079:W1081"/>
    <mergeCell ref="X1079:X1081"/>
    <mergeCell ref="Y1079:Y1081"/>
    <mergeCell ref="Z1079:Z1081"/>
    <mergeCell ref="AA1079:AA1081"/>
    <mergeCell ref="AB1079:AB1081"/>
    <mergeCell ref="A1082:A1084"/>
    <mergeCell ref="B1082:B1084"/>
    <mergeCell ref="C1082:C1084"/>
    <mergeCell ref="D1082:D1084"/>
    <mergeCell ref="E1082:E1084"/>
    <mergeCell ref="F1082:F1084"/>
    <mergeCell ref="G1082:G1084"/>
    <mergeCell ref="H1082:H1084"/>
    <mergeCell ref="I1082:I1084"/>
    <mergeCell ref="J1082:J1084"/>
    <mergeCell ref="K1082:K1084"/>
    <mergeCell ref="L1082:L1084"/>
    <mergeCell ref="M1082:M1084"/>
    <mergeCell ref="N1082:N1084"/>
    <mergeCell ref="O1082:O1084"/>
    <mergeCell ref="P1082:P1084"/>
    <mergeCell ref="Q1082:Q1084"/>
    <mergeCell ref="R1082:R1084"/>
    <mergeCell ref="S1082:S1084"/>
    <mergeCell ref="T1082:T1084"/>
    <mergeCell ref="U1082:U1084"/>
    <mergeCell ref="V1082:V1084"/>
    <mergeCell ref="W1082:W1084"/>
    <mergeCell ref="X1082:X1084"/>
    <mergeCell ref="Y1082:Y1084"/>
    <mergeCell ref="R1076:R1078"/>
    <mergeCell ref="S1076:S1078"/>
    <mergeCell ref="T1076:T1078"/>
    <mergeCell ref="U1076:U1078"/>
    <mergeCell ref="V1076:V1078"/>
    <mergeCell ref="W1076:W1078"/>
    <mergeCell ref="X1076:X1078"/>
    <mergeCell ref="Y1076:Y1078"/>
    <mergeCell ref="Z1076:Z1078"/>
    <mergeCell ref="AA1076:AA1078"/>
    <mergeCell ref="AB1076:AB1078"/>
    <mergeCell ref="A1079:A1081"/>
    <mergeCell ref="B1079:B1081"/>
    <mergeCell ref="C1079:C1081"/>
    <mergeCell ref="D1079:D1081"/>
    <mergeCell ref="E1079:E1081"/>
    <mergeCell ref="F1079:F1081"/>
    <mergeCell ref="G1079:G1081"/>
    <mergeCell ref="H1079:H1081"/>
    <mergeCell ref="I1079:I1081"/>
    <mergeCell ref="J1079:J1081"/>
    <mergeCell ref="K1079:K1081"/>
    <mergeCell ref="L1079:L1081"/>
    <mergeCell ref="M1079:M1081"/>
    <mergeCell ref="N1079:N1081"/>
    <mergeCell ref="O1079:O1081"/>
    <mergeCell ref="P1079:P1081"/>
    <mergeCell ref="Q1079:Q1081"/>
    <mergeCell ref="R1079:R1081"/>
    <mergeCell ref="S1079:S1081"/>
    <mergeCell ref="T1079:T1081"/>
    <mergeCell ref="U1079:U1081"/>
    <mergeCell ref="A1076:A1078"/>
    <mergeCell ref="B1076:B1078"/>
    <mergeCell ref="C1076:C1078"/>
    <mergeCell ref="D1076:D1078"/>
    <mergeCell ref="E1076:E1078"/>
    <mergeCell ref="F1076:F1078"/>
    <mergeCell ref="G1076:G1078"/>
    <mergeCell ref="H1076:H1078"/>
    <mergeCell ref="I1076:I1078"/>
    <mergeCell ref="J1076:J1078"/>
    <mergeCell ref="K1076:K1078"/>
    <mergeCell ref="L1076:L1078"/>
    <mergeCell ref="M1076:M1078"/>
    <mergeCell ref="N1076:N1078"/>
    <mergeCell ref="O1076:O1078"/>
    <mergeCell ref="P1076:P1078"/>
    <mergeCell ref="Q1076:Q1078"/>
    <mergeCell ref="AA1070:AA1072"/>
    <mergeCell ref="AB1070:AB1072"/>
    <mergeCell ref="A1073:A1075"/>
    <mergeCell ref="B1073:B1075"/>
    <mergeCell ref="C1073:C1075"/>
    <mergeCell ref="D1073:D1075"/>
    <mergeCell ref="E1073:E1075"/>
    <mergeCell ref="F1073:F1075"/>
    <mergeCell ref="G1073:G1075"/>
    <mergeCell ref="H1073:H1075"/>
    <mergeCell ref="I1073:I1075"/>
    <mergeCell ref="J1073:J1075"/>
    <mergeCell ref="K1073:K1075"/>
    <mergeCell ref="L1073:L1075"/>
    <mergeCell ref="M1073:M1075"/>
    <mergeCell ref="N1073:N1075"/>
    <mergeCell ref="O1073:O1075"/>
    <mergeCell ref="P1073:P1075"/>
    <mergeCell ref="Q1073:Q1075"/>
    <mergeCell ref="R1073:R1075"/>
    <mergeCell ref="S1073:S1075"/>
    <mergeCell ref="T1073:T1075"/>
    <mergeCell ref="U1073:U1075"/>
    <mergeCell ref="V1073:V1075"/>
    <mergeCell ref="W1073:W1075"/>
    <mergeCell ref="X1073:X1075"/>
    <mergeCell ref="Y1073:Y1075"/>
    <mergeCell ref="Z1073:Z1075"/>
    <mergeCell ref="AA1073:AA1075"/>
    <mergeCell ref="AB1073:AB1075"/>
    <mergeCell ref="W1067:W1069"/>
    <mergeCell ref="X1067:X1069"/>
    <mergeCell ref="Y1067:Y1069"/>
    <mergeCell ref="Z1067:Z1069"/>
    <mergeCell ref="AA1067:AA1069"/>
    <mergeCell ref="AB1067:AB1069"/>
    <mergeCell ref="A1070:A1072"/>
    <mergeCell ref="B1070:B1072"/>
    <mergeCell ref="C1070:C1072"/>
    <mergeCell ref="D1070:D1072"/>
    <mergeCell ref="E1070:E1072"/>
    <mergeCell ref="F1070:F1072"/>
    <mergeCell ref="G1070:G1072"/>
    <mergeCell ref="H1070:H1072"/>
    <mergeCell ref="I1070:I1072"/>
    <mergeCell ref="J1070:J1072"/>
    <mergeCell ref="K1070:K1072"/>
    <mergeCell ref="L1070:L1072"/>
    <mergeCell ref="M1070:M1072"/>
    <mergeCell ref="N1070:N1072"/>
    <mergeCell ref="O1070:O1072"/>
    <mergeCell ref="P1070:P1072"/>
    <mergeCell ref="Q1070:Q1072"/>
    <mergeCell ref="R1070:R1072"/>
    <mergeCell ref="S1070:S1072"/>
    <mergeCell ref="T1070:T1072"/>
    <mergeCell ref="U1070:U1072"/>
    <mergeCell ref="V1070:V1072"/>
    <mergeCell ref="W1070:W1072"/>
    <mergeCell ref="X1070:X1072"/>
    <mergeCell ref="Y1070:Y1072"/>
    <mergeCell ref="Z1070:Z1072"/>
    <mergeCell ref="V1049:V1051"/>
    <mergeCell ref="W1049:W1051"/>
    <mergeCell ref="X1049:X1051"/>
    <mergeCell ref="Y1049:Y1051"/>
    <mergeCell ref="Z1049:Z1051"/>
    <mergeCell ref="AA1049:AA1051"/>
    <mergeCell ref="AB1049:AB1051"/>
    <mergeCell ref="A1059:AF1059"/>
    <mergeCell ref="A1061:AF1061"/>
    <mergeCell ref="A1062:AF1062"/>
    <mergeCell ref="A1067:A1069"/>
    <mergeCell ref="B1067:B1069"/>
    <mergeCell ref="C1067:C1069"/>
    <mergeCell ref="D1067:D1069"/>
    <mergeCell ref="E1067:E1069"/>
    <mergeCell ref="F1067:F1069"/>
    <mergeCell ref="G1067:G1069"/>
    <mergeCell ref="H1067:H1069"/>
    <mergeCell ref="I1067:I1069"/>
    <mergeCell ref="J1067:J1069"/>
    <mergeCell ref="K1067:K1069"/>
    <mergeCell ref="L1067:L1069"/>
    <mergeCell ref="M1067:M1069"/>
    <mergeCell ref="N1067:N1069"/>
    <mergeCell ref="O1067:O1069"/>
    <mergeCell ref="P1067:P1069"/>
    <mergeCell ref="Q1067:Q1069"/>
    <mergeCell ref="R1067:R1069"/>
    <mergeCell ref="S1067:S1069"/>
    <mergeCell ref="T1067:T1069"/>
    <mergeCell ref="U1067:U1069"/>
    <mergeCell ref="V1067:V1069"/>
    <mergeCell ref="R1046:R1048"/>
    <mergeCell ref="S1046:S1048"/>
    <mergeCell ref="T1046:T1048"/>
    <mergeCell ref="U1046:U1048"/>
    <mergeCell ref="V1046:V1048"/>
    <mergeCell ref="W1046:W1048"/>
    <mergeCell ref="X1046:X1048"/>
    <mergeCell ref="Y1046:Y1048"/>
    <mergeCell ref="Z1046:Z1048"/>
    <mergeCell ref="AA1046:AA1048"/>
    <mergeCell ref="AB1046:AB1048"/>
    <mergeCell ref="A1049:A1051"/>
    <mergeCell ref="B1049:B1051"/>
    <mergeCell ref="C1049:C1051"/>
    <mergeCell ref="D1049:D1051"/>
    <mergeCell ref="E1049:E1051"/>
    <mergeCell ref="F1049:F1051"/>
    <mergeCell ref="G1049:G1051"/>
    <mergeCell ref="H1049:H1051"/>
    <mergeCell ref="I1049:I1051"/>
    <mergeCell ref="J1049:J1051"/>
    <mergeCell ref="K1049:K1051"/>
    <mergeCell ref="L1049:L1051"/>
    <mergeCell ref="M1049:M1051"/>
    <mergeCell ref="N1049:N1051"/>
    <mergeCell ref="O1049:O1051"/>
    <mergeCell ref="P1049:P1051"/>
    <mergeCell ref="Q1049:Q1051"/>
    <mergeCell ref="R1049:R1051"/>
    <mergeCell ref="S1049:S1051"/>
    <mergeCell ref="T1049:T1051"/>
    <mergeCell ref="U1049:U1051"/>
    <mergeCell ref="A1046:A1048"/>
    <mergeCell ref="B1046:B1048"/>
    <mergeCell ref="C1046:C1048"/>
    <mergeCell ref="D1046:D1048"/>
    <mergeCell ref="E1046:E1048"/>
    <mergeCell ref="F1046:F1048"/>
    <mergeCell ref="G1046:G1048"/>
    <mergeCell ref="H1046:H1048"/>
    <mergeCell ref="I1046:I1048"/>
    <mergeCell ref="J1046:J1048"/>
    <mergeCell ref="K1046:K1048"/>
    <mergeCell ref="L1046:L1048"/>
    <mergeCell ref="M1046:M1048"/>
    <mergeCell ref="N1046:N1048"/>
    <mergeCell ref="O1046:O1048"/>
    <mergeCell ref="P1046:P1048"/>
    <mergeCell ref="Q1046:Q1048"/>
    <mergeCell ref="AA1040:AA1042"/>
    <mergeCell ref="AB1040:AB1042"/>
    <mergeCell ref="A1043:A1045"/>
    <mergeCell ref="B1043:B1045"/>
    <mergeCell ref="C1043:C1045"/>
    <mergeCell ref="D1043:D1045"/>
    <mergeCell ref="E1043:E1045"/>
    <mergeCell ref="F1043:F1045"/>
    <mergeCell ref="G1043:G1045"/>
    <mergeCell ref="H1043:H1045"/>
    <mergeCell ref="I1043:I1045"/>
    <mergeCell ref="J1043:J1045"/>
    <mergeCell ref="K1043:K1045"/>
    <mergeCell ref="L1043:L1045"/>
    <mergeCell ref="M1043:M1045"/>
    <mergeCell ref="N1043:N1045"/>
    <mergeCell ref="O1043:O1045"/>
    <mergeCell ref="P1043:P1045"/>
    <mergeCell ref="Q1043:Q1045"/>
    <mergeCell ref="R1043:R1045"/>
    <mergeCell ref="S1043:S1045"/>
    <mergeCell ref="T1043:T1045"/>
    <mergeCell ref="U1043:U1045"/>
    <mergeCell ref="V1043:V1045"/>
    <mergeCell ref="W1043:W1045"/>
    <mergeCell ref="X1043:X1045"/>
    <mergeCell ref="Y1043:Y1045"/>
    <mergeCell ref="Z1043:Z1045"/>
    <mergeCell ref="AA1043:AA1045"/>
    <mergeCell ref="AB1043:AB1045"/>
    <mergeCell ref="W1037:W1039"/>
    <mergeCell ref="X1037:X1039"/>
    <mergeCell ref="Y1037:Y1039"/>
    <mergeCell ref="Z1037:Z1039"/>
    <mergeCell ref="AA1037:AA1039"/>
    <mergeCell ref="AB1037:AB1039"/>
    <mergeCell ref="A1040:A1042"/>
    <mergeCell ref="B1040:B1042"/>
    <mergeCell ref="C1040:C1042"/>
    <mergeCell ref="D1040:D1042"/>
    <mergeCell ref="E1040:E1042"/>
    <mergeCell ref="F1040:F1042"/>
    <mergeCell ref="G1040:G1042"/>
    <mergeCell ref="H1040:H1042"/>
    <mergeCell ref="I1040:I1042"/>
    <mergeCell ref="J1040:J1042"/>
    <mergeCell ref="K1040:K1042"/>
    <mergeCell ref="L1040:L1042"/>
    <mergeCell ref="M1040:M1042"/>
    <mergeCell ref="N1040:N1042"/>
    <mergeCell ref="O1040:O1042"/>
    <mergeCell ref="P1040:P1042"/>
    <mergeCell ref="Q1040:Q1042"/>
    <mergeCell ref="R1040:R1042"/>
    <mergeCell ref="S1040:S1042"/>
    <mergeCell ref="T1040:T1042"/>
    <mergeCell ref="U1040:U1042"/>
    <mergeCell ref="V1040:V1042"/>
    <mergeCell ref="W1040:W1042"/>
    <mergeCell ref="X1040:X1042"/>
    <mergeCell ref="Y1040:Y1042"/>
    <mergeCell ref="Z1040:Z1042"/>
    <mergeCell ref="S1034:S1036"/>
    <mergeCell ref="T1034:T1036"/>
    <mergeCell ref="U1034:U1036"/>
    <mergeCell ref="V1034:V1036"/>
    <mergeCell ref="W1034:W1036"/>
    <mergeCell ref="X1034:X1036"/>
    <mergeCell ref="Y1034:Y1036"/>
    <mergeCell ref="Z1034:Z1036"/>
    <mergeCell ref="AA1034:AA1036"/>
    <mergeCell ref="AB1034:AB1036"/>
    <mergeCell ref="A1037:A1039"/>
    <mergeCell ref="B1037:B1039"/>
    <mergeCell ref="C1037:C1039"/>
    <mergeCell ref="D1037:D1039"/>
    <mergeCell ref="E1037:E1039"/>
    <mergeCell ref="F1037:F1039"/>
    <mergeCell ref="G1037:G1039"/>
    <mergeCell ref="H1037:H1039"/>
    <mergeCell ref="I1037:I1039"/>
    <mergeCell ref="J1037:J1039"/>
    <mergeCell ref="K1037:K1039"/>
    <mergeCell ref="L1037:L1039"/>
    <mergeCell ref="M1037:M1039"/>
    <mergeCell ref="N1037:N1039"/>
    <mergeCell ref="O1037:O1039"/>
    <mergeCell ref="P1037:P1039"/>
    <mergeCell ref="Q1037:Q1039"/>
    <mergeCell ref="R1037:R1039"/>
    <mergeCell ref="S1037:S1039"/>
    <mergeCell ref="T1037:T1039"/>
    <mergeCell ref="U1037:U1039"/>
    <mergeCell ref="V1037:V1039"/>
    <mergeCell ref="R1016:R1018"/>
    <mergeCell ref="S1016:S1018"/>
    <mergeCell ref="T1016:T1018"/>
    <mergeCell ref="U1016:U1018"/>
    <mergeCell ref="V1016:V1018"/>
    <mergeCell ref="W1016:W1018"/>
    <mergeCell ref="X1016:X1018"/>
    <mergeCell ref="Y1016:Y1018"/>
    <mergeCell ref="Z1016:Z1018"/>
    <mergeCell ref="AA1016:AA1018"/>
    <mergeCell ref="AB1016:AB1018"/>
    <mergeCell ref="A1026:AF1026"/>
    <mergeCell ref="A1028:AF1028"/>
    <mergeCell ref="A1029:AF1029"/>
    <mergeCell ref="A1034:A1036"/>
    <mergeCell ref="B1034:B1036"/>
    <mergeCell ref="C1034:C1036"/>
    <mergeCell ref="D1034:D1036"/>
    <mergeCell ref="E1034:E1036"/>
    <mergeCell ref="F1034:F1036"/>
    <mergeCell ref="G1034:G1036"/>
    <mergeCell ref="H1034:H1036"/>
    <mergeCell ref="I1034:I1036"/>
    <mergeCell ref="J1034:J1036"/>
    <mergeCell ref="K1034:K1036"/>
    <mergeCell ref="L1034:L1036"/>
    <mergeCell ref="M1034:M1036"/>
    <mergeCell ref="N1034:N1036"/>
    <mergeCell ref="O1034:O1036"/>
    <mergeCell ref="P1034:P1036"/>
    <mergeCell ref="Q1034:Q1036"/>
    <mergeCell ref="R1034:R1036"/>
    <mergeCell ref="A1016:A1018"/>
    <mergeCell ref="B1016:B1018"/>
    <mergeCell ref="C1016:C1018"/>
    <mergeCell ref="D1016:D1018"/>
    <mergeCell ref="E1016:E1018"/>
    <mergeCell ref="F1016:F1018"/>
    <mergeCell ref="G1016:G1018"/>
    <mergeCell ref="H1016:H1018"/>
    <mergeCell ref="I1016:I1018"/>
    <mergeCell ref="J1016:J1018"/>
    <mergeCell ref="K1016:K1018"/>
    <mergeCell ref="L1016:L1018"/>
    <mergeCell ref="M1016:M1018"/>
    <mergeCell ref="N1016:N1018"/>
    <mergeCell ref="O1016:O1018"/>
    <mergeCell ref="P1016:P1018"/>
    <mergeCell ref="Q1016:Q1018"/>
    <mergeCell ref="Z1010:Z1012"/>
    <mergeCell ref="AA1010:AA1012"/>
    <mergeCell ref="AB1010:AB1012"/>
    <mergeCell ref="A1013:A1015"/>
    <mergeCell ref="B1013:B1015"/>
    <mergeCell ref="C1013:C1015"/>
    <mergeCell ref="D1013:D1015"/>
    <mergeCell ref="E1013:E1015"/>
    <mergeCell ref="F1013:F1015"/>
    <mergeCell ref="G1013:G1015"/>
    <mergeCell ref="H1013:H1015"/>
    <mergeCell ref="I1013:I1015"/>
    <mergeCell ref="J1013:J1015"/>
    <mergeCell ref="K1013:K1015"/>
    <mergeCell ref="L1013:L1015"/>
    <mergeCell ref="M1013:M1015"/>
    <mergeCell ref="N1013:N1015"/>
    <mergeCell ref="O1013:O1015"/>
    <mergeCell ref="P1013:P1015"/>
    <mergeCell ref="Q1013:Q1015"/>
    <mergeCell ref="R1013:R1015"/>
    <mergeCell ref="S1013:S1015"/>
    <mergeCell ref="T1013:T1015"/>
    <mergeCell ref="U1013:U1015"/>
    <mergeCell ref="V1013:V1015"/>
    <mergeCell ref="W1013:W1015"/>
    <mergeCell ref="X1013:X1015"/>
    <mergeCell ref="Y1013:Y1015"/>
    <mergeCell ref="Z1013:Z1015"/>
    <mergeCell ref="AA1013:AA1015"/>
    <mergeCell ref="AB1013:AB1015"/>
    <mergeCell ref="V1007:V1009"/>
    <mergeCell ref="W1007:W1009"/>
    <mergeCell ref="X1007:X1009"/>
    <mergeCell ref="Y1007:Y1009"/>
    <mergeCell ref="Z1007:Z1009"/>
    <mergeCell ref="AA1007:AA1009"/>
    <mergeCell ref="AB1007:AB1009"/>
    <mergeCell ref="A1010:A1012"/>
    <mergeCell ref="B1010:B1012"/>
    <mergeCell ref="C1010:C1012"/>
    <mergeCell ref="D1010:D1012"/>
    <mergeCell ref="E1010:E1012"/>
    <mergeCell ref="F1010:F1012"/>
    <mergeCell ref="G1010:G1012"/>
    <mergeCell ref="H1010:H1012"/>
    <mergeCell ref="I1010:I1012"/>
    <mergeCell ref="J1010:J1012"/>
    <mergeCell ref="K1010:K1012"/>
    <mergeCell ref="L1010:L1012"/>
    <mergeCell ref="M1010:M1012"/>
    <mergeCell ref="N1010:N1012"/>
    <mergeCell ref="O1010:O1012"/>
    <mergeCell ref="P1010:P1012"/>
    <mergeCell ref="Q1010:Q1012"/>
    <mergeCell ref="R1010:R1012"/>
    <mergeCell ref="S1010:S1012"/>
    <mergeCell ref="T1010:T1012"/>
    <mergeCell ref="U1010:U1012"/>
    <mergeCell ref="V1010:V1012"/>
    <mergeCell ref="W1010:W1012"/>
    <mergeCell ref="X1010:X1012"/>
    <mergeCell ref="Y1010:Y1012"/>
    <mergeCell ref="R1004:R1006"/>
    <mergeCell ref="S1004:S1006"/>
    <mergeCell ref="T1004:T1006"/>
    <mergeCell ref="U1004:U1006"/>
    <mergeCell ref="V1004:V1006"/>
    <mergeCell ref="W1004:W1006"/>
    <mergeCell ref="X1004:X1006"/>
    <mergeCell ref="Y1004:Y1006"/>
    <mergeCell ref="Z1004:Z1006"/>
    <mergeCell ref="AA1004:AA1006"/>
    <mergeCell ref="AB1004:AB1006"/>
    <mergeCell ref="A1007:A1009"/>
    <mergeCell ref="B1007:B1009"/>
    <mergeCell ref="C1007:C1009"/>
    <mergeCell ref="D1007:D1009"/>
    <mergeCell ref="E1007:E1009"/>
    <mergeCell ref="F1007:F1009"/>
    <mergeCell ref="G1007:G1009"/>
    <mergeCell ref="H1007:H1009"/>
    <mergeCell ref="I1007:I1009"/>
    <mergeCell ref="J1007:J1009"/>
    <mergeCell ref="K1007:K1009"/>
    <mergeCell ref="L1007:L1009"/>
    <mergeCell ref="M1007:M1009"/>
    <mergeCell ref="N1007:N1009"/>
    <mergeCell ref="O1007:O1009"/>
    <mergeCell ref="P1007:P1009"/>
    <mergeCell ref="Q1007:Q1009"/>
    <mergeCell ref="R1007:R1009"/>
    <mergeCell ref="S1007:S1009"/>
    <mergeCell ref="T1007:T1009"/>
    <mergeCell ref="U1007:U1009"/>
    <mergeCell ref="A1004:A1006"/>
    <mergeCell ref="B1004:B1006"/>
    <mergeCell ref="C1004:C1006"/>
    <mergeCell ref="D1004:D1006"/>
    <mergeCell ref="E1004:E1006"/>
    <mergeCell ref="F1004:F1006"/>
    <mergeCell ref="G1004:G1006"/>
    <mergeCell ref="H1004:H1006"/>
    <mergeCell ref="I1004:I1006"/>
    <mergeCell ref="J1004:J1006"/>
    <mergeCell ref="K1004:K1006"/>
    <mergeCell ref="L1004:L1006"/>
    <mergeCell ref="M1004:M1006"/>
    <mergeCell ref="N1004:N1006"/>
    <mergeCell ref="O1004:O1006"/>
    <mergeCell ref="P1004:P1006"/>
    <mergeCell ref="Q1004:Q1006"/>
    <mergeCell ref="A993:AF993"/>
    <mergeCell ref="A995:AF995"/>
    <mergeCell ref="A996:AF996"/>
    <mergeCell ref="A1001:A1003"/>
    <mergeCell ref="B1001:B1003"/>
    <mergeCell ref="C1001:C1003"/>
    <mergeCell ref="D1001:D1003"/>
    <mergeCell ref="E1001:E1003"/>
    <mergeCell ref="F1001:F1003"/>
    <mergeCell ref="G1001:G1003"/>
    <mergeCell ref="H1001:H1003"/>
    <mergeCell ref="I1001:I1003"/>
    <mergeCell ref="J1001:J1003"/>
    <mergeCell ref="K1001:K1003"/>
    <mergeCell ref="L1001:L1003"/>
    <mergeCell ref="M1001:M1003"/>
    <mergeCell ref="N1001:N1003"/>
    <mergeCell ref="O1001:O1003"/>
    <mergeCell ref="P1001:P1003"/>
    <mergeCell ref="Q1001:Q1003"/>
    <mergeCell ref="R1001:R1003"/>
    <mergeCell ref="S1001:S1003"/>
    <mergeCell ref="T1001:T1003"/>
    <mergeCell ref="U1001:U1003"/>
    <mergeCell ref="V1001:V1003"/>
    <mergeCell ref="W1001:W1003"/>
    <mergeCell ref="X1001:X1003"/>
    <mergeCell ref="Y1001:Y1003"/>
    <mergeCell ref="Z1001:Z1003"/>
    <mergeCell ref="AA1001:AA1003"/>
    <mergeCell ref="AB1001:AB1003"/>
    <mergeCell ref="AB937:AB939"/>
    <mergeCell ref="AB940:AB942"/>
    <mergeCell ref="AB943:AB945"/>
    <mergeCell ref="Y940:Y942"/>
    <mergeCell ref="Z940:Z942"/>
    <mergeCell ref="A889:AF889"/>
    <mergeCell ref="A453:AF453"/>
    <mergeCell ref="A450:AF450"/>
    <mergeCell ref="A515:AF515"/>
    <mergeCell ref="A517:AF517"/>
    <mergeCell ref="A518:AF518"/>
    <mergeCell ref="A484:AF484"/>
    <mergeCell ref="A485:AF485"/>
    <mergeCell ref="A482:AF482"/>
    <mergeCell ref="A651:AF651"/>
    <mergeCell ref="A653:AF653"/>
    <mergeCell ref="A654:AF654"/>
    <mergeCell ref="A685:AF685"/>
    <mergeCell ref="A687:AF687"/>
    <mergeCell ref="A688:AF688"/>
    <mergeCell ref="A719:AF719"/>
    <mergeCell ref="A721:AF721"/>
    <mergeCell ref="A722:AF722"/>
    <mergeCell ref="F931:F933"/>
    <mergeCell ref="AB900:AB902"/>
    <mergeCell ref="AB903:AB905"/>
    <mergeCell ref="AB906:AB908"/>
    <mergeCell ref="X906:X908"/>
    <mergeCell ref="Y906:Y908"/>
    <mergeCell ref="Z906:Z908"/>
    <mergeCell ref="AA906:AA908"/>
    <mergeCell ref="T900:T902"/>
    <mergeCell ref="A3:AF3"/>
    <mergeCell ref="A5:AF5"/>
    <mergeCell ref="A6:AF6"/>
    <mergeCell ref="A34:AF34"/>
    <mergeCell ref="A36:AF36"/>
    <mergeCell ref="A37:AF37"/>
    <mergeCell ref="A98:AF98"/>
    <mergeCell ref="A100:AF100"/>
    <mergeCell ref="A101:AF101"/>
    <mergeCell ref="A130:AF130"/>
    <mergeCell ref="A132:AF132"/>
    <mergeCell ref="A133:AF133"/>
    <mergeCell ref="A162:AF162"/>
    <mergeCell ref="A164:AF164"/>
    <mergeCell ref="A165:AF165"/>
    <mergeCell ref="A194:AF194"/>
    <mergeCell ref="A196:AF196"/>
    <mergeCell ref="AB185:AB187"/>
    <mergeCell ref="Z185:Z187"/>
    <mergeCell ref="AA185:AA187"/>
    <mergeCell ref="Y185:Y187"/>
    <mergeCell ref="C182:C184"/>
    <mergeCell ref="D182:D184"/>
    <mergeCell ref="E182:E184"/>
    <mergeCell ref="F182:F184"/>
    <mergeCell ref="G182:G184"/>
    <mergeCell ref="M182:M184"/>
    <mergeCell ref="C185:C187"/>
    <mergeCell ref="D185:D187"/>
    <mergeCell ref="E185:E187"/>
    <mergeCell ref="F185:F187"/>
    <mergeCell ref="G185:G187"/>
    <mergeCell ref="AB980:AB982"/>
    <mergeCell ref="Z980:Z982"/>
    <mergeCell ref="AA980:AA982"/>
    <mergeCell ref="W980:W982"/>
    <mergeCell ref="X980:X982"/>
    <mergeCell ref="Y980:Y982"/>
    <mergeCell ref="C977:C979"/>
    <mergeCell ref="D977:D979"/>
    <mergeCell ref="E977:E979"/>
    <mergeCell ref="F977:F979"/>
    <mergeCell ref="G977:G979"/>
    <mergeCell ref="M977:M979"/>
    <mergeCell ref="N977:N979"/>
    <mergeCell ref="O977:O979"/>
    <mergeCell ref="R977:R979"/>
    <mergeCell ref="S977:S979"/>
    <mergeCell ref="C974:C976"/>
    <mergeCell ref="X974:X976"/>
    <mergeCell ref="Y974:Y976"/>
    <mergeCell ref="D974:D976"/>
    <mergeCell ref="E974:E976"/>
    <mergeCell ref="F974:F976"/>
    <mergeCell ref="G974:G976"/>
    <mergeCell ref="H974:H976"/>
    <mergeCell ref="I974:I976"/>
    <mergeCell ref="J974:J976"/>
    <mergeCell ref="K974:K976"/>
    <mergeCell ref="L974:L976"/>
    <mergeCell ref="R974:R976"/>
    <mergeCell ref="S974:S976"/>
    <mergeCell ref="T974:T976"/>
    <mergeCell ref="U974:U976"/>
    <mergeCell ref="C943:C945"/>
    <mergeCell ref="D943:D945"/>
    <mergeCell ref="E943:E945"/>
    <mergeCell ref="F943:F945"/>
    <mergeCell ref="X937:X939"/>
    <mergeCell ref="C940:C942"/>
    <mergeCell ref="V974:V976"/>
    <mergeCell ref="W974:W976"/>
    <mergeCell ref="AB974:AB976"/>
    <mergeCell ref="AB977:AB979"/>
    <mergeCell ref="AB965:AB967"/>
    <mergeCell ref="AB968:AB970"/>
    <mergeCell ref="AB971:AB973"/>
    <mergeCell ref="W971:W973"/>
    <mergeCell ref="X971:X973"/>
    <mergeCell ref="Y971:Y973"/>
    <mergeCell ref="Z971:Z973"/>
    <mergeCell ref="AA971:AA973"/>
    <mergeCell ref="S965:S967"/>
    <mergeCell ref="T965:T967"/>
    <mergeCell ref="U965:U967"/>
    <mergeCell ref="V965:V967"/>
    <mergeCell ref="X965:X967"/>
    <mergeCell ref="Y965:Y967"/>
    <mergeCell ref="U977:U979"/>
    <mergeCell ref="V977:V979"/>
    <mergeCell ref="W977:W979"/>
    <mergeCell ref="X977:X979"/>
    <mergeCell ref="Y977:Y979"/>
    <mergeCell ref="Z977:Z979"/>
    <mergeCell ref="AA977:AA979"/>
    <mergeCell ref="AA974:AA976"/>
    <mergeCell ref="AA940:AA942"/>
    <mergeCell ref="Z937:Z939"/>
    <mergeCell ref="AA937:AA939"/>
    <mergeCell ref="T943:T945"/>
    <mergeCell ref="U943:U945"/>
    <mergeCell ref="V943:V945"/>
    <mergeCell ref="W943:W945"/>
    <mergeCell ref="X943:X945"/>
    <mergeCell ref="Y943:Y945"/>
    <mergeCell ref="Z943:Z945"/>
    <mergeCell ref="AA943:AA945"/>
    <mergeCell ref="G943:G945"/>
    <mergeCell ref="M943:M945"/>
    <mergeCell ref="N943:N945"/>
    <mergeCell ref="O943:O945"/>
    <mergeCell ref="P943:P945"/>
    <mergeCell ref="Q943:Q945"/>
    <mergeCell ref="R943:R945"/>
    <mergeCell ref="S943:S945"/>
    <mergeCell ref="Y937:Y939"/>
    <mergeCell ref="U900:U902"/>
    <mergeCell ref="V900:V902"/>
    <mergeCell ref="W903:W905"/>
    <mergeCell ref="X903:X905"/>
    <mergeCell ref="Y903:Y905"/>
    <mergeCell ref="AB909:AB911"/>
    <mergeCell ref="AB912:AB914"/>
    <mergeCell ref="AB931:AB933"/>
    <mergeCell ref="AB934:AB936"/>
    <mergeCell ref="T934:T936"/>
    <mergeCell ref="V934:V936"/>
    <mergeCell ref="Z912:Z914"/>
    <mergeCell ref="AA912:AA914"/>
    <mergeCell ref="A923:AF923"/>
    <mergeCell ref="A925:AF925"/>
    <mergeCell ref="A926:AF926"/>
    <mergeCell ref="C903:C905"/>
    <mergeCell ref="Y909:Y911"/>
    <mergeCell ref="Z909:Z911"/>
    <mergeCell ref="AA909:AA911"/>
    <mergeCell ref="W912:W914"/>
    <mergeCell ref="X912:X914"/>
    <mergeCell ref="Y912:Y914"/>
    <mergeCell ref="E903:E905"/>
    <mergeCell ref="F903:F905"/>
    <mergeCell ref="G903:G905"/>
    <mergeCell ref="H903:H905"/>
    <mergeCell ref="I903:I905"/>
    <mergeCell ref="J903:J905"/>
    <mergeCell ref="K903:K905"/>
    <mergeCell ref="L903:L905"/>
    <mergeCell ref="M903:M905"/>
    <mergeCell ref="N878:N880"/>
    <mergeCell ref="O878:O880"/>
    <mergeCell ref="P878:P880"/>
    <mergeCell ref="AB872:AB874"/>
    <mergeCell ref="AB875:AB877"/>
    <mergeCell ref="Y872:Y874"/>
    <mergeCell ref="Z872:Z874"/>
    <mergeCell ref="AA872:AA874"/>
    <mergeCell ref="T897:T899"/>
    <mergeCell ref="U897:U899"/>
    <mergeCell ref="V897:V899"/>
    <mergeCell ref="W897:W899"/>
    <mergeCell ref="X897:X899"/>
    <mergeCell ref="Y897:Y899"/>
    <mergeCell ref="T872:T874"/>
    <mergeCell ref="H872:H874"/>
    <mergeCell ref="I872:I874"/>
    <mergeCell ref="J872:J874"/>
    <mergeCell ref="K872:K874"/>
    <mergeCell ref="L872:L874"/>
    <mergeCell ref="R875:R877"/>
    <mergeCell ref="X875:X877"/>
    <mergeCell ref="Y875:Y877"/>
    <mergeCell ref="Z875:Z877"/>
    <mergeCell ref="AB897:AB899"/>
    <mergeCell ref="A891:AF891"/>
    <mergeCell ref="A892:AF892"/>
    <mergeCell ref="S897:S899"/>
    <mergeCell ref="V872:V874"/>
    <mergeCell ref="W872:W874"/>
    <mergeCell ref="X872:X874"/>
    <mergeCell ref="A878:A880"/>
    <mergeCell ref="AB863:AB865"/>
    <mergeCell ref="AB866:AB868"/>
    <mergeCell ref="AB869:AB871"/>
    <mergeCell ref="T844:T846"/>
    <mergeCell ref="X863:X865"/>
    <mergeCell ref="Y863:Y865"/>
    <mergeCell ref="A855:AF855"/>
    <mergeCell ref="A857:AF857"/>
    <mergeCell ref="A858:AF858"/>
    <mergeCell ref="W869:W871"/>
    <mergeCell ref="X869:X871"/>
    <mergeCell ref="Y869:Y871"/>
    <mergeCell ref="Z869:Z871"/>
    <mergeCell ref="AA869:AA871"/>
    <mergeCell ref="AB878:AB880"/>
    <mergeCell ref="Z878:Z880"/>
    <mergeCell ref="AA878:AA880"/>
    <mergeCell ref="Q878:Q880"/>
    <mergeCell ref="R878:R880"/>
    <mergeCell ref="S878:S880"/>
    <mergeCell ref="T878:T880"/>
    <mergeCell ref="U878:U880"/>
    <mergeCell ref="V878:V880"/>
    <mergeCell ref="W878:W880"/>
    <mergeCell ref="X878:X880"/>
    <mergeCell ref="Y878:Y880"/>
    <mergeCell ref="H878:H880"/>
    <mergeCell ref="I878:I880"/>
    <mergeCell ref="J878:J880"/>
    <mergeCell ref="K878:K880"/>
    <mergeCell ref="L878:L880"/>
    <mergeCell ref="M878:M880"/>
    <mergeCell ref="AB835:AB837"/>
    <mergeCell ref="AB838:AB840"/>
    <mergeCell ref="AB841:AB843"/>
    <mergeCell ref="Z841:Z843"/>
    <mergeCell ref="AA841:AA843"/>
    <mergeCell ref="W835:W837"/>
    <mergeCell ref="X835:X837"/>
    <mergeCell ref="Y835:Y837"/>
    <mergeCell ref="Z835:Z837"/>
    <mergeCell ref="AA835:AA837"/>
    <mergeCell ref="Y838:Y840"/>
    <mergeCell ref="Z838:Z840"/>
    <mergeCell ref="Y841:Y843"/>
    <mergeCell ref="W841:W843"/>
    <mergeCell ref="X841:X843"/>
    <mergeCell ref="P838:P840"/>
    <mergeCell ref="AB844:AB846"/>
    <mergeCell ref="U844:U846"/>
    <mergeCell ref="V844:V846"/>
    <mergeCell ref="W844:W846"/>
    <mergeCell ref="X844:X846"/>
    <mergeCell ref="Y844:Y846"/>
    <mergeCell ref="Z844:Z846"/>
    <mergeCell ref="AA844:AA846"/>
    <mergeCell ref="AA838:AA840"/>
    <mergeCell ref="W838:W840"/>
    <mergeCell ref="X838:X840"/>
    <mergeCell ref="R838:R840"/>
    <mergeCell ref="S838:S840"/>
    <mergeCell ref="T838:T840"/>
    <mergeCell ref="U838:U840"/>
    <mergeCell ref="V838:V840"/>
    <mergeCell ref="AB795:AB797"/>
    <mergeCell ref="AB798:AB800"/>
    <mergeCell ref="AB801:AB803"/>
    <mergeCell ref="AB804:AB806"/>
    <mergeCell ref="Y804:Y806"/>
    <mergeCell ref="Z804:Z806"/>
    <mergeCell ref="X795:X797"/>
    <mergeCell ref="Y795:Y797"/>
    <mergeCell ref="Z795:Z797"/>
    <mergeCell ref="AA795:AA797"/>
    <mergeCell ref="Y801:Y803"/>
    <mergeCell ref="Z801:Z803"/>
    <mergeCell ref="AA801:AA803"/>
    <mergeCell ref="M795:M797"/>
    <mergeCell ref="AB807:AB809"/>
    <mergeCell ref="AB829:AB831"/>
    <mergeCell ref="AB832:AB834"/>
    <mergeCell ref="O832:O834"/>
    <mergeCell ref="P832:P834"/>
    <mergeCell ref="Q832:Q834"/>
    <mergeCell ref="R832:R834"/>
    <mergeCell ref="S832:S834"/>
    <mergeCell ref="T832:T834"/>
    <mergeCell ref="U832:U834"/>
    <mergeCell ref="V832:V834"/>
    <mergeCell ref="R829:R831"/>
    <mergeCell ref="S829:S831"/>
    <mergeCell ref="T829:T831"/>
    <mergeCell ref="V829:V831"/>
    <mergeCell ref="W829:W831"/>
    <mergeCell ref="X829:X831"/>
    <mergeCell ref="Y829:Y831"/>
    <mergeCell ref="AB773:AB775"/>
    <mergeCell ref="AB776:AB778"/>
    <mergeCell ref="H776:H778"/>
    <mergeCell ref="I776:I778"/>
    <mergeCell ref="J776:J778"/>
    <mergeCell ref="K776:K778"/>
    <mergeCell ref="L776:L778"/>
    <mergeCell ref="M776:M778"/>
    <mergeCell ref="N776:N778"/>
    <mergeCell ref="O776:O778"/>
    <mergeCell ref="P776:P778"/>
    <mergeCell ref="Q776:Q778"/>
    <mergeCell ref="R776:R778"/>
    <mergeCell ref="S776:S778"/>
    <mergeCell ref="C773:C775"/>
    <mergeCell ref="D773:D775"/>
    <mergeCell ref="E773:E775"/>
    <mergeCell ref="F773:F775"/>
    <mergeCell ref="G773:G775"/>
    <mergeCell ref="T773:T775"/>
    <mergeCell ref="U773:U775"/>
    <mergeCell ref="V773:V775"/>
    <mergeCell ref="W773:W775"/>
    <mergeCell ref="H773:H775"/>
    <mergeCell ref="I773:I775"/>
    <mergeCell ref="J773:J775"/>
    <mergeCell ref="K773:K775"/>
    <mergeCell ref="L773:L775"/>
    <mergeCell ref="Q773:Q775"/>
    <mergeCell ref="R773:R775"/>
    <mergeCell ref="S773:S775"/>
    <mergeCell ref="X773:X775"/>
    <mergeCell ref="AB742:AB744"/>
    <mergeCell ref="AB761:AB763"/>
    <mergeCell ref="AB764:AB766"/>
    <mergeCell ref="AB767:AB769"/>
    <mergeCell ref="Z767:Z769"/>
    <mergeCell ref="AA767:AA769"/>
    <mergeCell ref="R761:R763"/>
    <mergeCell ref="S761:S763"/>
    <mergeCell ref="T761:T763"/>
    <mergeCell ref="U761:U763"/>
    <mergeCell ref="V761:V763"/>
    <mergeCell ref="W761:W763"/>
    <mergeCell ref="X761:X763"/>
    <mergeCell ref="AB770:AB772"/>
    <mergeCell ref="W770:W772"/>
    <mergeCell ref="X770:X772"/>
    <mergeCell ref="Y770:Y772"/>
    <mergeCell ref="W767:W769"/>
    <mergeCell ref="X767:X769"/>
    <mergeCell ref="Y767:Y769"/>
    <mergeCell ref="T764:T766"/>
    <mergeCell ref="U764:U766"/>
    <mergeCell ref="R770:R772"/>
    <mergeCell ref="Z770:Z772"/>
    <mergeCell ref="AA770:AA772"/>
    <mergeCell ref="W764:W766"/>
    <mergeCell ref="X764:X766"/>
    <mergeCell ref="Y764:Y766"/>
    <mergeCell ref="Z764:Z766"/>
    <mergeCell ref="AA764:AA766"/>
    <mergeCell ref="R767:R769"/>
    <mergeCell ref="S767:S769"/>
    <mergeCell ref="AB696:AB698"/>
    <mergeCell ref="AB699:AB701"/>
    <mergeCell ref="AB702:AB704"/>
    <mergeCell ref="AA702:AA704"/>
    <mergeCell ref="U696:U698"/>
    <mergeCell ref="V696:V698"/>
    <mergeCell ref="Y699:Y701"/>
    <mergeCell ref="Z699:Z701"/>
    <mergeCell ref="AA699:AA701"/>
    <mergeCell ref="W699:W701"/>
    <mergeCell ref="X699:X701"/>
    <mergeCell ref="AB705:AB707"/>
    <mergeCell ref="AB708:AB710"/>
    <mergeCell ref="AB727:AB729"/>
    <mergeCell ref="AB730:AB732"/>
    <mergeCell ref="X727:X729"/>
    <mergeCell ref="Y727:Y729"/>
    <mergeCell ref="Z727:Z729"/>
    <mergeCell ref="AA727:AA729"/>
    <mergeCell ref="U708:U710"/>
    <mergeCell ref="V708:V710"/>
    <mergeCell ref="W708:W710"/>
    <mergeCell ref="X708:X710"/>
    <mergeCell ref="Y708:Y710"/>
    <mergeCell ref="Z708:Z710"/>
    <mergeCell ref="U705:U707"/>
    <mergeCell ref="V705:V707"/>
    <mergeCell ref="W705:W707"/>
    <mergeCell ref="Y705:Y707"/>
    <mergeCell ref="Z705:Z707"/>
    <mergeCell ref="AA705:AA707"/>
    <mergeCell ref="U702:U704"/>
    <mergeCell ref="AA693:AA695"/>
    <mergeCell ref="J674:J676"/>
    <mergeCell ref="K674:K676"/>
    <mergeCell ref="L674:L676"/>
    <mergeCell ref="M674:M676"/>
    <mergeCell ref="N674:N676"/>
    <mergeCell ref="O674:O676"/>
    <mergeCell ref="P674:P676"/>
    <mergeCell ref="Q674:Q676"/>
    <mergeCell ref="R674:R676"/>
    <mergeCell ref="S674:S676"/>
    <mergeCell ref="AB693:AB695"/>
    <mergeCell ref="N693:N695"/>
    <mergeCell ref="O693:O695"/>
    <mergeCell ref="X693:X695"/>
    <mergeCell ref="Y693:Y695"/>
    <mergeCell ref="Z693:Z695"/>
    <mergeCell ref="AB674:AB676"/>
    <mergeCell ref="T693:T695"/>
    <mergeCell ref="R668:R670"/>
    <mergeCell ref="S668:S670"/>
    <mergeCell ref="T668:T670"/>
    <mergeCell ref="U668:U670"/>
    <mergeCell ref="V668:V670"/>
    <mergeCell ref="W668:W670"/>
    <mergeCell ref="X668:X670"/>
    <mergeCell ref="Y668:Y670"/>
    <mergeCell ref="Z668:Z670"/>
    <mergeCell ref="AA668:AA670"/>
    <mergeCell ref="T671:T673"/>
    <mergeCell ref="U671:U673"/>
    <mergeCell ref="V671:V673"/>
    <mergeCell ref="W671:W673"/>
    <mergeCell ref="X671:X673"/>
    <mergeCell ref="Y671:Y673"/>
    <mergeCell ref="Z671:Z673"/>
    <mergeCell ref="AA671:AA673"/>
    <mergeCell ref="AB640:AB642"/>
    <mergeCell ref="AB659:AB661"/>
    <mergeCell ref="AB662:AB664"/>
    <mergeCell ref="AB665:AB667"/>
    <mergeCell ref="Y665:Y667"/>
    <mergeCell ref="Z665:Z667"/>
    <mergeCell ref="AA665:AA667"/>
    <mergeCell ref="T640:T642"/>
    <mergeCell ref="U640:U642"/>
    <mergeCell ref="V640:V642"/>
    <mergeCell ref="W640:W642"/>
    <mergeCell ref="X640:X642"/>
    <mergeCell ref="Y640:Y642"/>
    <mergeCell ref="Z640:Z642"/>
    <mergeCell ref="AA640:AA642"/>
    <mergeCell ref="Z674:Z676"/>
    <mergeCell ref="AA674:AA676"/>
    <mergeCell ref="X674:X676"/>
    <mergeCell ref="Y674:Y676"/>
    <mergeCell ref="T674:T676"/>
    <mergeCell ref="U674:U676"/>
    <mergeCell ref="V674:V676"/>
    <mergeCell ref="W674:W676"/>
    <mergeCell ref="T659:T661"/>
    <mergeCell ref="U659:U661"/>
    <mergeCell ref="AB668:AB670"/>
    <mergeCell ref="AB671:AB673"/>
    <mergeCell ref="V659:V661"/>
    <mergeCell ref="W659:W661"/>
    <mergeCell ref="X659:X661"/>
    <mergeCell ref="Y659:Y661"/>
    <mergeCell ref="AB606:AB608"/>
    <mergeCell ref="AB625:AB627"/>
    <mergeCell ref="AB628:AB630"/>
    <mergeCell ref="S606:S608"/>
    <mergeCell ref="T606:T608"/>
    <mergeCell ref="U606:U608"/>
    <mergeCell ref="V606:V608"/>
    <mergeCell ref="W606:W608"/>
    <mergeCell ref="X606:X608"/>
    <mergeCell ref="Y606:Y608"/>
    <mergeCell ref="Z606:Z608"/>
    <mergeCell ref="AA606:AA608"/>
    <mergeCell ref="M603:M605"/>
    <mergeCell ref="V625:V627"/>
    <mergeCell ref="AB631:AB633"/>
    <mergeCell ref="AB634:AB636"/>
    <mergeCell ref="AB637:AB639"/>
    <mergeCell ref="Z637:Z639"/>
    <mergeCell ref="AA637:AA639"/>
    <mergeCell ref="Q631:Q633"/>
    <mergeCell ref="W631:W633"/>
    <mergeCell ref="X631:X633"/>
    <mergeCell ref="Y631:Y633"/>
    <mergeCell ref="Z631:Z633"/>
    <mergeCell ref="AA631:AA633"/>
    <mergeCell ref="X634:X636"/>
    <mergeCell ref="Y634:Y636"/>
    <mergeCell ref="Z634:Z636"/>
    <mergeCell ref="AA634:AA636"/>
    <mergeCell ref="T634:T636"/>
    <mergeCell ref="U634:U636"/>
    <mergeCell ref="S625:S627"/>
    <mergeCell ref="AB597:AB599"/>
    <mergeCell ref="N591:N593"/>
    <mergeCell ref="Q597:Q599"/>
    <mergeCell ref="P597:P599"/>
    <mergeCell ref="AB600:AB602"/>
    <mergeCell ref="Z597:Z599"/>
    <mergeCell ref="AA597:AA599"/>
    <mergeCell ref="Y600:Y602"/>
    <mergeCell ref="Z600:Z602"/>
    <mergeCell ref="AA600:AA602"/>
    <mergeCell ref="T594:T596"/>
    <mergeCell ref="U594:U596"/>
    <mergeCell ref="V594:V596"/>
    <mergeCell ref="Y597:Y599"/>
    <mergeCell ref="AB603:AB605"/>
    <mergeCell ref="R594:R596"/>
    <mergeCell ref="S594:S596"/>
    <mergeCell ref="Y594:Y596"/>
    <mergeCell ref="Z594:Z596"/>
    <mergeCell ref="AA594:AA596"/>
    <mergeCell ref="R597:R599"/>
    <mergeCell ref="S597:S599"/>
    <mergeCell ref="T597:T599"/>
    <mergeCell ref="U597:U599"/>
    <mergeCell ref="V597:V599"/>
    <mergeCell ref="W597:W599"/>
    <mergeCell ref="X597:X599"/>
    <mergeCell ref="AB591:AB593"/>
    <mergeCell ref="AB594:AB596"/>
    <mergeCell ref="Y591:Y593"/>
    <mergeCell ref="W591:W593"/>
    <mergeCell ref="X591:X593"/>
    <mergeCell ref="A583:AF583"/>
    <mergeCell ref="A585:AF585"/>
    <mergeCell ref="A586:AF586"/>
    <mergeCell ref="Z591:Z593"/>
    <mergeCell ref="AA591:AA593"/>
    <mergeCell ref="O591:O593"/>
    <mergeCell ref="P591:P593"/>
    <mergeCell ref="Q591:Q593"/>
    <mergeCell ref="AB563:AB565"/>
    <mergeCell ref="AB572:AB574"/>
    <mergeCell ref="X572:X574"/>
    <mergeCell ref="Y572:Y574"/>
    <mergeCell ref="Z572:Z574"/>
    <mergeCell ref="AA572:AA574"/>
    <mergeCell ref="P572:P574"/>
    <mergeCell ref="AB569:AB571"/>
    <mergeCell ref="AA569:AA571"/>
    <mergeCell ref="Q572:Q574"/>
    <mergeCell ref="R572:R574"/>
    <mergeCell ref="S572:S574"/>
    <mergeCell ref="T572:T574"/>
    <mergeCell ref="U572:U574"/>
    <mergeCell ref="V572:V574"/>
    <mergeCell ref="W572:W574"/>
    <mergeCell ref="J566:J568"/>
    <mergeCell ref="K566:K568"/>
    <mergeCell ref="L566:L568"/>
    <mergeCell ref="J563:J565"/>
    <mergeCell ref="K563:K565"/>
    <mergeCell ref="L563:L565"/>
    <mergeCell ref="Z569:Z571"/>
    <mergeCell ref="H572:H574"/>
    <mergeCell ref="Z538:Z540"/>
    <mergeCell ref="AA538:AA540"/>
    <mergeCell ref="P538:P540"/>
    <mergeCell ref="Q538:Q540"/>
    <mergeCell ref="R538:R540"/>
    <mergeCell ref="S538:S540"/>
    <mergeCell ref="M535:M537"/>
    <mergeCell ref="N535:N537"/>
    <mergeCell ref="O535:O537"/>
    <mergeCell ref="P535:P537"/>
    <mergeCell ref="Q535:Q537"/>
    <mergeCell ref="R535:R537"/>
    <mergeCell ref="S535:S537"/>
    <mergeCell ref="AA557:AA559"/>
    <mergeCell ref="Y566:Y568"/>
    <mergeCell ref="Z566:Z568"/>
    <mergeCell ref="AA566:AA568"/>
    <mergeCell ref="M563:M565"/>
    <mergeCell ref="N563:N565"/>
    <mergeCell ref="O563:O565"/>
    <mergeCell ref="P563:P565"/>
    <mergeCell ref="M566:M568"/>
    <mergeCell ref="Y535:Y537"/>
    <mergeCell ref="Y560:Y562"/>
    <mergeCell ref="Z535:Z537"/>
    <mergeCell ref="AA535:AA537"/>
    <mergeCell ref="Z560:Z562"/>
    <mergeCell ref="AA560:AA562"/>
    <mergeCell ref="R563:R565"/>
    <mergeCell ref="S563:S565"/>
    <mergeCell ref="T563:T565"/>
    <mergeCell ref="U563:U565"/>
    <mergeCell ref="AA523:AA525"/>
    <mergeCell ref="H560:H562"/>
    <mergeCell ref="I560:I562"/>
    <mergeCell ref="U532:U534"/>
    <mergeCell ref="V532:V534"/>
    <mergeCell ref="W532:W534"/>
    <mergeCell ref="X532:X534"/>
    <mergeCell ref="AA529:AA531"/>
    <mergeCell ref="Y529:Y531"/>
    <mergeCell ref="Z529:Z531"/>
    <mergeCell ref="AB560:AB562"/>
    <mergeCell ref="AB566:AB568"/>
    <mergeCell ref="H566:H568"/>
    <mergeCell ref="I566:I568"/>
    <mergeCell ref="AB557:AB559"/>
    <mergeCell ref="T538:T540"/>
    <mergeCell ref="U538:U540"/>
    <mergeCell ref="V538:V540"/>
    <mergeCell ref="W538:W540"/>
    <mergeCell ref="X538:X540"/>
    <mergeCell ref="Y538:Y540"/>
    <mergeCell ref="A552:AF552"/>
    <mergeCell ref="H538:H540"/>
    <mergeCell ref="I538:I540"/>
    <mergeCell ref="J538:J540"/>
    <mergeCell ref="K538:K540"/>
    <mergeCell ref="L538:L540"/>
    <mergeCell ref="M538:M540"/>
    <mergeCell ref="N538:N540"/>
    <mergeCell ref="O538:O540"/>
    <mergeCell ref="H532:H534"/>
    <mergeCell ref="P560:P562"/>
    <mergeCell ref="Y505:Y507"/>
    <mergeCell ref="AB490:AB492"/>
    <mergeCell ref="AB493:AB495"/>
    <mergeCell ref="AB496:AB498"/>
    <mergeCell ref="AB532:AB534"/>
    <mergeCell ref="X502:X504"/>
    <mergeCell ref="Y502:Y504"/>
    <mergeCell ref="Z502:Z504"/>
    <mergeCell ref="AA502:AA504"/>
    <mergeCell ref="AB502:AB504"/>
    <mergeCell ref="R532:R534"/>
    <mergeCell ref="S532:S534"/>
    <mergeCell ref="T532:T534"/>
    <mergeCell ref="AB499:AB501"/>
    <mergeCell ref="Y563:Y565"/>
    <mergeCell ref="Z563:Z565"/>
    <mergeCell ref="AB538:AB540"/>
    <mergeCell ref="Y557:Y559"/>
    <mergeCell ref="Z557:Z559"/>
    <mergeCell ref="AB535:AB537"/>
    <mergeCell ref="AB505:AB507"/>
    <mergeCell ref="AB523:AB525"/>
    <mergeCell ref="AB526:AB528"/>
    <mergeCell ref="AB529:AB531"/>
    <mergeCell ref="A549:AF549"/>
    <mergeCell ref="A551:AF551"/>
    <mergeCell ref="Z505:Z507"/>
    <mergeCell ref="AA505:AA507"/>
    <mergeCell ref="X505:X507"/>
    <mergeCell ref="X523:X525"/>
    <mergeCell ref="Y523:Y525"/>
    <mergeCell ref="Z523:Z525"/>
    <mergeCell ref="Y499:Y501"/>
    <mergeCell ref="Z499:Z501"/>
    <mergeCell ref="AA499:AA501"/>
    <mergeCell ref="T493:T495"/>
    <mergeCell ref="U493:U495"/>
    <mergeCell ref="V493:V495"/>
    <mergeCell ref="Z490:Z492"/>
    <mergeCell ref="AA490:AA492"/>
    <mergeCell ref="W499:W501"/>
    <mergeCell ref="Y496:Y498"/>
    <mergeCell ref="W496:W498"/>
    <mergeCell ref="X496:X498"/>
    <mergeCell ref="T490:T492"/>
    <mergeCell ref="U490:U492"/>
    <mergeCell ref="V490:V492"/>
    <mergeCell ref="W490:W492"/>
    <mergeCell ref="X490:X492"/>
    <mergeCell ref="Y490:Y492"/>
    <mergeCell ref="Y493:Y495"/>
    <mergeCell ref="Z493:Z495"/>
    <mergeCell ref="AA493:AA495"/>
    <mergeCell ref="Z496:Z498"/>
    <mergeCell ref="AA496:AA498"/>
    <mergeCell ref="U499:U501"/>
    <mergeCell ref="V499:V501"/>
    <mergeCell ref="X499:X501"/>
    <mergeCell ref="AB473:AB475"/>
    <mergeCell ref="T473:T475"/>
    <mergeCell ref="U473:U475"/>
    <mergeCell ref="V473:V475"/>
    <mergeCell ref="W473:W475"/>
    <mergeCell ref="X473:X475"/>
    <mergeCell ref="Y473:Y475"/>
    <mergeCell ref="L473:L475"/>
    <mergeCell ref="M473:M475"/>
    <mergeCell ref="N473:N475"/>
    <mergeCell ref="O473:O475"/>
    <mergeCell ref="P473:P475"/>
    <mergeCell ref="Q473:Q475"/>
    <mergeCell ref="R473:R475"/>
    <mergeCell ref="S473:S475"/>
    <mergeCell ref="Z467:Z469"/>
    <mergeCell ref="Z473:Z475"/>
    <mergeCell ref="AA473:AA475"/>
    <mergeCell ref="S467:S469"/>
    <mergeCell ref="S470:S472"/>
    <mergeCell ref="AB464:AB466"/>
    <mergeCell ref="W464:W466"/>
    <mergeCell ref="X464:X466"/>
    <mergeCell ref="Y464:Y466"/>
    <mergeCell ref="Z464:Z466"/>
    <mergeCell ref="AA464:AA466"/>
    <mergeCell ref="Y458:Y460"/>
    <mergeCell ref="Z458:Z460"/>
    <mergeCell ref="AA458:AA460"/>
    <mergeCell ref="T461:T463"/>
    <mergeCell ref="U461:U463"/>
    <mergeCell ref="V461:V463"/>
    <mergeCell ref="X458:X460"/>
    <mergeCell ref="AB467:AB469"/>
    <mergeCell ref="AB470:AB472"/>
    <mergeCell ref="AA467:AA469"/>
    <mergeCell ref="Y470:Y472"/>
    <mergeCell ref="Z470:Z472"/>
    <mergeCell ref="AA470:AA472"/>
    <mergeCell ref="T467:T469"/>
    <mergeCell ref="U467:U469"/>
    <mergeCell ref="V467:V469"/>
    <mergeCell ref="W467:W469"/>
    <mergeCell ref="X467:X469"/>
    <mergeCell ref="Y467:Y469"/>
    <mergeCell ref="AA461:AA463"/>
    <mergeCell ref="W458:W460"/>
    <mergeCell ref="T470:T472"/>
    <mergeCell ref="U470:U472"/>
    <mergeCell ref="V470:V472"/>
    <mergeCell ref="W470:W472"/>
    <mergeCell ref="X470:X472"/>
    <mergeCell ref="AB438:AB440"/>
    <mergeCell ref="Q432:Q434"/>
    <mergeCell ref="W432:W434"/>
    <mergeCell ref="X432:X434"/>
    <mergeCell ref="Y432:Y434"/>
    <mergeCell ref="Z432:Z434"/>
    <mergeCell ref="AA432:AA434"/>
    <mergeCell ref="AB441:AB443"/>
    <mergeCell ref="AA438:AA440"/>
    <mergeCell ref="Y441:Y443"/>
    <mergeCell ref="Z441:Z443"/>
    <mergeCell ref="AA441:AA443"/>
    <mergeCell ref="W438:W440"/>
    <mergeCell ref="X438:X440"/>
    <mergeCell ref="Y438:Y440"/>
    <mergeCell ref="Z438:Z440"/>
    <mergeCell ref="AB435:AB437"/>
    <mergeCell ref="AB432:AB434"/>
    <mergeCell ref="X435:X437"/>
    <mergeCell ref="Y435:Y437"/>
    <mergeCell ref="Z435:Z437"/>
    <mergeCell ref="AA435:AA437"/>
    <mergeCell ref="Q435:Q437"/>
    <mergeCell ref="U435:U437"/>
    <mergeCell ref="V435:V437"/>
    <mergeCell ref="W435:W437"/>
    <mergeCell ref="U441:U443"/>
    <mergeCell ref="V441:V443"/>
    <mergeCell ref="W441:W443"/>
    <mergeCell ref="X441:X443"/>
    <mergeCell ref="R432:R434"/>
    <mergeCell ref="S432:S434"/>
    <mergeCell ref="AB426:AB428"/>
    <mergeCell ref="AB429:AB431"/>
    <mergeCell ref="V409:V411"/>
    <mergeCell ref="AB406:AB408"/>
    <mergeCell ref="Y406:Y408"/>
    <mergeCell ref="Z406:Z408"/>
    <mergeCell ref="AA406:AA408"/>
    <mergeCell ref="A420:AF420"/>
    <mergeCell ref="A421:AF421"/>
    <mergeCell ref="A418:AF418"/>
    <mergeCell ref="E429:E431"/>
    <mergeCell ref="F429:F431"/>
    <mergeCell ref="G429:G431"/>
    <mergeCell ref="H429:H431"/>
    <mergeCell ref="I429:I431"/>
    <mergeCell ref="J429:J431"/>
    <mergeCell ref="V426:V428"/>
    <mergeCell ref="Z426:Z428"/>
    <mergeCell ref="C429:C431"/>
    <mergeCell ref="D429:D431"/>
    <mergeCell ref="W426:W428"/>
    <mergeCell ref="X426:X428"/>
    <mergeCell ref="C426:C428"/>
    <mergeCell ref="D426:D428"/>
    <mergeCell ref="E426:E428"/>
    <mergeCell ref="AA426:AA428"/>
    <mergeCell ref="Z429:Z431"/>
    <mergeCell ref="AA429:AA431"/>
    <mergeCell ref="G406:G408"/>
    <mergeCell ref="M406:M408"/>
    <mergeCell ref="N406:N408"/>
    <mergeCell ref="O406:O408"/>
    <mergeCell ref="C374:C376"/>
    <mergeCell ref="D374:D376"/>
    <mergeCell ref="E374:E376"/>
    <mergeCell ref="F374:F376"/>
    <mergeCell ref="G374:G376"/>
    <mergeCell ref="M374:M376"/>
    <mergeCell ref="N374:N376"/>
    <mergeCell ref="O374:O376"/>
    <mergeCell ref="P374:P376"/>
    <mergeCell ref="Q374:Q376"/>
    <mergeCell ref="R374:R376"/>
    <mergeCell ref="S374:S376"/>
    <mergeCell ref="R371:R373"/>
    <mergeCell ref="S371:S373"/>
    <mergeCell ref="T371:T373"/>
    <mergeCell ref="W374:W376"/>
    <mergeCell ref="X374:X376"/>
    <mergeCell ref="F371:F373"/>
    <mergeCell ref="W371:W373"/>
    <mergeCell ref="X371:X373"/>
    <mergeCell ref="AB310:AB312"/>
    <mergeCell ref="AB313:AB315"/>
    <mergeCell ref="AA313:AA315"/>
    <mergeCell ref="C310:C312"/>
    <mergeCell ref="D310:D312"/>
    <mergeCell ref="E310:E312"/>
    <mergeCell ref="F310:F312"/>
    <mergeCell ref="G310:G312"/>
    <mergeCell ref="M310:M312"/>
    <mergeCell ref="N310:N312"/>
    <mergeCell ref="O310:O312"/>
    <mergeCell ref="C333:C335"/>
    <mergeCell ref="D333:D335"/>
    <mergeCell ref="E333:E335"/>
    <mergeCell ref="F333:F335"/>
    <mergeCell ref="G333:G335"/>
    <mergeCell ref="H333:H335"/>
    <mergeCell ref="I333:I335"/>
    <mergeCell ref="J333:J335"/>
    <mergeCell ref="K333:K335"/>
    <mergeCell ref="L333:L335"/>
    <mergeCell ref="M333:M335"/>
    <mergeCell ref="N333:N335"/>
    <mergeCell ref="O333:O335"/>
    <mergeCell ref="P333:P335"/>
    <mergeCell ref="Q333:Q335"/>
    <mergeCell ref="R333:R335"/>
    <mergeCell ref="I330:I332"/>
    <mergeCell ref="J330:J332"/>
    <mergeCell ref="K330:K332"/>
    <mergeCell ref="L330:L332"/>
    <mergeCell ref="M330:M332"/>
    <mergeCell ref="AB307:AB309"/>
    <mergeCell ref="Z307:Z309"/>
    <mergeCell ref="AA307:AA309"/>
    <mergeCell ref="T298:T300"/>
    <mergeCell ref="U298:U300"/>
    <mergeCell ref="V298:V300"/>
    <mergeCell ref="W298:W300"/>
    <mergeCell ref="X298:X300"/>
    <mergeCell ref="Y298:Y300"/>
    <mergeCell ref="Z298:Z300"/>
    <mergeCell ref="AA298:AA300"/>
    <mergeCell ref="T301:T303"/>
    <mergeCell ref="C304:C306"/>
    <mergeCell ref="D304:D306"/>
    <mergeCell ref="E304:E306"/>
    <mergeCell ref="F304:F306"/>
    <mergeCell ref="G304:G306"/>
    <mergeCell ref="H304:H306"/>
    <mergeCell ref="I304:I306"/>
    <mergeCell ref="J304:J306"/>
    <mergeCell ref="K304:K306"/>
    <mergeCell ref="L304:L306"/>
    <mergeCell ref="M304:M306"/>
    <mergeCell ref="N304:N306"/>
    <mergeCell ref="O304:O306"/>
    <mergeCell ref="P304:P306"/>
    <mergeCell ref="Q304:Q306"/>
    <mergeCell ref="W304:W306"/>
    <mergeCell ref="X304:X306"/>
    <mergeCell ref="Y304:Y306"/>
    <mergeCell ref="R301:R303"/>
    <mergeCell ref="AB301:AB303"/>
    <mergeCell ref="AB281:AB283"/>
    <mergeCell ref="R281:R283"/>
    <mergeCell ref="S281:S283"/>
    <mergeCell ref="T281:T283"/>
    <mergeCell ref="U281:U283"/>
    <mergeCell ref="AB298:AB300"/>
    <mergeCell ref="Z281:Z283"/>
    <mergeCell ref="AA281:AA283"/>
    <mergeCell ref="AB269:AB271"/>
    <mergeCell ref="W301:W303"/>
    <mergeCell ref="X301:X303"/>
    <mergeCell ref="Y301:Y303"/>
    <mergeCell ref="Y281:Y283"/>
    <mergeCell ref="R298:R300"/>
    <mergeCell ref="S298:S300"/>
    <mergeCell ref="AB304:AB306"/>
    <mergeCell ref="AB275:AB277"/>
    <mergeCell ref="AA304:AA306"/>
    <mergeCell ref="Y275:Y277"/>
    <mergeCell ref="Y272:Y274"/>
    <mergeCell ref="R272:R274"/>
    <mergeCell ref="W272:W274"/>
    <mergeCell ref="X272:X274"/>
    <mergeCell ref="AB272:AB274"/>
    <mergeCell ref="Z272:Z274"/>
    <mergeCell ref="AA272:AA274"/>
    <mergeCell ref="W269:W271"/>
    <mergeCell ref="X269:X271"/>
    <mergeCell ref="X275:X277"/>
    <mergeCell ref="R266:R268"/>
    <mergeCell ref="Z266:Z268"/>
    <mergeCell ref="S266:S268"/>
    <mergeCell ref="T266:T268"/>
    <mergeCell ref="U266:U268"/>
    <mergeCell ref="V266:V268"/>
    <mergeCell ref="A266:A268"/>
    <mergeCell ref="AB278:AB280"/>
    <mergeCell ref="Q278:Q280"/>
    <mergeCell ref="R278:R280"/>
    <mergeCell ref="S278:S280"/>
    <mergeCell ref="T278:T280"/>
    <mergeCell ref="U278:U280"/>
    <mergeCell ref="V278:V280"/>
    <mergeCell ref="W278:W280"/>
    <mergeCell ref="X278:X280"/>
    <mergeCell ref="Y278:Y280"/>
    <mergeCell ref="Z278:Z280"/>
    <mergeCell ref="AA278:AA280"/>
    <mergeCell ref="Z275:Z277"/>
    <mergeCell ref="AA275:AA277"/>
    <mergeCell ref="Y269:Y271"/>
    <mergeCell ref="I269:I271"/>
    <mergeCell ref="AA266:AA268"/>
    <mergeCell ref="B278:B280"/>
    <mergeCell ref="C269:C271"/>
    <mergeCell ref="B272:B274"/>
    <mergeCell ref="C275:C277"/>
    <mergeCell ref="D275:D277"/>
    <mergeCell ref="E275:E277"/>
    <mergeCell ref="F275:F277"/>
    <mergeCell ref="G275:G277"/>
    <mergeCell ref="AB240:AB242"/>
    <mergeCell ref="AB243:AB245"/>
    <mergeCell ref="AB246:AB248"/>
    <mergeCell ref="T246:T248"/>
    <mergeCell ref="U246:U248"/>
    <mergeCell ref="V246:V248"/>
    <mergeCell ref="W246:W248"/>
    <mergeCell ref="X246:X248"/>
    <mergeCell ref="Y246:Y248"/>
    <mergeCell ref="Z246:Z248"/>
    <mergeCell ref="AA246:AA248"/>
    <mergeCell ref="W240:W242"/>
    <mergeCell ref="X240:X242"/>
    <mergeCell ref="Y240:Y242"/>
    <mergeCell ref="Z240:Z242"/>
    <mergeCell ref="AA240:AA242"/>
    <mergeCell ref="M237:M239"/>
    <mergeCell ref="N237:N239"/>
    <mergeCell ref="O237:O239"/>
    <mergeCell ref="AA237:AA239"/>
    <mergeCell ref="P243:P245"/>
    <mergeCell ref="Q243:Q245"/>
    <mergeCell ref="Y243:Y245"/>
    <mergeCell ref="R243:R245"/>
    <mergeCell ref="R246:R248"/>
    <mergeCell ref="S246:S248"/>
    <mergeCell ref="S243:S245"/>
    <mergeCell ref="T243:T245"/>
    <mergeCell ref="U243:U245"/>
    <mergeCell ref="V243:V245"/>
    <mergeCell ref="W243:W245"/>
    <mergeCell ref="U240:U242"/>
    <mergeCell ref="AB202:AB204"/>
    <mergeCell ref="AB205:AB207"/>
    <mergeCell ref="AB208:AB210"/>
    <mergeCell ref="AB211:AB213"/>
    <mergeCell ref="Y211:Y213"/>
    <mergeCell ref="Z211:Z213"/>
    <mergeCell ref="AA211:AA213"/>
    <mergeCell ref="T205:T207"/>
    <mergeCell ref="U205:U207"/>
    <mergeCell ref="V205:V207"/>
    <mergeCell ref="Y208:Y210"/>
    <mergeCell ref="T202:T204"/>
    <mergeCell ref="U202:U204"/>
    <mergeCell ref="V202:V204"/>
    <mergeCell ref="W202:W204"/>
    <mergeCell ref="L179:L181"/>
    <mergeCell ref="R179:R181"/>
    <mergeCell ref="S179:S181"/>
    <mergeCell ref="T179:T181"/>
    <mergeCell ref="U179:U181"/>
    <mergeCell ref="N182:N184"/>
    <mergeCell ref="O182:O184"/>
    <mergeCell ref="P182:P184"/>
    <mergeCell ref="Q182:Q184"/>
    <mergeCell ref="R182:R184"/>
    <mergeCell ref="T182:T184"/>
    <mergeCell ref="U182:U184"/>
    <mergeCell ref="V182:V184"/>
    <mergeCell ref="W182:W184"/>
    <mergeCell ref="X182:X184"/>
    <mergeCell ref="Y182:Y184"/>
    <mergeCell ref="Z182:Z184"/>
    <mergeCell ref="AB153:AB155"/>
    <mergeCell ref="AB170:AB172"/>
    <mergeCell ref="AB173:AB175"/>
    <mergeCell ref="AB176:AB178"/>
    <mergeCell ref="V173:V175"/>
    <mergeCell ref="W176:W178"/>
    <mergeCell ref="X176:X178"/>
    <mergeCell ref="Y176:Y178"/>
    <mergeCell ref="Y153:Y155"/>
    <mergeCell ref="Z153:Z155"/>
    <mergeCell ref="AA153:AA155"/>
    <mergeCell ref="AB179:AB181"/>
    <mergeCell ref="AB182:AB184"/>
    <mergeCell ref="Y179:Y181"/>
    <mergeCell ref="Z179:Z181"/>
    <mergeCell ref="AA179:AA181"/>
    <mergeCell ref="AA182:AA184"/>
    <mergeCell ref="AA170:AA172"/>
    <mergeCell ref="Z170:Z172"/>
    <mergeCell ref="Z173:Z175"/>
    <mergeCell ref="AA173:AA175"/>
    <mergeCell ref="W173:W175"/>
    <mergeCell ref="X173:X175"/>
    <mergeCell ref="Y173:Y175"/>
    <mergeCell ref="AB144:AB146"/>
    <mergeCell ref="AB147:AB149"/>
    <mergeCell ref="AB150:AB152"/>
    <mergeCell ref="G147:G149"/>
    <mergeCell ref="H147:H149"/>
    <mergeCell ref="I147:I149"/>
    <mergeCell ref="J147:J149"/>
    <mergeCell ref="K147:K149"/>
    <mergeCell ref="L147:L149"/>
    <mergeCell ref="R147:R149"/>
    <mergeCell ref="S147:S149"/>
    <mergeCell ref="Y144:Y146"/>
    <mergeCell ref="Z144:Z146"/>
    <mergeCell ref="AA144:AA146"/>
    <mergeCell ref="Z150:Z152"/>
    <mergeCell ref="AA150:AA152"/>
    <mergeCell ref="H150:H152"/>
    <mergeCell ref="I150:I152"/>
    <mergeCell ref="J150:J152"/>
    <mergeCell ref="K150:K152"/>
    <mergeCell ref="M147:M149"/>
    <mergeCell ref="N147:N149"/>
    <mergeCell ref="O147:O149"/>
    <mergeCell ref="P147:P149"/>
    <mergeCell ref="Q147:Q149"/>
    <mergeCell ref="R144:R146"/>
    <mergeCell ref="S144:S146"/>
    <mergeCell ref="T144:T146"/>
    <mergeCell ref="U144:U146"/>
    <mergeCell ref="V144:V146"/>
    <mergeCell ref="AA147:AA149"/>
    <mergeCell ref="M150:M152"/>
    <mergeCell ref="AB115:AB117"/>
    <mergeCell ref="T115:T117"/>
    <mergeCell ref="U115:U117"/>
    <mergeCell ref="V115:V117"/>
    <mergeCell ref="W115:W117"/>
    <mergeCell ref="X115:X117"/>
    <mergeCell ref="Y115:Y117"/>
    <mergeCell ref="Z115:Z117"/>
    <mergeCell ref="AA115:AA117"/>
    <mergeCell ref="T106:T108"/>
    <mergeCell ref="U106:U108"/>
    <mergeCell ref="V106:V108"/>
    <mergeCell ref="Y106:Y108"/>
    <mergeCell ref="AB118:AB120"/>
    <mergeCell ref="AB121:AB123"/>
    <mergeCell ref="AB138:AB140"/>
    <mergeCell ref="AB141:AB143"/>
    <mergeCell ref="T138:T140"/>
    <mergeCell ref="U138:U140"/>
    <mergeCell ref="V138:V140"/>
    <mergeCell ref="W138:W140"/>
    <mergeCell ref="X138:X140"/>
    <mergeCell ref="Y138:Y140"/>
    <mergeCell ref="Z138:Z140"/>
    <mergeCell ref="AA138:AA140"/>
    <mergeCell ref="T121:T123"/>
    <mergeCell ref="U121:U123"/>
    <mergeCell ref="V121:V123"/>
    <mergeCell ref="W121:W123"/>
    <mergeCell ref="X121:X123"/>
    <mergeCell ref="Y121:Y123"/>
    <mergeCell ref="Z121:Z123"/>
    <mergeCell ref="AB89:AB91"/>
    <mergeCell ref="X89:X91"/>
    <mergeCell ref="Y89:Y91"/>
    <mergeCell ref="Z89:Z91"/>
    <mergeCell ref="AA89:AA91"/>
    <mergeCell ref="T83:T85"/>
    <mergeCell ref="U83:U85"/>
    <mergeCell ref="V83:V85"/>
    <mergeCell ref="W83:W85"/>
    <mergeCell ref="X83:X85"/>
    <mergeCell ref="Y83:Y85"/>
    <mergeCell ref="Z83:Z85"/>
    <mergeCell ref="AA83:AA85"/>
    <mergeCell ref="C86:C88"/>
    <mergeCell ref="AB106:AB108"/>
    <mergeCell ref="AB109:AB111"/>
    <mergeCell ref="AB112:AB114"/>
    <mergeCell ref="L109:L111"/>
    <mergeCell ref="M109:M111"/>
    <mergeCell ref="N109:N111"/>
    <mergeCell ref="O109:O111"/>
    <mergeCell ref="P109:P111"/>
    <mergeCell ref="Q109:Q111"/>
    <mergeCell ref="R109:R111"/>
    <mergeCell ref="S109:S111"/>
    <mergeCell ref="T109:T111"/>
    <mergeCell ref="U109:U111"/>
    <mergeCell ref="V109:V111"/>
    <mergeCell ref="C106:C108"/>
    <mergeCell ref="D106:D108"/>
    <mergeCell ref="E106:E108"/>
    <mergeCell ref="F106:F108"/>
    <mergeCell ref="AB83:AB85"/>
    <mergeCell ref="AB86:AB88"/>
    <mergeCell ref="AA57:AA59"/>
    <mergeCell ref="AA77:AA79"/>
    <mergeCell ref="U77:U79"/>
    <mergeCell ref="V77:V79"/>
    <mergeCell ref="T77:T79"/>
    <mergeCell ref="W80:W82"/>
    <mergeCell ref="X80:X82"/>
    <mergeCell ref="T57:T59"/>
    <mergeCell ref="U57:U59"/>
    <mergeCell ref="V57:V59"/>
    <mergeCell ref="W57:W59"/>
    <mergeCell ref="X57:X59"/>
    <mergeCell ref="Y86:Y88"/>
    <mergeCell ref="Y57:Y59"/>
    <mergeCell ref="Z57:Z59"/>
    <mergeCell ref="U80:U82"/>
    <mergeCell ref="V80:V82"/>
    <mergeCell ref="W86:W88"/>
    <mergeCell ref="X86:X88"/>
    <mergeCell ref="V86:V88"/>
    <mergeCell ref="Z86:Z88"/>
    <mergeCell ref="AA86:AA88"/>
    <mergeCell ref="Y14:Y16"/>
    <mergeCell ref="Z14:Z16"/>
    <mergeCell ref="AB57:AB59"/>
    <mergeCell ref="AB74:AB76"/>
    <mergeCell ref="AB77:AB79"/>
    <mergeCell ref="AB80:AB82"/>
    <mergeCell ref="Z80:Z82"/>
    <mergeCell ref="AA80:AA82"/>
    <mergeCell ref="T74:T76"/>
    <mergeCell ref="U74:U76"/>
    <mergeCell ref="V74:V76"/>
    <mergeCell ref="W74:W76"/>
    <mergeCell ref="X74:X76"/>
    <mergeCell ref="Y74:Y76"/>
    <mergeCell ref="Z74:Z76"/>
    <mergeCell ref="AA74:AA76"/>
    <mergeCell ref="Y80:Y82"/>
    <mergeCell ref="W51:W53"/>
    <mergeCell ref="X51:X53"/>
    <mergeCell ref="Y51:Y53"/>
    <mergeCell ref="T51:T53"/>
    <mergeCell ref="U51:U53"/>
    <mergeCell ref="V51:V53"/>
    <mergeCell ref="Z26:Z28"/>
    <mergeCell ref="Z48:Z50"/>
    <mergeCell ref="Z42:Z44"/>
    <mergeCell ref="AA42:AA44"/>
    <mergeCell ref="W48:W50"/>
    <mergeCell ref="Z51:Z53"/>
    <mergeCell ref="C147:C149"/>
    <mergeCell ref="D147:D149"/>
    <mergeCell ref="F147:F149"/>
    <mergeCell ref="L150:L152"/>
    <mergeCell ref="E147:E149"/>
    <mergeCell ref="H153:H155"/>
    <mergeCell ref="I153:I155"/>
    <mergeCell ref="J153:J155"/>
    <mergeCell ref="K153:K155"/>
    <mergeCell ref="L153:L155"/>
    <mergeCell ref="AB11:AB13"/>
    <mergeCell ref="AB14:AB16"/>
    <mergeCell ref="AB17:AB19"/>
    <mergeCell ref="AB20:AB22"/>
    <mergeCell ref="AB23:AB25"/>
    <mergeCell ref="AB26:AB28"/>
    <mergeCell ref="AB42:AB44"/>
    <mergeCell ref="AB45:AB47"/>
    <mergeCell ref="AB48:AB50"/>
    <mergeCell ref="AB51:AB53"/>
    <mergeCell ref="AB54:AB56"/>
    <mergeCell ref="Z54:Z56"/>
    <mergeCell ref="AA54:AA56"/>
    <mergeCell ref="AA48:AA50"/>
    <mergeCell ref="Y54:Y56"/>
    <mergeCell ref="H54:H56"/>
    <mergeCell ref="L54:L56"/>
    <mergeCell ref="I54:I56"/>
    <mergeCell ref="J54:J56"/>
    <mergeCell ref="K54:K56"/>
    <mergeCell ref="M51:M53"/>
    <mergeCell ref="N51:N53"/>
    <mergeCell ref="C153:C155"/>
    <mergeCell ref="D153:D155"/>
    <mergeCell ref="E153:E155"/>
    <mergeCell ref="F153:F155"/>
    <mergeCell ref="G153:G155"/>
    <mergeCell ref="G170:G172"/>
    <mergeCell ref="H170:H172"/>
    <mergeCell ref="C150:C152"/>
    <mergeCell ref="D150:D152"/>
    <mergeCell ref="E150:E152"/>
    <mergeCell ref="F150:F152"/>
    <mergeCell ref="G150:G152"/>
    <mergeCell ref="L170:L172"/>
    <mergeCell ref="J170:J172"/>
    <mergeCell ref="K170:K172"/>
    <mergeCell ref="I237:I239"/>
    <mergeCell ref="J237:J239"/>
    <mergeCell ref="K237:K239"/>
    <mergeCell ref="L237:L239"/>
    <mergeCell ref="A226:AF226"/>
    <mergeCell ref="A228:AF228"/>
    <mergeCell ref="A229:AF229"/>
    <mergeCell ref="Q237:Q239"/>
    <mergeCell ref="T237:T239"/>
    <mergeCell ref="U237:U239"/>
    <mergeCell ref="V237:V239"/>
    <mergeCell ref="S237:S239"/>
    <mergeCell ref="AB214:AB216"/>
    <mergeCell ref="AB217:AB219"/>
    <mergeCell ref="AB234:AB236"/>
    <mergeCell ref="AB237:AB239"/>
    <mergeCell ref="C237:C239"/>
    <mergeCell ref="H980:H982"/>
    <mergeCell ref="I980:I982"/>
    <mergeCell ref="J980:J982"/>
    <mergeCell ref="K980:K982"/>
    <mergeCell ref="L980:L982"/>
    <mergeCell ref="M980:M982"/>
    <mergeCell ref="N980:N982"/>
    <mergeCell ref="O980:O982"/>
    <mergeCell ref="P980:P982"/>
    <mergeCell ref="Q980:Q982"/>
    <mergeCell ref="R980:R982"/>
    <mergeCell ref="S980:S982"/>
    <mergeCell ref="T980:T982"/>
    <mergeCell ref="U980:U982"/>
    <mergeCell ref="V980:V982"/>
    <mergeCell ref="P977:P979"/>
    <mergeCell ref="Q977:Q979"/>
    <mergeCell ref="T977:T979"/>
    <mergeCell ref="C946:C948"/>
    <mergeCell ref="D946:D948"/>
    <mergeCell ref="E946:E948"/>
    <mergeCell ref="F946:F948"/>
    <mergeCell ref="G946:G948"/>
    <mergeCell ref="W968:W970"/>
    <mergeCell ref="Z946:Z948"/>
    <mergeCell ref="AA946:AA948"/>
    <mergeCell ref="AB946:AB948"/>
    <mergeCell ref="C965:C967"/>
    <mergeCell ref="D965:D967"/>
    <mergeCell ref="E965:E967"/>
    <mergeCell ref="F965:F967"/>
    <mergeCell ref="G965:G967"/>
    <mergeCell ref="H965:H967"/>
    <mergeCell ref="I965:I967"/>
    <mergeCell ref="J965:J967"/>
    <mergeCell ref="K965:K967"/>
    <mergeCell ref="L965:L967"/>
    <mergeCell ref="M965:M967"/>
    <mergeCell ref="N965:N967"/>
    <mergeCell ref="O965:O967"/>
    <mergeCell ref="P965:P967"/>
    <mergeCell ref="Q965:Q967"/>
    <mergeCell ref="R965:R967"/>
    <mergeCell ref="A957:AF957"/>
    <mergeCell ref="A959:AF959"/>
    <mergeCell ref="A960:AF960"/>
    <mergeCell ref="Q946:Q948"/>
    <mergeCell ref="R946:R948"/>
    <mergeCell ref="S946:S948"/>
    <mergeCell ref="T946:T948"/>
    <mergeCell ref="D971:D973"/>
    <mergeCell ref="E971:E973"/>
    <mergeCell ref="F971:F973"/>
    <mergeCell ref="G971:G973"/>
    <mergeCell ref="H971:H973"/>
    <mergeCell ref="Y946:Y948"/>
    <mergeCell ref="H946:H948"/>
    <mergeCell ref="I946:I948"/>
    <mergeCell ref="J946:J948"/>
    <mergeCell ref="K946:K948"/>
    <mergeCell ref="L946:L948"/>
    <mergeCell ref="M946:M948"/>
    <mergeCell ref="N946:N948"/>
    <mergeCell ref="O946:O948"/>
    <mergeCell ref="P946:P948"/>
    <mergeCell ref="U946:U948"/>
    <mergeCell ref="V946:V948"/>
    <mergeCell ref="W946:W948"/>
    <mergeCell ref="X946:X948"/>
    <mergeCell ref="R968:R970"/>
    <mergeCell ref="S968:S970"/>
    <mergeCell ref="T968:T970"/>
    <mergeCell ref="U968:U970"/>
    <mergeCell ref="V968:V970"/>
    <mergeCell ref="X968:X970"/>
    <mergeCell ref="D940:D942"/>
    <mergeCell ref="E940:E942"/>
    <mergeCell ref="F940:F942"/>
    <mergeCell ref="G940:G942"/>
    <mergeCell ref="H940:H942"/>
    <mergeCell ref="I940:I942"/>
    <mergeCell ref="J940:J942"/>
    <mergeCell ref="K940:K942"/>
    <mergeCell ref="L940:L942"/>
    <mergeCell ref="R940:R942"/>
    <mergeCell ref="S940:S942"/>
    <mergeCell ref="T940:T942"/>
    <mergeCell ref="U940:U942"/>
    <mergeCell ref="V940:V942"/>
    <mergeCell ref="W940:W942"/>
    <mergeCell ref="X940:X942"/>
    <mergeCell ref="H943:H945"/>
    <mergeCell ref="I943:I945"/>
    <mergeCell ref="J943:J945"/>
    <mergeCell ref="K943:K945"/>
    <mergeCell ref="L943:L945"/>
    <mergeCell ref="C937:C939"/>
    <mergeCell ref="D937:D939"/>
    <mergeCell ref="E937:E939"/>
    <mergeCell ref="F937:F939"/>
    <mergeCell ref="G937:G939"/>
    <mergeCell ref="H937:H939"/>
    <mergeCell ref="I937:I939"/>
    <mergeCell ref="J937:J939"/>
    <mergeCell ref="K937:K939"/>
    <mergeCell ref="L937:L939"/>
    <mergeCell ref="M937:M939"/>
    <mergeCell ref="N937:N939"/>
    <mergeCell ref="O937:O939"/>
    <mergeCell ref="P937:P939"/>
    <mergeCell ref="Q937:Q939"/>
    <mergeCell ref="W937:W939"/>
    <mergeCell ref="U934:U936"/>
    <mergeCell ref="S934:S936"/>
    <mergeCell ref="U909:U911"/>
    <mergeCell ref="V909:V911"/>
    <mergeCell ref="W909:W911"/>
    <mergeCell ref="X909:X911"/>
    <mergeCell ref="H912:H914"/>
    <mergeCell ref="I912:I914"/>
    <mergeCell ref="J912:J914"/>
    <mergeCell ref="K912:K914"/>
    <mergeCell ref="L912:L914"/>
    <mergeCell ref="M912:M914"/>
    <mergeCell ref="N912:N914"/>
    <mergeCell ref="O912:O914"/>
    <mergeCell ref="P912:P914"/>
    <mergeCell ref="Q912:Q914"/>
    <mergeCell ref="R912:R914"/>
    <mergeCell ref="S912:S914"/>
    <mergeCell ref="T912:T914"/>
    <mergeCell ref="U912:U914"/>
    <mergeCell ref="V912:V914"/>
    <mergeCell ref="N903:N905"/>
    <mergeCell ref="O903:O905"/>
    <mergeCell ref="P903:P905"/>
    <mergeCell ref="Q903:Q905"/>
    <mergeCell ref="D903:D905"/>
    <mergeCell ref="C909:C911"/>
    <mergeCell ref="D909:D911"/>
    <mergeCell ref="E909:E911"/>
    <mergeCell ref="F909:F911"/>
    <mergeCell ref="G909:G911"/>
    <mergeCell ref="M909:M911"/>
    <mergeCell ref="N909:N911"/>
    <mergeCell ref="O909:O911"/>
    <mergeCell ref="P909:P911"/>
    <mergeCell ref="Q909:Q911"/>
    <mergeCell ref="R909:R911"/>
    <mergeCell ref="S909:S911"/>
    <mergeCell ref="C906:C908"/>
    <mergeCell ref="D906:D908"/>
    <mergeCell ref="E906:E908"/>
    <mergeCell ref="F906:F908"/>
    <mergeCell ref="G906:G908"/>
    <mergeCell ref="R872:R874"/>
    <mergeCell ref="S872:S874"/>
    <mergeCell ref="S875:S877"/>
    <mergeCell ref="T875:T877"/>
    <mergeCell ref="U875:U877"/>
    <mergeCell ref="V875:V877"/>
    <mergeCell ref="W875:W877"/>
    <mergeCell ref="Z863:Z865"/>
    <mergeCell ref="AA863:AA865"/>
    <mergeCell ref="P866:P868"/>
    <mergeCell ref="Q866:Q868"/>
    <mergeCell ref="R866:R868"/>
    <mergeCell ref="S866:S868"/>
    <mergeCell ref="T866:T868"/>
    <mergeCell ref="U866:U868"/>
    <mergeCell ref="V866:V868"/>
    <mergeCell ref="M869:M871"/>
    <mergeCell ref="N869:N871"/>
    <mergeCell ref="O869:O871"/>
    <mergeCell ref="P869:P871"/>
    <mergeCell ref="Q869:Q871"/>
    <mergeCell ref="M875:M877"/>
    <mergeCell ref="N875:N877"/>
    <mergeCell ref="O875:O877"/>
    <mergeCell ref="P875:P877"/>
    <mergeCell ref="Q875:Q877"/>
    <mergeCell ref="AA875:AA877"/>
    <mergeCell ref="U872:U874"/>
    <mergeCell ref="T863:T865"/>
    <mergeCell ref="U863:U865"/>
    <mergeCell ref="V863:V865"/>
    <mergeCell ref="W863:W865"/>
    <mergeCell ref="H863:H865"/>
    <mergeCell ref="I863:I865"/>
    <mergeCell ref="J863:J865"/>
    <mergeCell ref="K863:K865"/>
    <mergeCell ref="L863:L865"/>
    <mergeCell ref="M863:M865"/>
    <mergeCell ref="N863:N865"/>
    <mergeCell ref="O863:O865"/>
    <mergeCell ref="P863:P865"/>
    <mergeCell ref="Q863:Q865"/>
    <mergeCell ref="R863:R865"/>
    <mergeCell ref="S863:S865"/>
    <mergeCell ref="I869:I871"/>
    <mergeCell ref="J869:J871"/>
    <mergeCell ref="K869:K871"/>
    <mergeCell ref="L869:L871"/>
    <mergeCell ref="H869:H871"/>
    <mergeCell ref="H844:H846"/>
    <mergeCell ref="I844:I846"/>
    <mergeCell ref="J844:J846"/>
    <mergeCell ref="K844:K846"/>
    <mergeCell ref="L844:L846"/>
    <mergeCell ref="M844:M846"/>
    <mergeCell ref="N844:N846"/>
    <mergeCell ref="O844:O846"/>
    <mergeCell ref="P844:P846"/>
    <mergeCell ref="Q844:Q846"/>
    <mergeCell ref="R844:R846"/>
    <mergeCell ref="S844:S846"/>
    <mergeCell ref="W866:W868"/>
    <mergeCell ref="C841:C843"/>
    <mergeCell ref="D841:D843"/>
    <mergeCell ref="E841:E843"/>
    <mergeCell ref="F841:F843"/>
    <mergeCell ref="G841:G843"/>
    <mergeCell ref="M841:M843"/>
    <mergeCell ref="N841:N843"/>
    <mergeCell ref="O841:O843"/>
    <mergeCell ref="P841:P843"/>
    <mergeCell ref="Q841:Q843"/>
    <mergeCell ref="R841:R843"/>
    <mergeCell ref="S841:S843"/>
    <mergeCell ref="T841:T843"/>
    <mergeCell ref="U841:U843"/>
    <mergeCell ref="V841:V843"/>
    <mergeCell ref="D863:D865"/>
    <mergeCell ref="E863:E865"/>
    <mergeCell ref="F863:F865"/>
    <mergeCell ref="G863:G865"/>
    <mergeCell ref="H841:H843"/>
    <mergeCell ref="I841:I843"/>
    <mergeCell ref="J841:J843"/>
    <mergeCell ref="K841:K843"/>
    <mergeCell ref="L841:L843"/>
    <mergeCell ref="E835:E837"/>
    <mergeCell ref="F835:F837"/>
    <mergeCell ref="G835:G837"/>
    <mergeCell ref="H835:H837"/>
    <mergeCell ref="I835:I837"/>
    <mergeCell ref="J835:J837"/>
    <mergeCell ref="K835:K837"/>
    <mergeCell ref="L835:L837"/>
    <mergeCell ref="M835:M837"/>
    <mergeCell ref="N835:N837"/>
    <mergeCell ref="O835:O837"/>
    <mergeCell ref="P835:P837"/>
    <mergeCell ref="K838:K840"/>
    <mergeCell ref="L838:L840"/>
    <mergeCell ref="M838:M840"/>
    <mergeCell ref="N838:N840"/>
    <mergeCell ref="O838:O840"/>
    <mergeCell ref="A807:A809"/>
    <mergeCell ref="P807:P809"/>
    <mergeCell ref="Q807:Q809"/>
    <mergeCell ref="C807:C809"/>
    <mergeCell ref="D807:D809"/>
    <mergeCell ref="E807:E809"/>
    <mergeCell ref="F807:F809"/>
    <mergeCell ref="G807:G809"/>
    <mergeCell ref="Q838:Q840"/>
    <mergeCell ref="H838:H840"/>
    <mergeCell ref="I838:I840"/>
    <mergeCell ref="J838:J840"/>
    <mergeCell ref="F829:F831"/>
    <mergeCell ref="G829:G831"/>
    <mergeCell ref="H829:H831"/>
    <mergeCell ref="I829:I831"/>
    <mergeCell ref="J829:J831"/>
    <mergeCell ref="K829:K831"/>
    <mergeCell ref="L829:L831"/>
    <mergeCell ref="M829:M831"/>
    <mergeCell ref="N829:N831"/>
    <mergeCell ref="O829:O831"/>
    <mergeCell ref="P829:P831"/>
    <mergeCell ref="Q829:Q831"/>
    <mergeCell ref="B810:B812"/>
    <mergeCell ref="M807:M809"/>
    <mergeCell ref="N807:N809"/>
    <mergeCell ref="O807:O809"/>
    <mergeCell ref="U829:U831"/>
    <mergeCell ref="C810:C812"/>
    <mergeCell ref="D810:D812"/>
    <mergeCell ref="E810:E812"/>
    <mergeCell ref="F810:F812"/>
    <mergeCell ref="G810:G812"/>
    <mergeCell ref="B807:B809"/>
    <mergeCell ref="Z829:Z831"/>
    <mergeCell ref="A821:AF821"/>
    <mergeCell ref="A823:AF823"/>
    <mergeCell ref="AA829:AA831"/>
    <mergeCell ref="H810:H812"/>
    <mergeCell ref="I810:I812"/>
    <mergeCell ref="J810:J812"/>
    <mergeCell ref="K810:K812"/>
    <mergeCell ref="L810:L812"/>
    <mergeCell ref="M810:M812"/>
    <mergeCell ref="N810:N812"/>
    <mergeCell ref="O810:O812"/>
    <mergeCell ref="P810:P812"/>
    <mergeCell ref="Q810:Q812"/>
    <mergeCell ref="R810:R812"/>
    <mergeCell ref="S810:S812"/>
    <mergeCell ref="T810:T812"/>
    <mergeCell ref="U810:U812"/>
    <mergeCell ref="V810:V812"/>
    <mergeCell ref="W810:W812"/>
    <mergeCell ref="X810:X812"/>
    <mergeCell ref="Y810:Y812"/>
    <mergeCell ref="Z810:Z812"/>
    <mergeCell ref="A824:AF824"/>
    <mergeCell ref="A810:A812"/>
    <mergeCell ref="AA810:AA812"/>
    <mergeCell ref="AB810:AB812"/>
    <mergeCell ref="R807:R809"/>
    <mergeCell ref="S807:S809"/>
    <mergeCell ref="T807:T809"/>
    <mergeCell ref="U807:U809"/>
    <mergeCell ref="V807:V809"/>
    <mergeCell ref="W807:W809"/>
    <mergeCell ref="X807:X809"/>
    <mergeCell ref="H804:H806"/>
    <mergeCell ref="I804:I806"/>
    <mergeCell ref="J804:J806"/>
    <mergeCell ref="K804:K806"/>
    <mergeCell ref="AA807:AA809"/>
    <mergeCell ref="S804:S806"/>
    <mergeCell ref="T804:T806"/>
    <mergeCell ref="U804:U806"/>
    <mergeCell ref="V804:V806"/>
    <mergeCell ref="W804:W806"/>
    <mergeCell ref="X804:X806"/>
    <mergeCell ref="L804:L806"/>
    <mergeCell ref="R804:R806"/>
    <mergeCell ref="H807:H809"/>
    <mergeCell ref="I807:I809"/>
    <mergeCell ref="J807:J809"/>
    <mergeCell ref="K807:K809"/>
    <mergeCell ref="L807:L809"/>
    <mergeCell ref="Y807:Y809"/>
    <mergeCell ref="Z807:Z809"/>
    <mergeCell ref="I801:I803"/>
    <mergeCell ref="J801:J803"/>
    <mergeCell ref="K801:K803"/>
    <mergeCell ref="L801:L803"/>
    <mergeCell ref="M801:M803"/>
    <mergeCell ref="N801:N803"/>
    <mergeCell ref="O801:O803"/>
    <mergeCell ref="P801:P803"/>
    <mergeCell ref="Q801:Q803"/>
    <mergeCell ref="W801:W803"/>
    <mergeCell ref="X801:X803"/>
    <mergeCell ref="M798:M800"/>
    <mergeCell ref="N798:N800"/>
    <mergeCell ref="O798:O800"/>
    <mergeCell ref="P798:P800"/>
    <mergeCell ref="Q798:Q800"/>
    <mergeCell ref="R798:R800"/>
    <mergeCell ref="S798:S800"/>
    <mergeCell ref="T798:T800"/>
    <mergeCell ref="U798:U800"/>
    <mergeCell ref="V798:V800"/>
    <mergeCell ref="AA761:AA763"/>
    <mergeCell ref="A742:A744"/>
    <mergeCell ref="B742:B744"/>
    <mergeCell ref="A787:AF787"/>
    <mergeCell ref="A789:AF789"/>
    <mergeCell ref="A790:AF790"/>
    <mergeCell ref="F739:F741"/>
    <mergeCell ref="G739:G741"/>
    <mergeCell ref="M739:M741"/>
    <mergeCell ref="N739:N741"/>
    <mergeCell ref="O739:O741"/>
    <mergeCell ref="P739:P741"/>
    <mergeCell ref="Q739:Q741"/>
    <mergeCell ref="R739:R741"/>
    <mergeCell ref="S770:S772"/>
    <mergeCell ref="T770:T772"/>
    <mergeCell ref="U770:U772"/>
    <mergeCell ref="V770:V772"/>
    <mergeCell ref="F767:F769"/>
    <mergeCell ref="G767:G769"/>
    <mergeCell ref="H767:H769"/>
    <mergeCell ref="I767:I769"/>
    <mergeCell ref="J767:J769"/>
    <mergeCell ref="K767:K769"/>
    <mergeCell ref="L767:L769"/>
    <mergeCell ref="M767:M769"/>
    <mergeCell ref="L770:L772"/>
    <mergeCell ref="N767:N769"/>
    <mergeCell ref="O767:O769"/>
    <mergeCell ref="P767:P769"/>
    <mergeCell ref="Q767:Q769"/>
    <mergeCell ref="O761:O763"/>
    <mergeCell ref="N730:N732"/>
    <mergeCell ref="O730:O732"/>
    <mergeCell ref="P730:P732"/>
    <mergeCell ref="Q730:Q732"/>
    <mergeCell ref="R730:R732"/>
    <mergeCell ref="S730:S732"/>
    <mergeCell ref="T730:T732"/>
    <mergeCell ref="U730:U732"/>
    <mergeCell ref="V730:V732"/>
    <mergeCell ref="W730:W732"/>
    <mergeCell ref="Y736:Y738"/>
    <mergeCell ref="R736:R738"/>
    <mergeCell ref="T736:T738"/>
    <mergeCell ref="U736:U738"/>
    <mergeCell ref="A755:AF755"/>
    <mergeCell ref="A756:AF756"/>
    <mergeCell ref="P742:P744"/>
    <mergeCell ref="Q742:Q744"/>
    <mergeCell ref="R742:R744"/>
    <mergeCell ref="S742:S744"/>
    <mergeCell ref="U742:U744"/>
    <mergeCell ref="V742:V744"/>
    <mergeCell ref="W742:W744"/>
    <mergeCell ref="X742:X744"/>
    <mergeCell ref="Y742:Y744"/>
    <mergeCell ref="Z742:Z744"/>
    <mergeCell ref="AA742:AA744"/>
    <mergeCell ref="A753:AF753"/>
    <mergeCell ref="AB733:AB735"/>
    <mergeCell ref="AB736:AB738"/>
    <mergeCell ref="AB739:AB741"/>
    <mergeCell ref="S739:S741"/>
    <mergeCell ref="C727:C729"/>
    <mergeCell ref="D727:D729"/>
    <mergeCell ref="E727:E729"/>
    <mergeCell ref="F727:F729"/>
    <mergeCell ref="G727:G729"/>
    <mergeCell ref="H727:H729"/>
    <mergeCell ref="I727:I729"/>
    <mergeCell ref="J727:J729"/>
    <mergeCell ref="K727:K729"/>
    <mergeCell ref="L727:L729"/>
    <mergeCell ref="M727:M729"/>
    <mergeCell ref="N727:N729"/>
    <mergeCell ref="O727:O729"/>
    <mergeCell ref="P727:P729"/>
    <mergeCell ref="Q727:Q729"/>
    <mergeCell ref="R727:R729"/>
    <mergeCell ref="N708:N710"/>
    <mergeCell ref="O708:O710"/>
    <mergeCell ref="M708:M710"/>
    <mergeCell ref="P708:P710"/>
    <mergeCell ref="Q708:Q710"/>
    <mergeCell ref="R708:R710"/>
    <mergeCell ref="R696:R698"/>
    <mergeCell ref="S696:S698"/>
    <mergeCell ref="T696:T698"/>
    <mergeCell ref="U693:U695"/>
    <mergeCell ref="V693:V695"/>
    <mergeCell ref="J671:J673"/>
    <mergeCell ref="K671:K673"/>
    <mergeCell ref="L671:L673"/>
    <mergeCell ref="J705:J707"/>
    <mergeCell ref="K705:K707"/>
    <mergeCell ref="L705:L707"/>
    <mergeCell ref="C705:C707"/>
    <mergeCell ref="D705:D707"/>
    <mergeCell ref="E705:E707"/>
    <mergeCell ref="F705:F707"/>
    <mergeCell ref="G705:G707"/>
    <mergeCell ref="M705:M707"/>
    <mergeCell ref="N705:N707"/>
    <mergeCell ref="O705:O707"/>
    <mergeCell ref="P705:P707"/>
    <mergeCell ref="Q705:Q707"/>
    <mergeCell ref="J696:J698"/>
    <mergeCell ref="K696:K698"/>
    <mergeCell ref="L696:L698"/>
    <mergeCell ref="M696:M698"/>
    <mergeCell ref="N696:N698"/>
    <mergeCell ref="O696:O698"/>
    <mergeCell ref="P696:P698"/>
    <mergeCell ref="Q696:Q698"/>
    <mergeCell ref="J702:J704"/>
    <mergeCell ref="K702:K704"/>
    <mergeCell ref="L702:L704"/>
    <mergeCell ref="R702:R704"/>
    <mergeCell ref="S702:S704"/>
    <mergeCell ref="T702:T704"/>
    <mergeCell ref="H705:H707"/>
    <mergeCell ref="I705:I707"/>
    <mergeCell ref="C708:C710"/>
    <mergeCell ref="D708:D710"/>
    <mergeCell ref="E708:E710"/>
    <mergeCell ref="F708:F710"/>
    <mergeCell ref="G708:G710"/>
    <mergeCell ref="S708:S710"/>
    <mergeCell ref="T708:T710"/>
    <mergeCell ref="C671:C673"/>
    <mergeCell ref="D671:D673"/>
    <mergeCell ref="E671:E673"/>
    <mergeCell ref="F671:F673"/>
    <mergeCell ref="G671:G673"/>
    <mergeCell ref="M671:M673"/>
    <mergeCell ref="N671:N673"/>
    <mergeCell ref="O671:O673"/>
    <mergeCell ref="P671:P673"/>
    <mergeCell ref="Q671:Q673"/>
    <mergeCell ref="R671:R673"/>
    <mergeCell ref="S671:S673"/>
    <mergeCell ref="H674:H676"/>
    <mergeCell ref="I674:I676"/>
    <mergeCell ref="P693:P695"/>
    <mergeCell ref="Q693:Q695"/>
    <mergeCell ref="R693:R695"/>
    <mergeCell ref="S693:S695"/>
    <mergeCell ref="C674:C676"/>
    <mergeCell ref="D674:D676"/>
    <mergeCell ref="E674:E676"/>
    <mergeCell ref="F674:F676"/>
    <mergeCell ref="G674:G676"/>
    <mergeCell ref="H671:H673"/>
    <mergeCell ref="I671:I673"/>
    <mergeCell ref="C665:C667"/>
    <mergeCell ref="D665:D667"/>
    <mergeCell ref="E665:E667"/>
    <mergeCell ref="F665:F667"/>
    <mergeCell ref="G665:G667"/>
    <mergeCell ref="H665:H667"/>
    <mergeCell ref="I665:I667"/>
    <mergeCell ref="J665:J667"/>
    <mergeCell ref="K665:K667"/>
    <mergeCell ref="L665:L667"/>
    <mergeCell ref="M665:M667"/>
    <mergeCell ref="N665:N667"/>
    <mergeCell ref="O665:O667"/>
    <mergeCell ref="P665:P667"/>
    <mergeCell ref="Q665:Q667"/>
    <mergeCell ref="W665:W667"/>
    <mergeCell ref="X665:X667"/>
    <mergeCell ref="C659:C661"/>
    <mergeCell ref="D659:D661"/>
    <mergeCell ref="E659:E661"/>
    <mergeCell ref="F659:F661"/>
    <mergeCell ref="G659:G661"/>
    <mergeCell ref="H659:H661"/>
    <mergeCell ref="I659:I661"/>
    <mergeCell ref="J659:J661"/>
    <mergeCell ref="K659:K661"/>
    <mergeCell ref="L659:L661"/>
    <mergeCell ref="M659:M661"/>
    <mergeCell ref="N659:N661"/>
    <mergeCell ref="O659:O661"/>
    <mergeCell ref="P659:P661"/>
    <mergeCell ref="Q659:Q661"/>
    <mergeCell ref="R659:R661"/>
    <mergeCell ref="S659:S661"/>
    <mergeCell ref="N662:N664"/>
    <mergeCell ref="O662:O664"/>
    <mergeCell ref="P662:P664"/>
    <mergeCell ref="Q662:Q664"/>
    <mergeCell ref="R662:R664"/>
    <mergeCell ref="S662:S664"/>
    <mergeCell ref="T662:T664"/>
    <mergeCell ref="U662:U664"/>
    <mergeCell ref="V662:V664"/>
    <mergeCell ref="H640:H642"/>
    <mergeCell ref="I640:I642"/>
    <mergeCell ref="J640:J642"/>
    <mergeCell ref="K640:K642"/>
    <mergeCell ref="L640:L642"/>
    <mergeCell ref="M640:M642"/>
    <mergeCell ref="N640:N642"/>
    <mergeCell ref="O640:O642"/>
    <mergeCell ref="P640:P642"/>
    <mergeCell ref="Q640:Q642"/>
    <mergeCell ref="R640:R642"/>
    <mergeCell ref="S640:S642"/>
    <mergeCell ref="V634:V636"/>
    <mergeCell ref="M628:M630"/>
    <mergeCell ref="N628:N630"/>
    <mergeCell ref="O628:O630"/>
    <mergeCell ref="Y637:Y639"/>
    <mergeCell ref="P634:P636"/>
    <mergeCell ref="Q634:Q636"/>
    <mergeCell ref="D634:D636"/>
    <mergeCell ref="P628:P630"/>
    <mergeCell ref="Q628:Q630"/>
    <mergeCell ref="R628:R630"/>
    <mergeCell ref="S628:S630"/>
    <mergeCell ref="T628:T630"/>
    <mergeCell ref="U628:U630"/>
    <mergeCell ref="V628:V630"/>
    <mergeCell ref="P631:P633"/>
    <mergeCell ref="X637:X639"/>
    <mergeCell ref="W634:W636"/>
    <mergeCell ref="H637:H639"/>
    <mergeCell ref="I637:I639"/>
    <mergeCell ref="J637:J639"/>
    <mergeCell ref="K637:K639"/>
    <mergeCell ref="L637:L639"/>
    <mergeCell ref="D637:D639"/>
    <mergeCell ref="E637:E639"/>
    <mergeCell ref="F637:F639"/>
    <mergeCell ref="G637:G639"/>
    <mergeCell ref="M637:M639"/>
    <mergeCell ref="N637:N639"/>
    <mergeCell ref="O637:O639"/>
    <mergeCell ref="P637:P639"/>
    <mergeCell ref="Q637:Q639"/>
    <mergeCell ref="R637:R639"/>
    <mergeCell ref="S637:S639"/>
    <mergeCell ref="R634:R636"/>
    <mergeCell ref="S634:S636"/>
    <mergeCell ref="M634:M636"/>
    <mergeCell ref="N634:N636"/>
    <mergeCell ref="O634:O636"/>
    <mergeCell ref="J606:J608"/>
    <mergeCell ref="K606:K608"/>
    <mergeCell ref="L606:L608"/>
    <mergeCell ref="M606:M608"/>
    <mergeCell ref="N606:N608"/>
    <mergeCell ref="O606:O608"/>
    <mergeCell ref="P606:P608"/>
    <mergeCell ref="Q606:Q608"/>
    <mergeCell ref="R606:R608"/>
    <mergeCell ref="N603:N605"/>
    <mergeCell ref="O603:O605"/>
    <mergeCell ref="P603:P605"/>
    <mergeCell ref="Q603:Q605"/>
    <mergeCell ref="G628:G630"/>
    <mergeCell ref="H628:H630"/>
    <mergeCell ref="I628:I630"/>
    <mergeCell ref="J628:J630"/>
    <mergeCell ref="K628:K630"/>
    <mergeCell ref="L628:L630"/>
    <mergeCell ref="H603:H605"/>
    <mergeCell ref="I603:I605"/>
    <mergeCell ref="J603:J605"/>
    <mergeCell ref="K603:K605"/>
    <mergeCell ref="L603:L605"/>
    <mergeCell ref="C600:C602"/>
    <mergeCell ref="D600:D602"/>
    <mergeCell ref="E600:E602"/>
    <mergeCell ref="F600:F602"/>
    <mergeCell ref="G600:G602"/>
    <mergeCell ref="H600:H602"/>
    <mergeCell ref="I600:I602"/>
    <mergeCell ref="J600:J602"/>
    <mergeCell ref="K600:K602"/>
    <mergeCell ref="L600:L602"/>
    <mergeCell ref="R600:R602"/>
    <mergeCell ref="S600:S602"/>
    <mergeCell ref="T600:T602"/>
    <mergeCell ref="U600:U602"/>
    <mergeCell ref="V600:V602"/>
    <mergeCell ref="W600:W602"/>
    <mergeCell ref="X600:X602"/>
    <mergeCell ref="M600:M602"/>
    <mergeCell ref="N600:N602"/>
    <mergeCell ref="O600:O602"/>
    <mergeCell ref="P600:P602"/>
    <mergeCell ref="Q600:Q602"/>
    <mergeCell ref="H594:H596"/>
    <mergeCell ref="I594:I596"/>
    <mergeCell ref="J594:J596"/>
    <mergeCell ref="K594:K596"/>
    <mergeCell ref="L594:L596"/>
    <mergeCell ref="M594:M596"/>
    <mergeCell ref="M591:M593"/>
    <mergeCell ref="W535:W537"/>
    <mergeCell ref="X535:X537"/>
    <mergeCell ref="N566:N568"/>
    <mergeCell ref="O566:O568"/>
    <mergeCell ref="P566:P568"/>
    <mergeCell ref="Q566:Q568"/>
    <mergeCell ref="R566:R568"/>
    <mergeCell ref="S566:S568"/>
    <mergeCell ref="T566:T568"/>
    <mergeCell ref="U566:U568"/>
    <mergeCell ref="V566:V568"/>
    <mergeCell ref="Q569:Q571"/>
    <mergeCell ref="R569:R571"/>
    <mergeCell ref="S569:S571"/>
    <mergeCell ref="T569:T571"/>
    <mergeCell ref="U569:U571"/>
    <mergeCell ref="Q563:Q565"/>
    <mergeCell ref="W563:W565"/>
    <mergeCell ref="X563:X565"/>
    <mergeCell ref="N560:N562"/>
    <mergeCell ref="O560:O562"/>
    <mergeCell ref="W560:W562"/>
    <mergeCell ref="X560:X562"/>
    <mergeCell ref="W566:W568"/>
    <mergeCell ref="X566:X568"/>
    <mergeCell ref="X569:X571"/>
    <mergeCell ref="Y569:Y571"/>
    <mergeCell ref="Q560:Q562"/>
    <mergeCell ref="R560:R562"/>
    <mergeCell ref="S560:S562"/>
    <mergeCell ref="L523:L525"/>
    <mergeCell ref="H505:H507"/>
    <mergeCell ref="I505:I507"/>
    <mergeCell ref="J505:J507"/>
    <mergeCell ref="K505:K507"/>
    <mergeCell ref="L505:L507"/>
    <mergeCell ref="M505:M507"/>
    <mergeCell ref="N505:N507"/>
    <mergeCell ref="O505:O507"/>
    <mergeCell ref="P505:P507"/>
    <mergeCell ref="Q505:Q507"/>
    <mergeCell ref="R505:R507"/>
    <mergeCell ref="S505:S507"/>
    <mergeCell ref="J529:J531"/>
    <mergeCell ref="K529:K531"/>
    <mergeCell ref="L529:L531"/>
    <mergeCell ref="M529:M531"/>
    <mergeCell ref="N529:N531"/>
    <mergeCell ref="O529:O531"/>
    <mergeCell ref="P529:P531"/>
    <mergeCell ref="Q529:Q531"/>
    <mergeCell ref="W529:W531"/>
    <mergeCell ref="X529:X531"/>
    <mergeCell ref="Y532:Y534"/>
    <mergeCell ref="K560:K562"/>
    <mergeCell ref="N526:N528"/>
    <mergeCell ref="O526:O528"/>
    <mergeCell ref="Z532:Z534"/>
    <mergeCell ref="AA532:AA534"/>
    <mergeCell ref="K532:K534"/>
    <mergeCell ref="L532:L534"/>
    <mergeCell ref="T535:T537"/>
    <mergeCell ref="M532:M534"/>
    <mergeCell ref="M502:M504"/>
    <mergeCell ref="N502:N504"/>
    <mergeCell ref="O502:O504"/>
    <mergeCell ref="P502:P504"/>
    <mergeCell ref="Q502:Q504"/>
    <mergeCell ref="R502:R504"/>
    <mergeCell ref="S502:S504"/>
    <mergeCell ref="T502:T504"/>
    <mergeCell ref="U502:U504"/>
    <mergeCell ref="V502:V504"/>
    <mergeCell ref="W502:W504"/>
    <mergeCell ref="M523:M525"/>
    <mergeCell ref="N523:N525"/>
    <mergeCell ref="O523:O525"/>
    <mergeCell ref="P523:P525"/>
    <mergeCell ref="Q523:Q525"/>
    <mergeCell ref="R523:R525"/>
    <mergeCell ref="S523:S525"/>
    <mergeCell ref="T523:T525"/>
    <mergeCell ref="U523:U525"/>
    <mergeCell ref="V523:V525"/>
    <mergeCell ref="W523:W525"/>
    <mergeCell ref="W505:W507"/>
    <mergeCell ref="K526:K528"/>
    <mergeCell ref="L526:L528"/>
    <mergeCell ref="M526:M528"/>
    <mergeCell ref="M493:M495"/>
    <mergeCell ref="N493:N495"/>
    <mergeCell ref="O493:O495"/>
    <mergeCell ref="P493:P495"/>
    <mergeCell ref="Q493:Q495"/>
    <mergeCell ref="R493:R495"/>
    <mergeCell ref="S493:S495"/>
    <mergeCell ref="M499:M501"/>
    <mergeCell ref="N499:N501"/>
    <mergeCell ref="O499:O501"/>
    <mergeCell ref="P499:P501"/>
    <mergeCell ref="Q499:Q501"/>
    <mergeCell ref="R496:R498"/>
    <mergeCell ref="S496:S498"/>
    <mergeCell ref="T496:T498"/>
    <mergeCell ref="U496:U498"/>
    <mergeCell ref="V496:V498"/>
    <mergeCell ref="J470:J472"/>
    <mergeCell ref="K470:K472"/>
    <mergeCell ref="L470:L472"/>
    <mergeCell ref="J490:J492"/>
    <mergeCell ref="K490:K492"/>
    <mergeCell ref="L490:L492"/>
    <mergeCell ref="M490:M492"/>
    <mergeCell ref="N490:N492"/>
    <mergeCell ref="O490:O492"/>
    <mergeCell ref="P490:P492"/>
    <mergeCell ref="Q490:Q492"/>
    <mergeCell ref="R490:R492"/>
    <mergeCell ref="S490:S492"/>
    <mergeCell ref="K464:K466"/>
    <mergeCell ref="F464:F466"/>
    <mergeCell ref="G464:G466"/>
    <mergeCell ref="H464:H466"/>
    <mergeCell ref="I464:I466"/>
    <mergeCell ref="R464:R466"/>
    <mergeCell ref="P464:P466"/>
    <mergeCell ref="Q464:Q466"/>
    <mergeCell ref="F467:F469"/>
    <mergeCell ref="G467:G469"/>
    <mergeCell ref="H467:H469"/>
    <mergeCell ref="I467:I469"/>
    <mergeCell ref="J467:J469"/>
    <mergeCell ref="K467:K469"/>
    <mergeCell ref="L467:L469"/>
    <mergeCell ref="R467:R469"/>
    <mergeCell ref="J464:J466"/>
    <mergeCell ref="N467:N469"/>
    <mergeCell ref="E470:E472"/>
    <mergeCell ref="F470:F472"/>
    <mergeCell ref="G470:G472"/>
    <mergeCell ref="M470:M472"/>
    <mergeCell ref="N470:N472"/>
    <mergeCell ref="O470:O472"/>
    <mergeCell ref="P470:P472"/>
    <mergeCell ref="Q470:Q472"/>
    <mergeCell ref="R470:R472"/>
    <mergeCell ref="A441:A443"/>
    <mergeCell ref="B441:B443"/>
    <mergeCell ref="G441:G443"/>
    <mergeCell ref="W461:W463"/>
    <mergeCell ref="X461:X463"/>
    <mergeCell ref="Y461:Y463"/>
    <mergeCell ref="O467:O469"/>
    <mergeCell ref="P467:P469"/>
    <mergeCell ref="Q467:Q469"/>
    <mergeCell ref="F458:F460"/>
    <mergeCell ref="P458:P460"/>
    <mergeCell ref="Q458:Q460"/>
    <mergeCell ref="R458:R460"/>
    <mergeCell ref="S458:S460"/>
    <mergeCell ref="T458:T460"/>
    <mergeCell ref="U458:U460"/>
    <mergeCell ref="V458:V460"/>
    <mergeCell ref="L464:L466"/>
    <mergeCell ref="M464:M466"/>
    <mergeCell ref="N464:N466"/>
    <mergeCell ref="O464:O466"/>
    <mergeCell ref="H470:H472"/>
    <mergeCell ref="I470:I472"/>
    <mergeCell ref="L441:L443"/>
    <mergeCell ref="M441:M443"/>
    <mergeCell ref="N441:N443"/>
    <mergeCell ref="O441:O443"/>
    <mergeCell ref="P441:P443"/>
    <mergeCell ref="Q441:Q443"/>
    <mergeCell ref="R441:R443"/>
    <mergeCell ref="S441:S443"/>
    <mergeCell ref="T441:T443"/>
    <mergeCell ref="Z461:Z463"/>
    <mergeCell ref="C461:C463"/>
    <mergeCell ref="D461:D463"/>
    <mergeCell ref="E461:E463"/>
    <mergeCell ref="F461:F463"/>
    <mergeCell ref="G461:G463"/>
    <mergeCell ref="H461:H463"/>
    <mergeCell ref="I461:I463"/>
    <mergeCell ref="J461:J463"/>
    <mergeCell ref="K461:K463"/>
    <mergeCell ref="L461:L463"/>
    <mergeCell ref="M461:M463"/>
    <mergeCell ref="N461:N463"/>
    <mergeCell ref="O461:O463"/>
    <mergeCell ref="P461:P463"/>
    <mergeCell ref="Q461:Q463"/>
    <mergeCell ref="R461:R463"/>
    <mergeCell ref="S461:S463"/>
    <mergeCell ref="E458:E460"/>
    <mergeCell ref="M458:M460"/>
    <mergeCell ref="N458:N460"/>
    <mergeCell ref="O458:O460"/>
    <mergeCell ref="T432:T434"/>
    <mergeCell ref="U432:U434"/>
    <mergeCell ref="V432:V434"/>
    <mergeCell ref="T429:T431"/>
    <mergeCell ref="U429:U431"/>
    <mergeCell ref="V429:V431"/>
    <mergeCell ref="F426:F428"/>
    <mergeCell ref="G426:G428"/>
    <mergeCell ref="H426:H428"/>
    <mergeCell ref="W429:W431"/>
    <mergeCell ref="X429:X431"/>
    <mergeCell ref="Y429:Y431"/>
    <mergeCell ref="R426:R428"/>
    <mergeCell ref="T426:T428"/>
    <mergeCell ref="J435:J437"/>
    <mergeCell ref="K435:K437"/>
    <mergeCell ref="L435:L437"/>
    <mergeCell ref="R435:R437"/>
    <mergeCell ref="S435:S437"/>
    <mergeCell ref="T435:T437"/>
    <mergeCell ref="M435:M437"/>
    <mergeCell ref="N435:N437"/>
    <mergeCell ref="O435:O437"/>
    <mergeCell ref="P435:P437"/>
    <mergeCell ref="I435:I437"/>
    <mergeCell ref="M429:M431"/>
    <mergeCell ref="N429:N431"/>
    <mergeCell ref="O429:O431"/>
    <mergeCell ref="P429:P431"/>
    <mergeCell ref="Q429:Q431"/>
    <mergeCell ref="R429:R431"/>
    <mergeCell ref="S429:S431"/>
    <mergeCell ref="C438:C440"/>
    <mergeCell ref="D438:D440"/>
    <mergeCell ref="E438:E440"/>
    <mergeCell ref="F438:F440"/>
    <mergeCell ref="G438:G440"/>
    <mergeCell ref="M438:M440"/>
    <mergeCell ref="N438:N440"/>
    <mergeCell ref="O438:O440"/>
    <mergeCell ref="P438:P440"/>
    <mergeCell ref="Q438:Q440"/>
    <mergeCell ref="R438:R440"/>
    <mergeCell ref="S438:S440"/>
    <mergeCell ref="T438:T440"/>
    <mergeCell ref="U438:U440"/>
    <mergeCell ref="V438:V440"/>
    <mergeCell ref="C435:C437"/>
    <mergeCell ref="D435:D437"/>
    <mergeCell ref="E435:E437"/>
    <mergeCell ref="F435:F437"/>
    <mergeCell ref="I438:I440"/>
    <mergeCell ref="J438:J440"/>
    <mergeCell ref="K438:K440"/>
    <mergeCell ref="L438:L440"/>
    <mergeCell ref="G435:G437"/>
    <mergeCell ref="H435:H437"/>
    <mergeCell ref="C432:C434"/>
    <mergeCell ref="D432:D434"/>
    <mergeCell ref="E432:E434"/>
    <mergeCell ref="F432:F434"/>
    <mergeCell ref="G432:G434"/>
    <mergeCell ref="H432:H434"/>
    <mergeCell ref="I432:I434"/>
    <mergeCell ref="J432:J434"/>
    <mergeCell ref="K432:K434"/>
    <mergeCell ref="L432:L434"/>
    <mergeCell ref="M432:M434"/>
    <mergeCell ref="N432:N434"/>
    <mergeCell ref="O432:O434"/>
    <mergeCell ref="P432:P434"/>
    <mergeCell ref="K429:K431"/>
    <mergeCell ref="L429:L431"/>
    <mergeCell ref="G403:G405"/>
    <mergeCell ref="H403:H405"/>
    <mergeCell ref="I403:I405"/>
    <mergeCell ref="J403:J405"/>
    <mergeCell ref="K403:K405"/>
    <mergeCell ref="L403:L405"/>
    <mergeCell ref="I426:I428"/>
    <mergeCell ref="J426:J428"/>
    <mergeCell ref="K426:K428"/>
    <mergeCell ref="L426:L428"/>
    <mergeCell ref="I409:I411"/>
    <mergeCell ref="C406:C408"/>
    <mergeCell ref="C409:C411"/>
    <mergeCell ref="D409:D411"/>
    <mergeCell ref="E409:E411"/>
    <mergeCell ref="F409:F411"/>
    <mergeCell ref="P406:P408"/>
    <mergeCell ref="Q406:Q408"/>
    <mergeCell ref="R406:R408"/>
    <mergeCell ref="S406:S408"/>
    <mergeCell ref="J409:J411"/>
    <mergeCell ref="K409:K411"/>
    <mergeCell ref="L409:L411"/>
    <mergeCell ref="M409:M411"/>
    <mergeCell ref="M426:M428"/>
    <mergeCell ref="N426:N428"/>
    <mergeCell ref="O426:O428"/>
    <mergeCell ref="P426:P428"/>
    <mergeCell ref="Q426:Q428"/>
    <mergeCell ref="S426:S428"/>
    <mergeCell ref="Y426:Y428"/>
    <mergeCell ref="U426:U428"/>
    <mergeCell ref="W409:W411"/>
    <mergeCell ref="X409:X411"/>
    <mergeCell ref="G409:G411"/>
    <mergeCell ref="R409:R411"/>
    <mergeCell ref="S409:S411"/>
    <mergeCell ref="U409:U411"/>
    <mergeCell ref="T409:T411"/>
    <mergeCell ref="H409:H411"/>
    <mergeCell ref="AB397:AB399"/>
    <mergeCell ref="T397:T399"/>
    <mergeCell ref="U397:U399"/>
    <mergeCell ref="V397:V399"/>
    <mergeCell ref="Y400:Y402"/>
    <mergeCell ref="Z400:Z402"/>
    <mergeCell ref="AA400:AA402"/>
    <mergeCell ref="AB400:AB402"/>
    <mergeCell ref="Z403:Z405"/>
    <mergeCell ref="AA403:AA405"/>
    <mergeCell ref="AB403:AB405"/>
    <mergeCell ref="Q409:Q411"/>
    <mergeCell ref="H406:H408"/>
    <mergeCell ref="I406:I408"/>
    <mergeCell ref="J406:J408"/>
    <mergeCell ref="K406:K408"/>
    <mergeCell ref="L406:L408"/>
    <mergeCell ref="T406:T408"/>
    <mergeCell ref="U406:U408"/>
    <mergeCell ref="V406:V408"/>
    <mergeCell ref="W406:W408"/>
    <mergeCell ref="X406:X408"/>
    <mergeCell ref="W403:W405"/>
    <mergeCell ref="X403:X405"/>
    <mergeCell ref="R403:R405"/>
    <mergeCell ref="S403:S405"/>
    <mergeCell ref="D397:D399"/>
    <mergeCell ref="E397:E399"/>
    <mergeCell ref="F397:F399"/>
    <mergeCell ref="G397:G399"/>
    <mergeCell ref="H397:H399"/>
    <mergeCell ref="I397:I399"/>
    <mergeCell ref="J397:J399"/>
    <mergeCell ref="K397:K399"/>
    <mergeCell ref="L397:L399"/>
    <mergeCell ref="Y409:Y411"/>
    <mergeCell ref="Z409:Z411"/>
    <mergeCell ref="AA409:AA411"/>
    <mergeCell ref="AB409:AB411"/>
    <mergeCell ref="E400:E402"/>
    <mergeCell ref="F400:F402"/>
    <mergeCell ref="G400:G402"/>
    <mergeCell ref="H400:H402"/>
    <mergeCell ref="I400:I402"/>
    <mergeCell ref="J400:J402"/>
    <mergeCell ref="K400:K402"/>
    <mergeCell ref="L400:L402"/>
    <mergeCell ref="M400:M402"/>
    <mergeCell ref="N400:N402"/>
    <mergeCell ref="O400:O402"/>
    <mergeCell ref="P400:P402"/>
    <mergeCell ref="Q400:Q402"/>
    <mergeCell ref="D406:D408"/>
    <mergeCell ref="E406:E408"/>
    <mergeCell ref="F406:F408"/>
    <mergeCell ref="N409:N411"/>
    <mergeCell ref="O409:O411"/>
    <mergeCell ref="P409:P411"/>
    <mergeCell ref="Y403:Y405"/>
    <mergeCell ref="W397:W399"/>
    <mergeCell ref="X397:X399"/>
    <mergeCell ref="W400:W402"/>
    <mergeCell ref="X400:X402"/>
    <mergeCell ref="T394:T396"/>
    <mergeCell ref="Z397:Z399"/>
    <mergeCell ref="AA397:AA399"/>
    <mergeCell ref="R400:R402"/>
    <mergeCell ref="S400:S402"/>
    <mergeCell ref="T400:T402"/>
    <mergeCell ref="U400:U402"/>
    <mergeCell ref="V400:V402"/>
    <mergeCell ref="M403:M405"/>
    <mergeCell ref="N403:N405"/>
    <mergeCell ref="O403:O405"/>
    <mergeCell ref="P403:P405"/>
    <mergeCell ref="Q403:Q405"/>
    <mergeCell ref="T403:T405"/>
    <mergeCell ref="R394:R396"/>
    <mergeCell ref="S394:S396"/>
    <mergeCell ref="U403:U405"/>
    <mergeCell ref="V403:V405"/>
    <mergeCell ref="AB365:AB367"/>
    <mergeCell ref="AB368:AB370"/>
    <mergeCell ref="AA368:AA370"/>
    <mergeCell ref="W362:W364"/>
    <mergeCell ref="X362:X364"/>
    <mergeCell ref="Y362:Y364"/>
    <mergeCell ref="Z362:Z364"/>
    <mergeCell ref="AA362:AA364"/>
    <mergeCell ref="G371:G373"/>
    <mergeCell ref="V394:V396"/>
    <mergeCell ref="W394:W396"/>
    <mergeCell ref="X394:X396"/>
    <mergeCell ref="Y394:Y396"/>
    <mergeCell ref="Z394:Z396"/>
    <mergeCell ref="AA394:AA396"/>
    <mergeCell ref="AB374:AB376"/>
    <mergeCell ref="Y374:Y376"/>
    <mergeCell ref="AB371:AB373"/>
    <mergeCell ref="M377:M379"/>
    <mergeCell ref="N377:N379"/>
    <mergeCell ref="O377:O379"/>
    <mergeCell ref="P377:P379"/>
    <mergeCell ref="Q377:Q379"/>
    <mergeCell ref="R377:R379"/>
    <mergeCell ref="S377:S379"/>
    <mergeCell ref="T377:T379"/>
    <mergeCell ref="Y377:Y379"/>
    <mergeCell ref="U377:U379"/>
    <mergeCell ref="V377:V379"/>
    <mergeCell ref="W377:W379"/>
    <mergeCell ref="Z377:Z379"/>
    <mergeCell ref="Z374:Z376"/>
    <mergeCell ref="AA374:AA376"/>
    <mergeCell ref="Z342:Z344"/>
    <mergeCell ref="AA342:AA344"/>
    <mergeCell ref="V342:V344"/>
    <mergeCell ref="W342:W344"/>
    <mergeCell ref="X342:X344"/>
    <mergeCell ref="W330:W332"/>
    <mergeCell ref="X330:X332"/>
    <mergeCell ref="Y330:Y332"/>
    <mergeCell ref="B345:B347"/>
    <mergeCell ref="T345:T347"/>
    <mergeCell ref="U345:U347"/>
    <mergeCell ref="S345:S347"/>
    <mergeCell ref="Y365:Y367"/>
    <mergeCell ref="C365:C367"/>
    <mergeCell ref="D365:D367"/>
    <mergeCell ref="E365:E367"/>
    <mergeCell ref="F365:F367"/>
    <mergeCell ref="G365:G367"/>
    <mergeCell ref="P345:P347"/>
    <mergeCell ref="N362:N364"/>
    <mergeCell ref="O362:O364"/>
    <mergeCell ref="Y345:Y347"/>
    <mergeCell ref="P362:P364"/>
    <mergeCell ref="A356:AF356"/>
    <mergeCell ref="A357:AF357"/>
    <mergeCell ref="A365:A367"/>
    <mergeCell ref="A345:A347"/>
    <mergeCell ref="AB345:AB347"/>
    <mergeCell ref="AB362:AB364"/>
    <mergeCell ref="B362:B364"/>
    <mergeCell ref="T365:T367"/>
    <mergeCell ref="U365:U367"/>
    <mergeCell ref="C345:C347"/>
    <mergeCell ref="D345:D347"/>
    <mergeCell ref="P336:P338"/>
    <mergeCell ref="Q336:Q338"/>
    <mergeCell ref="M336:M338"/>
    <mergeCell ref="N336:N338"/>
    <mergeCell ref="O336:O338"/>
    <mergeCell ref="M362:M364"/>
    <mergeCell ref="L342:L344"/>
    <mergeCell ref="W365:W367"/>
    <mergeCell ref="X365:X367"/>
    <mergeCell ref="Q365:Q367"/>
    <mergeCell ref="Y342:Y344"/>
    <mergeCell ref="W368:W370"/>
    <mergeCell ref="X368:X370"/>
    <mergeCell ref="M365:M367"/>
    <mergeCell ref="N365:N367"/>
    <mergeCell ref="O365:O367"/>
    <mergeCell ref="P365:P367"/>
    <mergeCell ref="X339:X341"/>
    <mergeCell ref="V365:V367"/>
    <mergeCell ref="L368:L370"/>
    <mergeCell ref="L365:L367"/>
    <mergeCell ref="L362:L364"/>
    <mergeCell ref="H339:H341"/>
    <mergeCell ref="N339:N341"/>
    <mergeCell ref="O339:O341"/>
    <mergeCell ref="P339:P341"/>
    <mergeCell ref="Q339:Q341"/>
    <mergeCell ref="AB336:AB338"/>
    <mergeCell ref="AB339:AB341"/>
    <mergeCell ref="AB342:AB344"/>
    <mergeCell ref="Y336:Y338"/>
    <mergeCell ref="Z336:Z338"/>
    <mergeCell ref="AA336:AA338"/>
    <mergeCell ref="Z339:Z341"/>
    <mergeCell ref="AA339:AA341"/>
    <mergeCell ref="I368:I370"/>
    <mergeCell ref="Z304:Z306"/>
    <mergeCell ref="Z301:Z303"/>
    <mergeCell ref="AA301:AA303"/>
    <mergeCell ref="R304:R306"/>
    <mergeCell ref="S304:S306"/>
    <mergeCell ref="T304:T306"/>
    <mergeCell ref="U304:U306"/>
    <mergeCell ref="V304:V306"/>
    <mergeCell ref="M342:M344"/>
    <mergeCell ref="N342:N344"/>
    <mergeCell ref="O342:O344"/>
    <mergeCell ref="P342:P344"/>
    <mergeCell ref="Q342:Q344"/>
    <mergeCell ref="R342:R344"/>
    <mergeCell ref="S342:S344"/>
    <mergeCell ref="T342:T344"/>
    <mergeCell ref="U342:U344"/>
    <mergeCell ref="T339:T341"/>
    <mergeCell ref="U339:U341"/>
    <mergeCell ref="V339:V341"/>
    <mergeCell ref="W339:W341"/>
    <mergeCell ref="R313:R315"/>
    <mergeCell ref="S313:S315"/>
    <mergeCell ref="H275:H277"/>
    <mergeCell ref="J278:J280"/>
    <mergeCell ref="K278:K280"/>
    <mergeCell ref="L278:L280"/>
    <mergeCell ref="C281:C283"/>
    <mergeCell ref="C307:C309"/>
    <mergeCell ref="D307:D309"/>
    <mergeCell ref="E307:E309"/>
    <mergeCell ref="F307:F309"/>
    <mergeCell ref="G307:G309"/>
    <mergeCell ref="H307:H309"/>
    <mergeCell ref="I307:I309"/>
    <mergeCell ref="J307:J309"/>
    <mergeCell ref="Y307:Y309"/>
    <mergeCell ref="Z310:Z312"/>
    <mergeCell ref="AA310:AA312"/>
    <mergeCell ref="U301:U303"/>
    <mergeCell ref="V301:V303"/>
    <mergeCell ref="M307:M309"/>
    <mergeCell ref="N307:N309"/>
    <mergeCell ref="O307:O309"/>
    <mergeCell ref="P307:P309"/>
    <mergeCell ref="Q307:Q309"/>
    <mergeCell ref="C301:C303"/>
    <mergeCell ref="D301:D303"/>
    <mergeCell ref="E301:E303"/>
    <mergeCell ref="F301:F303"/>
    <mergeCell ref="G301:G303"/>
    <mergeCell ref="H301:H303"/>
    <mergeCell ref="I301:I303"/>
    <mergeCell ref="K307:K309"/>
    <mergeCell ref="L307:L309"/>
    <mergeCell ref="K301:K303"/>
    <mergeCell ref="L301:L303"/>
    <mergeCell ref="M301:M303"/>
    <mergeCell ref="N301:N303"/>
    <mergeCell ref="O301:O303"/>
    <mergeCell ref="P301:P303"/>
    <mergeCell ref="M275:M277"/>
    <mergeCell ref="S272:S274"/>
    <mergeCell ref="N275:N277"/>
    <mergeCell ref="L281:L283"/>
    <mergeCell ref="O298:O300"/>
    <mergeCell ref="P298:P300"/>
    <mergeCell ref="G281:G283"/>
    <mergeCell ref="D278:D280"/>
    <mergeCell ref="E278:E280"/>
    <mergeCell ref="C278:C280"/>
    <mergeCell ref="M298:M300"/>
    <mergeCell ref="N298:N300"/>
    <mergeCell ref="H278:H280"/>
    <mergeCell ref="I278:I280"/>
    <mergeCell ref="S301:S303"/>
    <mergeCell ref="E272:E274"/>
    <mergeCell ref="F272:F274"/>
    <mergeCell ref="G272:G274"/>
    <mergeCell ref="F278:F280"/>
    <mergeCell ref="G278:G280"/>
    <mergeCell ref="P272:P274"/>
    <mergeCell ref="Q272:Q274"/>
    <mergeCell ref="Q301:Q303"/>
    <mergeCell ref="H281:H283"/>
    <mergeCell ref="I281:I283"/>
    <mergeCell ref="K298:K300"/>
    <mergeCell ref="O269:O271"/>
    <mergeCell ref="Z330:Z332"/>
    <mergeCell ref="T307:T309"/>
    <mergeCell ref="U307:U309"/>
    <mergeCell ref="V307:V309"/>
    <mergeCell ref="W307:W309"/>
    <mergeCell ref="X307:X309"/>
    <mergeCell ref="T269:T271"/>
    <mergeCell ref="U269:U271"/>
    <mergeCell ref="V269:V271"/>
    <mergeCell ref="L272:L274"/>
    <mergeCell ref="M272:M274"/>
    <mergeCell ref="N272:N274"/>
    <mergeCell ref="O272:O274"/>
    <mergeCell ref="M269:M271"/>
    <mergeCell ref="N269:N271"/>
    <mergeCell ref="M278:M280"/>
    <mergeCell ref="M313:M315"/>
    <mergeCell ref="P310:P312"/>
    <mergeCell ref="Q310:Q312"/>
    <mergeCell ref="R310:R312"/>
    <mergeCell ref="L298:L300"/>
    <mergeCell ref="N330:N332"/>
    <mergeCell ref="O330:O332"/>
    <mergeCell ref="P330:P332"/>
    <mergeCell ref="Q330:Q332"/>
    <mergeCell ref="R330:R332"/>
    <mergeCell ref="P313:P315"/>
    <mergeCell ref="A292:AF292"/>
    <mergeCell ref="A293:AF293"/>
    <mergeCell ref="C298:C300"/>
    <mergeCell ref="D298:D300"/>
    <mergeCell ref="Z237:Z239"/>
    <mergeCell ref="Z269:Z271"/>
    <mergeCell ref="AA269:AA271"/>
    <mergeCell ref="N278:N280"/>
    <mergeCell ref="O278:O280"/>
    <mergeCell ref="P278:P280"/>
    <mergeCell ref="P269:P271"/>
    <mergeCell ref="Q269:Q271"/>
    <mergeCell ref="R269:R271"/>
    <mergeCell ref="S269:S271"/>
    <mergeCell ref="X266:X268"/>
    <mergeCell ref="A260:AF260"/>
    <mergeCell ref="A261:AF261"/>
    <mergeCell ref="A258:AF258"/>
    <mergeCell ref="F266:F268"/>
    <mergeCell ref="G266:G268"/>
    <mergeCell ref="AB266:AB268"/>
    <mergeCell ref="Q266:Q268"/>
    <mergeCell ref="AB249:AB251"/>
    <mergeCell ref="D240:D242"/>
    <mergeCell ref="E240:E242"/>
    <mergeCell ref="F240:F242"/>
    <mergeCell ref="A243:A245"/>
    <mergeCell ref="B243:B245"/>
    <mergeCell ref="A246:A248"/>
    <mergeCell ref="B246:B248"/>
    <mergeCell ref="A249:A251"/>
    <mergeCell ref="A278:A280"/>
    <mergeCell ref="C266:C268"/>
    <mergeCell ref="D266:D268"/>
    <mergeCell ref="E266:E268"/>
    <mergeCell ref="G269:G271"/>
    <mergeCell ref="Z234:Z236"/>
    <mergeCell ref="W249:W251"/>
    <mergeCell ref="X249:X251"/>
    <mergeCell ref="O266:O268"/>
    <mergeCell ref="P266:P268"/>
    <mergeCell ref="W266:W268"/>
    <mergeCell ref="B266:B268"/>
    <mergeCell ref="B249:B251"/>
    <mergeCell ref="AA214:AA216"/>
    <mergeCell ref="W217:W219"/>
    <mergeCell ref="X217:X219"/>
    <mergeCell ref="Y217:Y219"/>
    <mergeCell ref="E217:E219"/>
    <mergeCell ref="G240:G242"/>
    <mergeCell ref="H240:H242"/>
    <mergeCell ref="I240:I242"/>
    <mergeCell ref="J240:J242"/>
    <mergeCell ref="K240:K242"/>
    <mergeCell ref="L240:L242"/>
    <mergeCell ref="M240:M242"/>
    <mergeCell ref="N240:N242"/>
    <mergeCell ref="O240:O242"/>
    <mergeCell ref="P240:P242"/>
    <mergeCell ref="Q240:Q242"/>
    <mergeCell ref="E237:E239"/>
    <mergeCell ref="F237:F239"/>
    <mergeCell ref="G237:G239"/>
    <mergeCell ref="H237:H239"/>
    <mergeCell ref="E234:E236"/>
    <mergeCell ref="F234:F236"/>
    <mergeCell ref="Z214:Z216"/>
    <mergeCell ref="D237:D239"/>
    <mergeCell ref="Z217:Z219"/>
    <mergeCell ref="R240:R242"/>
    <mergeCell ref="S240:S242"/>
    <mergeCell ref="T240:T242"/>
    <mergeCell ref="T217:T219"/>
    <mergeCell ref="U217:U219"/>
    <mergeCell ref="V217:V219"/>
    <mergeCell ref="S217:S219"/>
    <mergeCell ref="Y214:Y216"/>
    <mergeCell ref="Q217:Q219"/>
    <mergeCell ref="R217:R219"/>
    <mergeCell ref="Y237:Y239"/>
    <mergeCell ref="AA234:AA236"/>
    <mergeCell ref="F217:F219"/>
    <mergeCell ref="G217:G219"/>
    <mergeCell ref="W237:W239"/>
    <mergeCell ref="X237:X239"/>
    <mergeCell ref="G234:G236"/>
    <mergeCell ref="O234:O236"/>
    <mergeCell ref="P234:P236"/>
    <mergeCell ref="Q234:Q236"/>
    <mergeCell ref="R234:R236"/>
    <mergeCell ref="S234:S236"/>
    <mergeCell ref="AA217:AA219"/>
    <mergeCell ref="T234:T236"/>
    <mergeCell ref="U234:U236"/>
    <mergeCell ref="V234:V236"/>
    <mergeCell ref="W234:W236"/>
    <mergeCell ref="X234:X236"/>
    <mergeCell ref="F214:F216"/>
    <mergeCell ref="G214:G216"/>
    <mergeCell ref="Y234:Y236"/>
    <mergeCell ref="C208:C210"/>
    <mergeCell ref="D208:D210"/>
    <mergeCell ref="A234:A236"/>
    <mergeCell ref="B234:B236"/>
    <mergeCell ref="T214:T216"/>
    <mergeCell ref="U214:U216"/>
    <mergeCell ref="V214:V216"/>
    <mergeCell ref="W214:W216"/>
    <mergeCell ref="X214:X216"/>
    <mergeCell ref="A240:A242"/>
    <mergeCell ref="B240:B242"/>
    <mergeCell ref="P237:P239"/>
    <mergeCell ref="R237:R239"/>
    <mergeCell ref="H217:H219"/>
    <mergeCell ref="I217:I219"/>
    <mergeCell ref="J217:J219"/>
    <mergeCell ref="K217:K219"/>
    <mergeCell ref="L217:L219"/>
    <mergeCell ref="M217:M219"/>
    <mergeCell ref="N217:N219"/>
    <mergeCell ref="O217:O219"/>
    <mergeCell ref="P217:P219"/>
    <mergeCell ref="M214:M216"/>
    <mergeCell ref="N214:N216"/>
    <mergeCell ref="O214:O216"/>
    <mergeCell ref="P214:P216"/>
    <mergeCell ref="Q214:Q216"/>
    <mergeCell ref="R214:R216"/>
    <mergeCell ref="S214:S216"/>
    <mergeCell ref="L234:L236"/>
    <mergeCell ref="M234:M236"/>
    <mergeCell ref="N234:N236"/>
    <mergeCell ref="C234:C236"/>
    <mergeCell ref="X208:X210"/>
    <mergeCell ref="E208:E210"/>
    <mergeCell ref="C240:C242"/>
    <mergeCell ref="C205:C207"/>
    <mergeCell ref="D205:D207"/>
    <mergeCell ref="E205:E207"/>
    <mergeCell ref="F205:F207"/>
    <mergeCell ref="G205:G207"/>
    <mergeCell ref="H205:H207"/>
    <mergeCell ref="I205:I207"/>
    <mergeCell ref="J205:J207"/>
    <mergeCell ref="K205:K207"/>
    <mergeCell ref="L205:L207"/>
    <mergeCell ref="M205:M207"/>
    <mergeCell ref="N205:N207"/>
    <mergeCell ref="O205:O207"/>
    <mergeCell ref="P205:P207"/>
    <mergeCell ref="Q205:Q207"/>
    <mergeCell ref="R205:R207"/>
    <mergeCell ref="F208:F210"/>
    <mergeCell ref="E214:E216"/>
    <mergeCell ref="C217:C219"/>
    <mergeCell ref="D217:D219"/>
    <mergeCell ref="D234:D236"/>
    <mergeCell ref="H234:H236"/>
    <mergeCell ref="I234:I236"/>
    <mergeCell ref="J234:J236"/>
    <mergeCell ref="V240:V242"/>
    <mergeCell ref="K234:K236"/>
    <mergeCell ref="W211:W213"/>
    <mergeCell ref="X211:X213"/>
    <mergeCell ref="X205:X207"/>
    <mergeCell ref="S185:S187"/>
    <mergeCell ref="T185:T187"/>
    <mergeCell ref="U185:U187"/>
    <mergeCell ref="V185:V187"/>
    <mergeCell ref="W185:W187"/>
    <mergeCell ref="X185:X187"/>
    <mergeCell ref="H202:H204"/>
    <mergeCell ref="P185:P187"/>
    <mergeCell ref="Q185:Q187"/>
    <mergeCell ref="R185:R187"/>
    <mergeCell ref="R202:R204"/>
    <mergeCell ref="Q208:Q210"/>
    <mergeCell ref="V208:V210"/>
    <mergeCell ref="W205:W207"/>
    <mergeCell ref="M185:M187"/>
    <mergeCell ref="N185:N187"/>
    <mergeCell ref="K208:K210"/>
    <mergeCell ref="L208:L210"/>
    <mergeCell ref="H208:H210"/>
    <mergeCell ref="I208:I210"/>
    <mergeCell ref="J208:J210"/>
    <mergeCell ref="K185:K187"/>
    <mergeCell ref="L185:L187"/>
    <mergeCell ref="O179:O181"/>
    <mergeCell ref="P179:P181"/>
    <mergeCell ref="Q179:Q181"/>
    <mergeCell ref="M153:M155"/>
    <mergeCell ref="N153:N155"/>
    <mergeCell ref="O153:O155"/>
    <mergeCell ref="X202:X204"/>
    <mergeCell ref="O202:O204"/>
    <mergeCell ref="P202:P204"/>
    <mergeCell ref="Q202:Q204"/>
    <mergeCell ref="P176:P178"/>
    <mergeCell ref="Q176:Q178"/>
    <mergeCell ref="H173:H175"/>
    <mergeCell ref="I173:I175"/>
    <mergeCell ref="M176:M178"/>
    <mergeCell ref="N176:N178"/>
    <mergeCell ref="O176:O178"/>
    <mergeCell ref="L202:L204"/>
    <mergeCell ref="M202:M204"/>
    <mergeCell ref="N202:N204"/>
    <mergeCell ref="H185:H187"/>
    <mergeCell ref="I170:I172"/>
    <mergeCell ref="I179:I181"/>
    <mergeCell ref="J179:J181"/>
    <mergeCell ref="K179:K181"/>
    <mergeCell ref="I202:I204"/>
    <mergeCell ref="J202:J204"/>
    <mergeCell ref="K202:K204"/>
    <mergeCell ref="K176:K178"/>
    <mergeCell ref="L176:L178"/>
    <mergeCell ref="I185:I187"/>
    <mergeCell ref="J185:J187"/>
    <mergeCell ref="W118:W120"/>
    <mergeCell ref="X118:X120"/>
    <mergeCell ref="H118:H120"/>
    <mergeCell ref="I118:I120"/>
    <mergeCell ref="J118:J120"/>
    <mergeCell ref="K118:K120"/>
    <mergeCell ref="L118:L120"/>
    <mergeCell ref="H144:H146"/>
    <mergeCell ref="I144:I146"/>
    <mergeCell ref="J144:J146"/>
    <mergeCell ref="K144:K146"/>
    <mergeCell ref="L144:L146"/>
    <mergeCell ref="N144:N146"/>
    <mergeCell ref="O144:O146"/>
    <mergeCell ref="P144:P146"/>
    <mergeCell ref="Q144:Q146"/>
    <mergeCell ref="W144:W146"/>
    <mergeCell ref="X144:X146"/>
    <mergeCell ref="K138:K140"/>
    <mergeCell ref="L138:L140"/>
    <mergeCell ref="M138:M140"/>
    <mergeCell ref="N138:N140"/>
    <mergeCell ref="O138:O140"/>
    <mergeCell ref="P138:P140"/>
    <mergeCell ref="Q138:Q140"/>
    <mergeCell ref="R138:R140"/>
    <mergeCell ref="J141:J143"/>
    <mergeCell ref="X141:X143"/>
    <mergeCell ref="D141:D143"/>
    <mergeCell ref="E141:E143"/>
    <mergeCell ref="F141:F143"/>
    <mergeCell ref="N150:N152"/>
    <mergeCell ref="O150:O152"/>
    <mergeCell ref="P150:P152"/>
    <mergeCell ref="Q150:Q152"/>
    <mergeCell ref="R150:R152"/>
    <mergeCell ref="S150:S152"/>
    <mergeCell ref="C144:C146"/>
    <mergeCell ref="D144:D146"/>
    <mergeCell ref="E144:E146"/>
    <mergeCell ref="F144:F146"/>
    <mergeCell ref="G144:G146"/>
    <mergeCell ref="AA121:AA123"/>
    <mergeCell ref="Y118:Y120"/>
    <mergeCell ref="K141:K143"/>
    <mergeCell ref="L141:L143"/>
    <mergeCell ref="M141:M143"/>
    <mergeCell ref="N141:N143"/>
    <mergeCell ref="O141:O143"/>
    <mergeCell ref="P141:P143"/>
    <mergeCell ref="Q141:Q143"/>
    <mergeCell ref="R141:R143"/>
    <mergeCell ref="S141:S143"/>
    <mergeCell ref="T141:T143"/>
    <mergeCell ref="U141:U143"/>
    <mergeCell ref="V141:V143"/>
    <mergeCell ref="S138:S140"/>
    <mergeCell ref="C141:C143"/>
    <mergeCell ref="H141:H143"/>
    <mergeCell ref="I141:I143"/>
    <mergeCell ref="C138:C140"/>
    <mergeCell ref="D138:D140"/>
    <mergeCell ref="E138:E140"/>
    <mergeCell ref="F138:F140"/>
    <mergeCell ref="G138:G140"/>
    <mergeCell ref="H138:H140"/>
    <mergeCell ref="I138:I140"/>
    <mergeCell ref="J138:J140"/>
    <mergeCell ref="G106:G108"/>
    <mergeCell ref="H106:H108"/>
    <mergeCell ref="I106:I108"/>
    <mergeCell ref="J106:J108"/>
    <mergeCell ref="K106:K108"/>
    <mergeCell ref="S115:S117"/>
    <mergeCell ref="G141:G143"/>
    <mergeCell ref="AA112:AA114"/>
    <mergeCell ref="Z118:Z120"/>
    <mergeCell ref="AA118:AA120"/>
    <mergeCell ref="Z141:Z143"/>
    <mergeCell ref="AA141:AA143"/>
    <mergeCell ref="S118:S120"/>
    <mergeCell ref="T118:T120"/>
    <mergeCell ref="U118:U120"/>
    <mergeCell ref="V118:V120"/>
    <mergeCell ref="C118:C120"/>
    <mergeCell ref="D118:D120"/>
    <mergeCell ref="E118:E120"/>
    <mergeCell ref="F118:F120"/>
    <mergeCell ref="G118:G120"/>
    <mergeCell ref="M118:M120"/>
    <mergeCell ref="N118:N120"/>
    <mergeCell ref="O118:O120"/>
    <mergeCell ref="E115:E117"/>
    <mergeCell ref="C112:C114"/>
    <mergeCell ref="D112:D114"/>
    <mergeCell ref="E112:E114"/>
    <mergeCell ref="F112:F114"/>
    <mergeCell ref="G112:G114"/>
    <mergeCell ref="H112:H114"/>
    <mergeCell ref="I112:I114"/>
    <mergeCell ref="J112:J114"/>
    <mergeCell ref="K112:K114"/>
    <mergeCell ref="L112:L114"/>
    <mergeCell ref="M112:M114"/>
    <mergeCell ref="N112:N114"/>
    <mergeCell ref="O112:O114"/>
    <mergeCell ref="P112:P114"/>
    <mergeCell ref="Q112:Q114"/>
    <mergeCell ref="C115:C117"/>
    <mergeCell ref="D115:D117"/>
    <mergeCell ref="F115:F117"/>
    <mergeCell ref="M115:M117"/>
    <mergeCell ref="N115:N117"/>
    <mergeCell ref="O115:O117"/>
    <mergeCell ref="P115:P117"/>
    <mergeCell ref="Q115:Q117"/>
    <mergeCell ref="L115:L117"/>
    <mergeCell ref="V89:V91"/>
    <mergeCell ref="W89:W91"/>
    <mergeCell ref="N86:N88"/>
    <mergeCell ref="O86:O88"/>
    <mergeCell ref="P86:P88"/>
    <mergeCell ref="Q86:Q88"/>
    <mergeCell ref="W106:W108"/>
    <mergeCell ref="X106:X108"/>
    <mergeCell ref="Z106:Z108"/>
    <mergeCell ref="AA106:AA108"/>
    <mergeCell ref="J115:J117"/>
    <mergeCell ref="K115:K117"/>
    <mergeCell ref="R115:R117"/>
    <mergeCell ref="AA109:AA111"/>
    <mergeCell ref="R112:R114"/>
    <mergeCell ref="S112:S114"/>
    <mergeCell ref="T112:T114"/>
    <mergeCell ref="U112:U114"/>
    <mergeCell ref="V112:V114"/>
    <mergeCell ref="H86:H88"/>
    <mergeCell ref="I86:I88"/>
    <mergeCell ref="J86:J88"/>
    <mergeCell ref="K86:K88"/>
    <mergeCell ref="L86:L88"/>
    <mergeCell ref="L106:L108"/>
    <mergeCell ref="M106:M108"/>
    <mergeCell ref="N106:N108"/>
    <mergeCell ref="O106:O108"/>
    <mergeCell ref="P106:P108"/>
    <mergeCell ref="Q106:Q108"/>
    <mergeCell ref="D77:D79"/>
    <mergeCell ref="E77:E79"/>
    <mergeCell ref="F77:F79"/>
    <mergeCell ref="G77:G79"/>
    <mergeCell ref="H77:H79"/>
    <mergeCell ref="I77:I79"/>
    <mergeCell ref="H89:H91"/>
    <mergeCell ref="I89:I91"/>
    <mergeCell ref="J89:J91"/>
    <mergeCell ref="K89:K91"/>
    <mergeCell ref="L89:L91"/>
    <mergeCell ref="M89:M91"/>
    <mergeCell ref="N89:N91"/>
    <mergeCell ref="O89:O91"/>
    <mergeCell ref="P89:P91"/>
    <mergeCell ref="Q89:Q91"/>
    <mergeCell ref="J77:J79"/>
    <mergeCell ref="K77:K79"/>
    <mergeCell ref="L77:L79"/>
    <mergeCell ref="M77:M79"/>
    <mergeCell ref="N77:N79"/>
    <mergeCell ref="C83:C85"/>
    <mergeCell ref="D83:D85"/>
    <mergeCell ref="E83:E85"/>
    <mergeCell ref="F83:F85"/>
    <mergeCell ref="G83:G85"/>
    <mergeCell ref="H83:H85"/>
    <mergeCell ref="I83:I85"/>
    <mergeCell ref="J83:J85"/>
    <mergeCell ref="K83:K85"/>
    <mergeCell ref="L83:L85"/>
    <mergeCell ref="P80:P82"/>
    <mergeCell ref="Q80:Q82"/>
    <mergeCell ref="G80:G82"/>
    <mergeCell ref="H80:H82"/>
    <mergeCell ref="I80:I82"/>
    <mergeCell ref="J80:J82"/>
    <mergeCell ref="C77:C79"/>
    <mergeCell ref="O83:O85"/>
    <mergeCell ref="P83:P85"/>
    <mergeCell ref="Q83:Q85"/>
    <mergeCell ref="C74:C76"/>
    <mergeCell ref="D74:D76"/>
    <mergeCell ref="E74:E76"/>
    <mergeCell ref="F74:F76"/>
    <mergeCell ref="G74:G76"/>
    <mergeCell ref="H74:H76"/>
    <mergeCell ref="I74:I76"/>
    <mergeCell ref="J74:J76"/>
    <mergeCell ref="K74:K76"/>
    <mergeCell ref="L74:L76"/>
    <mergeCell ref="O74:O76"/>
    <mergeCell ref="P74:P76"/>
    <mergeCell ref="C57:C59"/>
    <mergeCell ref="M57:M59"/>
    <mergeCell ref="N57:N59"/>
    <mergeCell ref="O77:O79"/>
    <mergeCell ref="P77:P79"/>
    <mergeCell ref="C45:C47"/>
    <mergeCell ref="D45:D47"/>
    <mergeCell ref="E45:E47"/>
    <mergeCell ref="D51:D53"/>
    <mergeCell ref="E51:E53"/>
    <mergeCell ref="AA26:AA28"/>
    <mergeCell ref="M26:M28"/>
    <mergeCell ref="Q23:Q25"/>
    <mergeCell ref="R23:R25"/>
    <mergeCell ref="S23:S25"/>
    <mergeCell ref="C48:C50"/>
    <mergeCell ref="T23:T25"/>
    <mergeCell ref="U23:U25"/>
    <mergeCell ref="V23:V25"/>
    <mergeCell ref="W23:W25"/>
    <mergeCell ref="X23:X25"/>
    <mergeCell ref="Y23:Y25"/>
    <mergeCell ref="Z23:Z25"/>
    <mergeCell ref="AA23:AA25"/>
    <mergeCell ref="C26:C28"/>
    <mergeCell ref="D26:D28"/>
    <mergeCell ref="E26:E28"/>
    <mergeCell ref="F26:F28"/>
    <mergeCell ref="G26:G28"/>
    <mergeCell ref="W45:W47"/>
    <mergeCell ref="I51:I53"/>
    <mergeCell ref="J51:J53"/>
    <mergeCell ref="K51:K53"/>
    <mergeCell ref="Y48:Y50"/>
    <mergeCell ref="Y45:Y47"/>
    <mergeCell ref="C51:C53"/>
    <mergeCell ref="F51:F53"/>
    <mergeCell ref="C11:C13"/>
    <mergeCell ref="D11:D13"/>
    <mergeCell ref="E11:E13"/>
    <mergeCell ref="F11:F13"/>
    <mergeCell ref="G11:G13"/>
    <mergeCell ref="H11:H13"/>
    <mergeCell ref="I11:I13"/>
    <mergeCell ref="J11:J13"/>
    <mergeCell ref="K11:K13"/>
    <mergeCell ref="L11:L13"/>
    <mergeCell ref="M11:M13"/>
    <mergeCell ref="N11:N13"/>
    <mergeCell ref="O11:O13"/>
    <mergeCell ref="P11:P13"/>
    <mergeCell ref="Q11:Q13"/>
    <mergeCell ref="D20:D22"/>
    <mergeCell ref="E20:E22"/>
    <mergeCell ref="M14:M16"/>
    <mergeCell ref="N14:N16"/>
    <mergeCell ref="T11:T13"/>
    <mergeCell ref="J14:J16"/>
    <mergeCell ref="K14:K16"/>
    <mergeCell ref="L14:L16"/>
    <mergeCell ref="U11:U13"/>
    <mergeCell ref="V11:V13"/>
    <mergeCell ref="W11:W13"/>
    <mergeCell ref="AA14:AA16"/>
    <mergeCell ref="S17:S19"/>
    <mergeCell ref="T17:T19"/>
    <mergeCell ref="U17:U19"/>
    <mergeCell ref="V17:V19"/>
    <mergeCell ref="M20:M22"/>
    <mergeCell ref="N20:N22"/>
    <mergeCell ref="O20:O22"/>
    <mergeCell ref="L17:L19"/>
    <mergeCell ref="M17:M19"/>
    <mergeCell ref="N17:N19"/>
    <mergeCell ref="O17:O19"/>
    <mergeCell ref="P17:P19"/>
    <mergeCell ref="Q17:Q19"/>
    <mergeCell ref="W17:W19"/>
    <mergeCell ref="X17:X19"/>
    <mergeCell ref="Y11:Y13"/>
    <mergeCell ref="Z11:Z13"/>
    <mergeCell ref="AA11:AA13"/>
    <mergeCell ref="R11:R13"/>
    <mergeCell ref="S11:S13"/>
    <mergeCell ref="Y20:Y22"/>
    <mergeCell ref="Z20:Z22"/>
    <mergeCell ref="W14:W16"/>
    <mergeCell ref="X14:X16"/>
    <mergeCell ref="A946:A948"/>
    <mergeCell ref="B946:B948"/>
    <mergeCell ref="V20:V22"/>
    <mergeCell ref="W20:W22"/>
    <mergeCell ref="X20:X22"/>
    <mergeCell ref="O14:O16"/>
    <mergeCell ref="P14:P16"/>
    <mergeCell ref="Q14:Q16"/>
    <mergeCell ref="R14:R16"/>
    <mergeCell ref="S14:S16"/>
    <mergeCell ref="T14:T16"/>
    <mergeCell ref="U14:U16"/>
    <mergeCell ref="V14:V16"/>
    <mergeCell ref="C17:C19"/>
    <mergeCell ref="D17:D19"/>
    <mergeCell ref="E17:E19"/>
    <mergeCell ref="F17:F19"/>
    <mergeCell ref="G17:G19"/>
    <mergeCell ref="H17:H19"/>
    <mergeCell ref="I17:I19"/>
    <mergeCell ref="J17:J19"/>
    <mergeCell ref="K17:K19"/>
    <mergeCell ref="C23:C25"/>
    <mergeCell ref="C20:C22"/>
    <mergeCell ref="A937:A939"/>
    <mergeCell ref="B937:B939"/>
    <mergeCell ref="A940:A942"/>
    <mergeCell ref="B940:B942"/>
    <mergeCell ref="A943:A945"/>
    <mergeCell ref="B943:B945"/>
    <mergeCell ref="G14:G16"/>
    <mergeCell ref="H14:H16"/>
    <mergeCell ref="A980:A982"/>
    <mergeCell ref="B980:B982"/>
    <mergeCell ref="A971:A973"/>
    <mergeCell ref="B971:B973"/>
    <mergeCell ref="A974:A976"/>
    <mergeCell ref="B974:B976"/>
    <mergeCell ref="A977:A979"/>
    <mergeCell ref="B977:B979"/>
    <mergeCell ref="A965:A967"/>
    <mergeCell ref="B965:B967"/>
    <mergeCell ref="A968:A970"/>
    <mergeCell ref="B968:B970"/>
    <mergeCell ref="Z965:Z967"/>
    <mergeCell ref="AA965:AA967"/>
    <mergeCell ref="C968:C970"/>
    <mergeCell ref="D968:D970"/>
    <mergeCell ref="E968:E970"/>
    <mergeCell ref="F968:F970"/>
    <mergeCell ref="G968:G970"/>
    <mergeCell ref="H968:H970"/>
    <mergeCell ref="I968:I970"/>
    <mergeCell ref="J968:J970"/>
    <mergeCell ref="K968:K970"/>
    <mergeCell ref="L968:L970"/>
    <mergeCell ref="M968:M970"/>
    <mergeCell ref="N968:N970"/>
    <mergeCell ref="O968:O970"/>
    <mergeCell ref="P968:P970"/>
    <mergeCell ref="W965:W967"/>
    <mergeCell ref="Z974:Z976"/>
    <mergeCell ref="C980:C982"/>
    <mergeCell ref="D980:D982"/>
    <mergeCell ref="A931:A933"/>
    <mergeCell ref="B931:B933"/>
    <mergeCell ref="A934:A936"/>
    <mergeCell ref="B934:B936"/>
    <mergeCell ref="Z931:Z933"/>
    <mergeCell ref="AA931:AA933"/>
    <mergeCell ref="C934:C936"/>
    <mergeCell ref="D934:D936"/>
    <mergeCell ref="E934:E936"/>
    <mergeCell ref="F934:F936"/>
    <mergeCell ref="G934:G936"/>
    <mergeCell ref="H934:H936"/>
    <mergeCell ref="I934:I936"/>
    <mergeCell ref="J934:J936"/>
    <mergeCell ref="K934:K936"/>
    <mergeCell ref="L934:L936"/>
    <mergeCell ref="M934:M936"/>
    <mergeCell ref="N934:N936"/>
    <mergeCell ref="O934:O936"/>
    <mergeCell ref="P934:P936"/>
    <mergeCell ref="Q934:Q936"/>
    <mergeCell ref="R934:R936"/>
    <mergeCell ref="X931:X933"/>
    <mergeCell ref="Y931:Y933"/>
    <mergeCell ref="G931:G933"/>
    <mergeCell ref="H931:H933"/>
    <mergeCell ref="C931:C933"/>
    <mergeCell ref="D931:D933"/>
    <mergeCell ref="E931:E933"/>
    <mergeCell ref="I931:I933"/>
    <mergeCell ref="J931:J933"/>
    <mergeCell ref="K931:K933"/>
    <mergeCell ref="A912:A914"/>
    <mergeCell ref="B912:B914"/>
    <mergeCell ref="A903:A905"/>
    <mergeCell ref="B903:B905"/>
    <mergeCell ref="A906:A908"/>
    <mergeCell ref="B906:B908"/>
    <mergeCell ref="A909:A911"/>
    <mergeCell ref="B909:B911"/>
    <mergeCell ref="A897:A899"/>
    <mergeCell ref="B897:B899"/>
    <mergeCell ref="A900:A902"/>
    <mergeCell ref="B900:B902"/>
    <mergeCell ref="Z897:Z899"/>
    <mergeCell ref="AA897:AA899"/>
    <mergeCell ref="C900:C902"/>
    <mergeCell ref="D900:D902"/>
    <mergeCell ref="E900:E902"/>
    <mergeCell ref="F900:F902"/>
    <mergeCell ref="G900:G902"/>
    <mergeCell ref="H900:H902"/>
    <mergeCell ref="I900:I902"/>
    <mergeCell ref="J900:J902"/>
    <mergeCell ref="K900:K902"/>
    <mergeCell ref="L900:L902"/>
    <mergeCell ref="M900:M902"/>
    <mergeCell ref="N900:N902"/>
    <mergeCell ref="O900:O902"/>
    <mergeCell ref="P900:P902"/>
    <mergeCell ref="Q900:Q902"/>
    <mergeCell ref="R900:R902"/>
    <mergeCell ref="S900:S902"/>
    <mergeCell ref="C897:C899"/>
    <mergeCell ref="B878:B880"/>
    <mergeCell ref="A869:A871"/>
    <mergeCell ref="B869:B871"/>
    <mergeCell ref="A872:A874"/>
    <mergeCell ref="B872:B874"/>
    <mergeCell ref="A875:A877"/>
    <mergeCell ref="B875:B877"/>
    <mergeCell ref="A863:A865"/>
    <mergeCell ref="B863:B865"/>
    <mergeCell ref="A866:A868"/>
    <mergeCell ref="B866:B868"/>
    <mergeCell ref="C866:C868"/>
    <mergeCell ref="D866:D868"/>
    <mergeCell ref="E866:E868"/>
    <mergeCell ref="F866:F868"/>
    <mergeCell ref="G866:G868"/>
    <mergeCell ref="C872:C874"/>
    <mergeCell ref="D872:D874"/>
    <mergeCell ref="E872:E874"/>
    <mergeCell ref="F872:F874"/>
    <mergeCell ref="G872:G874"/>
    <mergeCell ref="C875:C877"/>
    <mergeCell ref="D875:D877"/>
    <mergeCell ref="E875:E877"/>
    <mergeCell ref="F875:F877"/>
    <mergeCell ref="G875:G877"/>
    <mergeCell ref="C869:C871"/>
    <mergeCell ref="D869:D871"/>
    <mergeCell ref="E869:E871"/>
    <mergeCell ref="F869:F871"/>
    <mergeCell ref="G869:G871"/>
    <mergeCell ref="C863:C865"/>
    <mergeCell ref="A844:A846"/>
    <mergeCell ref="B844:B846"/>
    <mergeCell ref="A835:A837"/>
    <mergeCell ref="B835:B837"/>
    <mergeCell ref="A838:A840"/>
    <mergeCell ref="B838:B840"/>
    <mergeCell ref="A841:A843"/>
    <mergeCell ref="B841:B843"/>
    <mergeCell ref="A829:A831"/>
    <mergeCell ref="B829:B831"/>
    <mergeCell ref="A832:A834"/>
    <mergeCell ref="B832:B834"/>
    <mergeCell ref="C832:C834"/>
    <mergeCell ref="D832:D834"/>
    <mergeCell ref="E832:E834"/>
    <mergeCell ref="F832:F834"/>
    <mergeCell ref="G832:G834"/>
    <mergeCell ref="C835:C837"/>
    <mergeCell ref="D835:D837"/>
    <mergeCell ref="F838:F840"/>
    <mergeCell ref="G838:G840"/>
    <mergeCell ref="C838:C840"/>
    <mergeCell ref="D838:D840"/>
    <mergeCell ref="E838:E840"/>
    <mergeCell ref="C844:C846"/>
    <mergeCell ref="D844:D846"/>
    <mergeCell ref="E844:E846"/>
    <mergeCell ref="F844:F846"/>
    <mergeCell ref="G844:G846"/>
    <mergeCell ref="C829:C831"/>
    <mergeCell ref="D829:D831"/>
    <mergeCell ref="E829:E831"/>
    <mergeCell ref="A804:A806"/>
    <mergeCell ref="B804:B806"/>
    <mergeCell ref="A801:A803"/>
    <mergeCell ref="B801:B803"/>
    <mergeCell ref="A798:A800"/>
    <mergeCell ref="B798:B800"/>
    <mergeCell ref="A795:A797"/>
    <mergeCell ref="B795:B797"/>
    <mergeCell ref="C795:C797"/>
    <mergeCell ref="D795:D797"/>
    <mergeCell ref="E795:E797"/>
    <mergeCell ref="F795:F797"/>
    <mergeCell ref="G795:G797"/>
    <mergeCell ref="C798:C800"/>
    <mergeCell ref="D798:D800"/>
    <mergeCell ref="E798:E800"/>
    <mergeCell ref="F798:F800"/>
    <mergeCell ref="G798:G800"/>
    <mergeCell ref="C804:C806"/>
    <mergeCell ref="D804:D806"/>
    <mergeCell ref="E804:E806"/>
    <mergeCell ref="F804:F806"/>
    <mergeCell ref="G804:G806"/>
    <mergeCell ref="C801:C803"/>
    <mergeCell ref="D801:D803"/>
    <mergeCell ref="E801:E803"/>
    <mergeCell ref="F801:F803"/>
    <mergeCell ref="G801:G803"/>
    <mergeCell ref="A776:A778"/>
    <mergeCell ref="B776:B778"/>
    <mergeCell ref="A773:A775"/>
    <mergeCell ref="B773:B775"/>
    <mergeCell ref="A770:A772"/>
    <mergeCell ref="B770:B772"/>
    <mergeCell ref="A767:A769"/>
    <mergeCell ref="B767:B769"/>
    <mergeCell ref="A764:A766"/>
    <mergeCell ref="B764:B766"/>
    <mergeCell ref="A761:A763"/>
    <mergeCell ref="B761:B763"/>
    <mergeCell ref="C761:C763"/>
    <mergeCell ref="D761:D763"/>
    <mergeCell ref="E761:E763"/>
    <mergeCell ref="F761:F763"/>
    <mergeCell ref="G761:G763"/>
    <mergeCell ref="C770:C772"/>
    <mergeCell ref="D770:D772"/>
    <mergeCell ref="E770:E772"/>
    <mergeCell ref="F770:F772"/>
    <mergeCell ref="G770:G772"/>
    <mergeCell ref="C767:C769"/>
    <mergeCell ref="D767:D769"/>
    <mergeCell ref="E767:E769"/>
    <mergeCell ref="C764:C766"/>
    <mergeCell ref="D764:D766"/>
    <mergeCell ref="E764:E766"/>
    <mergeCell ref="F764:F766"/>
    <mergeCell ref="G764:G766"/>
    <mergeCell ref="C776:C778"/>
    <mergeCell ref="D776:D778"/>
    <mergeCell ref="A739:A741"/>
    <mergeCell ref="B739:B741"/>
    <mergeCell ref="A736:A738"/>
    <mergeCell ref="B736:B738"/>
    <mergeCell ref="K764:K766"/>
    <mergeCell ref="L764:L766"/>
    <mergeCell ref="M764:M766"/>
    <mergeCell ref="N764:N766"/>
    <mergeCell ref="O764:O766"/>
    <mergeCell ref="P764:P766"/>
    <mergeCell ref="Q764:Q766"/>
    <mergeCell ref="R764:R766"/>
    <mergeCell ref="S764:S766"/>
    <mergeCell ref="C739:C741"/>
    <mergeCell ref="D739:D741"/>
    <mergeCell ref="E739:E741"/>
    <mergeCell ref="S736:S738"/>
    <mergeCell ref="C736:C738"/>
    <mergeCell ref="D736:D738"/>
    <mergeCell ref="E736:E738"/>
    <mergeCell ref="F736:F738"/>
    <mergeCell ref="G736:G738"/>
    <mergeCell ref="H736:H738"/>
    <mergeCell ref="I736:I738"/>
    <mergeCell ref="J736:J738"/>
    <mergeCell ref="K736:K738"/>
    <mergeCell ref="L736:L738"/>
    <mergeCell ref="N761:N763"/>
    <mergeCell ref="H742:H744"/>
    <mergeCell ref="I742:I744"/>
    <mergeCell ref="H739:H741"/>
    <mergeCell ref="I739:I741"/>
    <mergeCell ref="A733:A735"/>
    <mergeCell ref="B733:B735"/>
    <mergeCell ref="A730:A732"/>
    <mergeCell ref="B730:B732"/>
    <mergeCell ref="A727:A729"/>
    <mergeCell ref="B727:B729"/>
    <mergeCell ref="C730:C732"/>
    <mergeCell ref="D730:D732"/>
    <mergeCell ref="E730:E732"/>
    <mergeCell ref="F730:F732"/>
    <mergeCell ref="G730:G732"/>
    <mergeCell ref="H730:H732"/>
    <mergeCell ref="I730:I732"/>
    <mergeCell ref="J730:J732"/>
    <mergeCell ref="K730:K732"/>
    <mergeCell ref="L730:L732"/>
    <mergeCell ref="A708:A710"/>
    <mergeCell ref="B708:B710"/>
    <mergeCell ref="H708:H710"/>
    <mergeCell ref="I708:I710"/>
    <mergeCell ref="J708:J710"/>
    <mergeCell ref="K708:K710"/>
    <mergeCell ref="L708:L710"/>
    <mergeCell ref="C733:C735"/>
    <mergeCell ref="D733:D735"/>
    <mergeCell ref="E733:E735"/>
    <mergeCell ref="F733:F735"/>
    <mergeCell ref="G733:G735"/>
    <mergeCell ref="H733:H735"/>
    <mergeCell ref="I733:I735"/>
    <mergeCell ref="J733:J735"/>
    <mergeCell ref="K733:K735"/>
    <mergeCell ref="A705:A707"/>
    <mergeCell ref="B705:B707"/>
    <mergeCell ref="A702:A704"/>
    <mergeCell ref="B702:B704"/>
    <mergeCell ref="A699:A701"/>
    <mergeCell ref="B699:B701"/>
    <mergeCell ref="A696:A698"/>
    <mergeCell ref="B696:B698"/>
    <mergeCell ref="A693:A695"/>
    <mergeCell ref="B693:B695"/>
    <mergeCell ref="C693:C695"/>
    <mergeCell ref="D693:D695"/>
    <mergeCell ref="E693:E695"/>
    <mergeCell ref="F693:F695"/>
    <mergeCell ref="G693:G695"/>
    <mergeCell ref="H693:H695"/>
    <mergeCell ref="I693:I695"/>
    <mergeCell ref="C696:C698"/>
    <mergeCell ref="D696:D698"/>
    <mergeCell ref="E696:E698"/>
    <mergeCell ref="F696:F698"/>
    <mergeCell ref="G696:G698"/>
    <mergeCell ref="H696:H698"/>
    <mergeCell ref="I696:I698"/>
    <mergeCell ref="C702:C704"/>
    <mergeCell ref="D702:D704"/>
    <mergeCell ref="E702:E704"/>
    <mergeCell ref="F702:F704"/>
    <mergeCell ref="G702:G704"/>
    <mergeCell ref="H702:H704"/>
    <mergeCell ref="I702:I704"/>
    <mergeCell ref="C699:C701"/>
    <mergeCell ref="A640:A642"/>
    <mergeCell ref="B640:B642"/>
    <mergeCell ref="A637:A639"/>
    <mergeCell ref="B637:B639"/>
    <mergeCell ref="A674:A676"/>
    <mergeCell ref="B674:B676"/>
    <mergeCell ref="A671:A673"/>
    <mergeCell ref="B671:B673"/>
    <mergeCell ref="A668:A670"/>
    <mergeCell ref="B668:B670"/>
    <mergeCell ref="A665:A667"/>
    <mergeCell ref="B665:B667"/>
    <mergeCell ref="A662:A664"/>
    <mergeCell ref="B662:B664"/>
    <mergeCell ref="A659:A661"/>
    <mergeCell ref="B659:B661"/>
    <mergeCell ref="Z659:Z661"/>
    <mergeCell ref="C668:C670"/>
    <mergeCell ref="D668:D670"/>
    <mergeCell ref="E668:E670"/>
    <mergeCell ref="F668:F670"/>
    <mergeCell ref="G668:G670"/>
    <mergeCell ref="H668:H670"/>
    <mergeCell ref="I668:I670"/>
    <mergeCell ref="J668:J670"/>
    <mergeCell ref="K668:K670"/>
    <mergeCell ref="L668:L670"/>
    <mergeCell ref="C637:C639"/>
    <mergeCell ref="T637:T639"/>
    <mergeCell ref="U637:U639"/>
    <mergeCell ref="V637:V639"/>
    <mergeCell ref="W637:W639"/>
    <mergeCell ref="A600:A602"/>
    <mergeCell ref="B600:B602"/>
    <mergeCell ref="A634:A636"/>
    <mergeCell ref="B634:B636"/>
    <mergeCell ref="A631:A633"/>
    <mergeCell ref="B631:B633"/>
    <mergeCell ref="C631:C633"/>
    <mergeCell ref="D631:D633"/>
    <mergeCell ref="E631:E633"/>
    <mergeCell ref="F631:F633"/>
    <mergeCell ref="G631:G633"/>
    <mergeCell ref="H631:H633"/>
    <mergeCell ref="I631:I633"/>
    <mergeCell ref="J631:J633"/>
    <mergeCell ref="K631:K633"/>
    <mergeCell ref="L631:L633"/>
    <mergeCell ref="M631:M633"/>
    <mergeCell ref="C634:C636"/>
    <mergeCell ref="G625:G627"/>
    <mergeCell ref="H625:H627"/>
    <mergeCell ref="I625:I627"/>
    <mergeCell ref="J625:J627"/>
    <mergeCell ref="K625:K627"/>
    <mergeCell ref="L625:L627"/>
    <mergeCell ref="M625:M627"/>
    <mergeCell ref="A628:A630"/>
    <mergeCell ref="B628:B630"/>
    <mergeCell ref="A625:A627"/>
    <mergeCell ref="B625:B627"/>
    <mergeCell ref="C628:C630"/>
    <mergeCell ref="D628:D630"/>
    <mergeCell ref="E628:E630"/>
    <mergeCell ref="A606:A608"/>
    <mergeCell ref="B606:B608"/>
    <mergeCell ref="A603:A605"/>
    <mergeCell ref="B603:B605"/>
    <mergeCell ref="C603:C605"/>
    <mergeCell ref="D603:D605"/>
    <mergeCell ref="E603:E605"/>
    <mergeCell ref="F603:F605"/>
    <mergeCell ref="G603:G605"/>
    <mergeCell ref="C625:C627"/>
    <mergeCell ref="A619:AF619"/>
    <mergeCell ref="A620:AF620"/>
    <mergeCell ref="Y625:Y627"/>
    <mergeCell ref="Z625:Z627"/>
    <mergeCell ref="AA625:AA627"/>
    <mergeCell ref="R603:R605"/>
    <mergeCell ref="S603:S605"/>
    <mergeCell ref="T603:T605"/>
    <mergeCell ref="U603:U605"/>
    <mergeCell ref="V603:V605"/>
    <mergeCell ref="W603:W605"/>
    <mergeCell ref="X603:X605"/>
    <mergeCell ref="Y603:Y605"/>
    <mergeCell ref="D625:D627"/>
    <mergeCell ref="E625:E627"/>
    <mergeCell ref="F625:F627"/>
    <mergeCell ref="A616:AF616"/>
    <mergeCell ref="A618:AF618"/>
    <mergeCell ref="Z603:Z605"/>
    <mergeCell ref="AA603:AA605"/>
    <mergeCell ref="H606:H608"/>
    <mergeCell ref="I606:I608"/>
    <mergeCell ref="A597:A599"/>
    <mergeCell ref="B597:B599"/>
    <mergeCell ref="A594:A596"/>
    <mergeCell ref="B594:B596"/>
    <mergeCell ref="A591:A593"/>
    <mergeCell ref="B591:B593"/>
    <mergeCell ref="C591:C593"/>
    <mergeCell ref="D591:D593"/>
    <mergeCell ref="E591:E593"/>
    <mergeCell ref="F591:F593"/>
    <mergeCell ref="G591:G593"/>
    <mergeCell ref="H591:H593"/>
    <mergeCell ref="I591:I593"/>
    <mergeCell ref="J591:J593"/>
    <mergeCell ref="K591:K593"/>
    <mergeCell ref="A563:A565"/>
    <mergeCell ref="B563:B565"/>
    <mergeCell ref="A572:A574"/>
    <mergeCell ref="B572:B574"/>
    <mergeCell ref="C566:C568"/>
    <mergeCell ref="D566:D568"/>
    <mergeCell ref="A569:A571"/>
    <mergeCell ref="B569:B571"/>
    <mergeCell ref="A566:A568"/>
    <mergeCell ref="B566:B568"/>
    <mergeCell ref="C597:C599"/>
    <mergeCell ref="D597:D599"/>
    <mergeCell ref="E597:E599"/>
    <mergeCell ref="F597:F599"/>
    <mergeCell ref="G597:G599"/>
    <mergeCell ref="H597:H599"/>
    <mergeCell ref="I597:I599"/>
    <mergeCell ref="A560:A562"/>
    <mergeCell ref="B560:B562"/>
    <mergeCell ref="A557:A559"/>
    <mergeCell ref="B557:B559"/>
    <mergeCell ref="C560:C562"/>
    <mergeCell ref="D560:D562"/>
    <mergeCell ref="E560:E562"/>
    <mergeCell ref="F560:F562"/>
    <mergeCell ref="G560:G562"/>
    <mergeCell ref="C557:C559"/>
    <mergeCell ref="D557:D559"/>
    <mergeCell ref="E557:E559"/>
    <mergeCell ref="F557:F559"/>
    <mergeCell ref="G557:G559"/>
    <mergeCell ref="E566:E568"/>
    <mergeCell ref="F566:F568"/>
    <mergeCell ref="G566:G568"/>
    <mergeCell ref="C563:C565"/>
    <mergeCell ref="D563:D565"/>
    <mergeCell ref="E563:E565"/>
    <mergeCell ref="F563:F565"/>
    <mergeCell ref="G563:G565"/>
    <mergeCell ref="A523:A525"/>
    <mergeCell ref="B523:B525"/>
    <mergeCell ref="C523:C525"/>
    <mergeCell ref="D523:D525"/>
    <mergeCell ref="E523:E525"/>
    <mergeCell ref="F523:F525"/>
    <mergeCell ref="G523:G525"/>
    <mergeCell ref="C535:C537"/>
    <mergeCell ref="D535:D537"/>
    <mergeCell ref="E535:E537"/>
    <mergeCell ref="F535:F537"/>
    <mergeCell ref="G535:G537"/>
    <mergeCell ref="C526:C528"/>
    <mergeCell ref="D526:D528"/>
    <mergeCell ref="E526:E528"/>
    <mergeCell ref="F526:F528"/>
    <mergeCell ref="G526:G528"/>
    <mergeCell ref="C532:C534"/>
    <mergeCell ref="D532:D534"/>
    <mergeCell ref="E532:E534"/>
    <mergeCell ref="F532:F534"/>
    <mergeCell ref="G532:G534"/>
    <mergeCell ref="A505:A507"/>
    <mergeCell ref="B505:B507"/>
    <mergeCell ref="A502:A504"/>
    <mergeCell ref="B502:B504"/>
    <mergeCell ref="A499:A501"/>
    <mergeCell ref="B499:B501"/>
    <mergeCell ref="B458:B460"/>
    <mergeCell ref="A461:A463"/>
    <mergeCell ref="A496:A498"/>
    <mergeCell ref="B496:B498"/>
    <mergeCell ref="A493:A495"/>
    <mergeCell ref="B493:B495"/>
    <mergeCell ref="A490:A492"/>
    <mergeCell ref="B490:B492"/>
    <mergeCell ref="C458:C460"/>
    <mergeCell ref="D458:D460"/>
    <mergeCell ref="C464:C466"/>
    <mergeCell ref="D464:D466"/>
    <mergeCell ref="B470:B472"/>
    <mergeCell ref="C470:C472"/>
    <mergeCell ref="D470:D472"/>
    <mergeCell ref="C493:C495"/>
    <mergeCell ref="D493:D495"/>
    <mergeCell ref="E464:E466"/>
    <mergeCell ref="C467:C469"/>
    <mergeCell ref="D467:D469"/>
    <mergeCell ref="E467:E469"/>
    <mergeCell ref="C496:C498"/>
    <mergeCell ref="D496:D498"/>
    <mergeCell ref="E496:E498"/>
    <mergeCell ref="C473:C475"/>
    <mergeCell ref="D473:D475"/>
    <mergeCell ref="E298:E300"/>
    <mergeCell ref="F298:F300"/>
    <mergeCell ref="G298:G300"/>
    <mergeCell ref="H298:H300"/>
    <mergeCell ref="I298:I300"/>
    <mergeCell ref="J298:J300"/>
    <mergeCell ref="A473:A475"/>
    <mergeCell ref="B473:B475"/>
    <mergeCell ref="A464:A466"/>
    <mergeCell ref="B464:B466"/>
    <mergeCell ref="A467:A469"/>
    <mergeCell ref="B467:B469"/>
    <mergeCell ref="A470:A472"/>
    <mergeCell ref="A458:A460"/>
    <mergeCell ref="E473:E475"/>
    <mergeCell ref="A354:AF354"/>
    <mergeCell ref="V345:V347"/>
    <mergeCell ref="W345:W347"/>
    <mergeCell ref="X345:X347"/>
    <mergeCell ref="Z345:Z347"/>
    <mergeCell ref="AA345:AA347"/>
    <mergeCell ref="R345:R347"/>
    <mergeCell ref="Z371:Z373"/>
    <mergeCell ref="A298:A300"/>
    <mergeCell ref="A339:A341"/>
    <mergeCell ref="A304:A306"/>
    <mergeCell ref="A307:A309"/>
    <mergeCell ref="B304:B306"/>
    <mergeCell ref="A310:A312"/>
    <mergeCell ref="B310:B312"/>
    <mergeCell ref="B307:B309"/>
    <mergeCell ref="A301:A303"/>
    <mergeCell ref="B301:B303"/>
    <mergeCell ref="A281:A283"/>
    <mergeCell ref="B281:B283"/>
    <mergeCell ref="A333:A335"/>
    <mergeCell ref="A324:AF324"/>
    <mergeCell ref="A325:AF325"/>
    <mergeCell ref="A322:AF322"/>
    <mergeCell ref="D330:D332"/>
    <mergeCell ref="E330:E332"/>
    <mergeCell ref="F330:F332"/>
    <mergeCell ref="G330:G332"/>
    <mergeCell ref="H330:H332"/>
    <mergeCell ref="AB330:AB332"/>
    <mergeCell ref="AB333:AB335"/>
    <mergeCell ref="T330:T332"/>
    <mergeCell ref="U330:U332"/>
    <mergeCell ref="V330:V332"/>
    <mergeCell ref="Y339:Y341"/>
    <mergeCell ref="B339:B341"/>
    <mergeCell ref="A336:A338"/>
    <mergeCell ref="A290:AF290"/>
    <mergeCell ref="B330:B332"/>
    <mergeCell ref="J301:J303"/>
    <mergeCell ref="A438:A440"/>
    <mergeCell ref="B438:B440"/>
    <mergeCell ref="A403:A405"/>
    <mergeCell ref="B403:B405"/>
    <mergeCell ref="A397:A399"/>
    <mergeCell ref="B397:B399"/>
    <mergeCell ref="A426:A428"/>
    <mergeCell ref="B426:B428"/>
    <mergeCell ref="A409:A411"/>
    <mergeCell ref="B409:B411"/>
    <mergeCell ref="A406:A408"/>
    <mergeCell ref="B406:B408"/>
    <mergeCell ref="A377:A379"/>
    <mergeCell ref="B377:B379"/>
    <mergeCell ref="A394:A396"/>
    <mergeCell ref="B394:B396"/>
    <mergeCell ref="A400:A402"/>
    <mergeCell ref="B400:B402"/>
    <mergeCell ref="A432:A434"/>
    <mergeCell ref="B432:B434"/>
    <mergeCell ref="A429:A431"/>
    <mergeCell ref="A386:AF386"/>
    <mergeCell ref="A388:AF388"/>
    <mergeCell ref="M394:M396"/>
    <mergeCell ref="N394:N396"/>
    <mergeCell ref="O394:O396"/>
    <mergeCell ref="P394:P396"/>
    <mergeCell ref="Q394:Q396"/>
    <mergeCell ref="K394:K396"/>
    <mergeCell ref="L394:L396"/>
    <mergeCell ref="X377:X379"/>
    <mergeCell ref="AB377:AB379"/>
    <mergeCell ref="A275:A277"/>
    <mergeCell ref="B275:B277"/>
    <mergeCell ref="B205:B207"/>
    <mergeCell ref="B208:B210"/>
    <mergeCell ref="A205:A207"/>
    <mergeCell ref="A197:AF197"/>
    <mergeCell ref="M173:M175"/>
    <mergeCell ref="N173:N175"/>
    <mergeCell ref="O173:O175"/>
    <mergeCell ref="P173:P175"/>
    <mergeCell ref="Q173:Q175"/>
    <mergeCell ref="R173:R175"/>
    <mergeCell ref="S173:S175"/>
    <mergeCell ref="T173:T175"/>
    <mergeCell ref="C176:C178"/>
    <mergeCell ref="D176:D178"/>
    <mergeCell ref="E176:E178"/>
    <mergeCell ref="H176:H178"/>
    <mergeCell ref="I176:I178"/>
    <mergeCell ref="J176:J178"/>
    <mergeCell ref="Z176:Z178"/>
    <mergeCell ref="AA176:AA178"/>
    <mergeCell ref="C179:C181"/>
    <mergeCell ref="D179:D181"/>
    <mergeCell ref="E179:E181"/>
    <mergeCell ref="F179:F181"/>
    <mergeCell ref="G179:G181"/>
    <mergeCell ref="H179:H181"/>
    <mergeCell ref="A173:A175"/>
    <mergeCell ref="G246:G248"/>
    <mergeCell ref="M246:M248"/>
    <mergeCell ref="N246:N248"/>
    <mergeCell ref="B298:B300"/>
    <mergeCell ref="B11:B13"/>
    <mergeCell ref="A14:A16"/>
    <mergeCell ref="A11:A13"/>
    <mergeCell ref="A141:A143"/>
    <mergeCell ref="A138:A140"/>
    <mergeCell ref="B138:B140"/>
    <mergeCell ref="A170:A172"/>
    <mergeCell ref="B170:B172"/>
    <mergeCell ref="B57:B59"/>
    <mergeCell ref="A74:A76"/>
    <mergeCell ref="B74:B76"/>
    <mergeCell ref="A77:A79"/>
    <mergeCell ref="B77:B79"/>
    <mergeCell ref="B89:B91"/>
    <mergeCell ref="A83:A85"/>
    <mergeCell ref="B83:B85"/>
    <mergeCell ref="B23:B25"/>
    <mergeCell ref="B26:B28"/>
    <mergeCell ref="B45:B47"/>
    <mergeCell ref="B48:B50"/>
    <mergeCell ref="A86:A88"/>
    <mergeCell ref="B86:B88"/>
    <mergeCell ref="A89:A91"/>
    <mergeCell ref="A80:A82"/>
    <mergeCell ref="B80:B82"/>
    <mergeCell ref="A57:A59"/>
    <mergeCell ref="B118:B120"/>
    <mergeCell ref="A112:A114"/>
    <mergeCell ref="B109:B111"/>
    <mergeCell ref="A106:A108"/>
    <mergeCell ref="B106:B108"/>
    <mergeCell ref="A115:A117"/>
    <mergeCell ref="B14:B16"/>
    <mergeCell ref="B17:B19"/>
    <mergeCell ref="B20:B22"/>
    <mergeCell ref="A20:A22"/>
    <mergeCell ref="A17:A19"/>
    <mergeCell ref="A26:A28"/>
    <mergeCell ref="A23:A25"/>
    <mergeCell ref="A54:A56"/>
    <mergeCell ref="B42:B44"/>
    <mergeCell ref="A42:A44"/>
    <mergeCell ref="A45:A47"/>
    <mergeCell ref="A48:A50"/>
    <mergeCell ref="A51:A53"/>
    <mergeCell ref="B51:B53"/>
    <mergeCell ref="B54:B56"/>
    <mergeCell ref="B115:B117"/>
    <mergeCell ref="B121:B123"/>
    <mergeCell ref="A121:A123"/>
    <mergeCell ref="A118:A120"/>
    <mergeCell ref="A66:AF66"/>
    <mergeCell ref="A68:AF68"/>
    <mergeCell ref="A69:AF69"/>
    <mergeCell ref="I14:I16"/>
    <mergeCell ref="Z17:Z19"/>
    <mergeCell ref="AA17:AA19"/>
    <mergeCell ref="Y17:Y19"/>
    <mergeCell ref="AA20:AA22"/>
    <mergeCell ref="R17:R19"/>
    <mergeCell ref="P20:P22"/>
    <mergeCell ref="Q20:Q22"/>
    <mergeCell ref="G20:G22"/>
    <mergeCell ref="H20:H22"/>
    <mergeCell ref="B112:B114"/>
    <mergeCell ref="A109:A111"/>
    <mergeCell ref="T54:T56"/>
    <mergeCell ref="U54:U56"/>
    <mergeCell ref="V54:V56"/>
    <mergeCell ref="E48:E50"/>
    <mergeCell ref="F48:F50"/>
    <mergeCell ref="C42:C44"/>
    <mergeCell ref="K45:K47"/>
    <mergeCell ref="W54:W56"/>
    <mergeCell ref="O57:O59"/>
    <mergeCell ref="X54:X56"/>
    <mergeCell ref="L45:L47"/>
    <mergeCell ref="M45:M47"/>
    <mergeCell ref="Y26:Y28"/>
    <mergeCell ref="W42:W44"/>
    <mergeCell ref="A144:A146"/>
    <mergeCell ref="B144:B146"/>
    <mergeCell ref="A153:A155"/>
    <mergeCell ref="B153:B155"/>
    <mergeCell ref="A150:A152"/>
    <mergeCell ref="B150:B152"/>
    <mergeCell ref="A147:A149"/>
    <mergeCell ref="B147:B149"/>
    <mergeCell ref="B141:B143"/>
    <mergeCell ref="A217:A219"/>
    <mergeCell ref="B217:B219"/>
    <mergeCell ref="A237:A239"/>
    <mergeCell ref="B237:B239"/>
    <mergeCell ref="B202:B204"/>
    <mergeCell ref="A202:A204"/>
    <mergeCell ref="A208:A210"/>
    <mergeCell ref="A214:A216"/>
    <mergeCell ref="B214:B216"/>
    <mergeCell ref="A211:A213"/>
    <mergeCell ref="B211:B213"/>
    <mergeCell ref="B173:B175"/>
    <mergeCell ref="A182:A184"/>
    <mergeCell ref="B182:B184"/>
    <mergeCell ref="A185:A187"/>
    <mergeCell ref="B185:B187"/>
    <mergeCell ref="A179:A181"/>
    <mergeCell ref="B179:B181"/>
    <mergeCell ref="A176:A178"/>
    <mergeCell ref="B176:B178"/>
    <mergeCell ref="A269:A271"/>
    <mergeCell ref="B269:B271"/>
    <mergeCell ref="A272:A274"/>
    <mergeCell ref="H246:H248"/>
    <mergeCell ref="I246:I248"/>
    <mergeCell ref="J246:J248"/>
    <mergeCell ref="K246:K248"/>
    <mergeCell ref="H266:H268"/>
    <mergeCell ref="I266:I268"/>
    <mergeCell ref="J266:J268"/>
    <mergeCell ref="K266:K268"/>
    <mergeCell ref="L266:L268"/>
    <mergeCell ref="M266:M268"/>
    <mergeCell ref="N266:N268"/>
    <mergeCell ref="C272:C274"/>
    <mergeCell ref="D272:D274"/>
    <mergeCell ref="E269:E271"/>
    <mergeCell ref="F269:F271"/>
    <mergeCell ref="K272:K274"/>
    <mergeCell ref="H269:H271"/>
    <mergeCell ref="C249:C251"/>
    <mergeCell ref="A313:A315"/>
    <mergeCell ref="B313:B315"/>
    <mergeCell ref="C330:C332"/>
    <mergeCell ref="B333:B335"/>
    <mergeCell ref="B336:B338"/>
    <mergeCell ref="B342:B344"/>
    <mergeCell ref="H371:H373"/>
    <mergeCell ref="I371:I373"/>
    <mergeCell ref="J371:J373"/>
    <mergeCell ref="B371:B373"/>
    <mergeCell ref="A342:A344"/>
    <mergeCell ref="A362:A364"/>
    <mergeCell ref="H313:H315"/>
    <mergeCell ref="I313:I315"/>
    <mergeCell ref="A330:A332"/>
    <mergeCell ref="A368:A370"/>
    <mergeCell ref="B368:B370"/>
    <mergeCell ref="D342:D344"/>
    <mergeCell ref="E345:E347"/>
    <mergeCell ref="F345:F347"/>
    <mergeCell ref="I345:I347"/>
    <mergeCell ref="H365:H367"/>
    <mergeCell ref="B365:B367"/>
    <mergeCell ref="G345:G347"/>
    <mergeCell ref="C368:C370"/>
    <mergeCell ref="D368:D370"/>
    <mergeCell ref="E368:E370"/>
    <mergeCell ref="F368:F370"/>
    <mergeCell ref="G368:G370"/>
    <mergeCell ref="H368:H370"/>
    <mergeCell ref="J368:J370"/>
    <mergeCell ref="C313:C315"/>
    <mergeCell ref="C394:C396"/>
    <mergeCell ref="D394:D396"/>
    <mergeCell ref="A389:AF389"/>
    <mergeCell ref="C377:C379"/>
    <mergeCell ref="AB394:AB396"/>
    <mergeCell ref="AA377:AA379"/>
    <mergeCell ref="H377:H379"/>
    <mergeCell ref="I377:I379"/>
    <mergeCell ref="J377:J379"/>
    <mergeCell ref="K377:K379"/>
    <mergeCell ref="L377:L379"/>
    <mergeCell ref="AA371:AA373"/>
    <mergeCell ref="U394:U396"/>
    <mergeCell ref="U371:U373"/>
    <mergeCell ref="E490:E492"/>
    <mergeCell ref="C505:C507"/>
    <mergeCell ref="D505:D507"/>
    <mergeCell ref="E505:E507"/>
    <mergeCell ref="F505:F507"/>
    <mergeCell ref="G505:G507"/>
    <mergeCell ref="E394:E396"/>
    <mergeCell ref="F394:F396"/>
    <mergeCell ref="G394:G396"/>
    <mergeCell ref="H394:H396"/>
    <mergeCell ref="I394:I396"/>
    <mergeCell ref="J394:J396"/>
    <mergeCell ref="D377:D379"/>
    <mergeCell ref="E377:E379"/>
    <mergeCell ref="F377:F379"/>
    <mergeCell ref="G377:G379"/>
    <mergeCell ref="A435:A437"/>
    <mergeCell ref="B435:B437"/>
    <mergeCell ref="H569:H571"/>
    <mergeCell ref="I569:I571"/>
    <mergeCell ref="J569:J571"/>
    <mergeCell ref="K569:K571"/>
    <mergeCell ref="L569:L571"/>
    <mergeCell ref="C572:C574"/>
    <mergeCell ref="A374:A376"/>
    <mergeCell ref="B374:B376"/>
    <mergeCell ref="A371:A373"/>
    <mergeCell ref="C371:C373"/>
    <mergeCell ref="C400:C402"/>
    <mergeCell ref="D400:D402"/>
    <mergeCell ref="C397:C399"/>
    <mergeCell ref="B429:B431"/>
    <mergeCell ref="C490:C492"/>
    <mergeCell ref="D490:D492"/>
    <mergeCell ref="A538:A540"/>
    <mergeCell ref="B538:B540"/>
    <mergeCell ref="A535:A537"/>
    <mergeCell ref="B535:B537"/>
    <mergeCell ref="A532:A534"/>
    <mergeCell ref="B532:B534"/>
    <mergeCell ref="A529:A531"/>
    <mergeCell ref="B529:B531"/>
    <mergeCell ref="A526:A528"/>
    <mergeCell ref="B526:B528"/>
    <mergeCell ref="E493:E495"/>
    <mergeCell ref="L560:L562"/>
    <mergeCell ref="C403:C405"/>
    <mergeCell ref="D403:D405"/>
    <mergeCell ref="E403:E405"/>
    <mergeCell ref="F403:F405"/>
    <mergeCell ref="E634:E636"/>
    <mergeCell ref="F634:F636"/>
    <mergeCell ref="G634:G636"/>
    <mergeCell ref="H634:H636"/>
    <mergeCell ref="I634:I636"/>
    <mergeCell ref="J634:J636"/>
    <mergeCell ref="K634:K636"/>
    <mergeCell ref="L634:L636"/>
    <mergeCell ref="F628:F630"/>
    <mergeCell ref="E569:E571"/>
    <mergeCell ref="F569:F571"/>
    <mergeCell ref="G569:G571"/>
    <mergeCell ref="E594:E596"/>
    <mergeCell ref="F594:F596"/>
    <mergeCell ref="G594:G596"/>
    <mergeCell ref="C499:C501"/>
    <mergeCell ref="D499:D501"/>
    <mergeCell ref="E499:E501"/>
    <mergeCell ref="H502:H504"/>
    <mergeCell ref="I502:I504"/>
    <mergeCell ref="J502:J504"/>
    <mergeCell ref="K502:K504"/>
    <mergeCell ref="L502:L504"/>
    <mergeCell ref="C502:C504"/>
    <mergeCell ref="D502:D504"/>
    <mergeCell ref="E502:E504"/>
    <mergeCell ref="F502:F504"/>
    <mergeCell ref="G502:G504"/>
    <mergeCell ref="H523:H525"/>
    <mergeCell ref="I523:I525"/>
    <mergeCell ref="J523:J525"/>
    <mergeCell ref="K523:K525"/>
    <mergeCell ref="L591:L593"/>
    <mergeCell ref="D441:D443"/>
    <mergeCell ref="E441:E443"/>
    <mergeCell ref="F441:F443"/>
    <mergeCell ref="H438:H440"/>
    <mergeCell ref="H458:H460"/>
    <mergeCell ref="I458:I460"/>
    <mergeCell ref="J458:J460"/>
    <mergeCell ref="K458:K460"/>
    <mergeCell ref="L458:L460"/>
    <mergeCell ref="H441:H443"/>
    <mergeCell ref="I441:I443"/>
    <mergeCell ref="J441:J443"/>
    <mergeCell ref="K441:K443"/>
    <mergeCell ref="I535:I537"/>
    <mergeCell ref="J535:J537"/>
    <mergeCell ref="K535:K537"/>
    <mergeCell ref="L535:L537"/>
    <mergeCell ref="A452:AF452"/>
    <mergeCell ref="AB458:AB460"/>
    <mergeCell ref="AB461:AB463"/>
    <mergeCell ref="F473:F475"/>
    <mergeCell ref="G473:G475"/>
    <mergeCell ref="W493:W495"/>
    <mergeCell ref="X493:X495"/>
    <mergeCell ref="B461:B463"/>
    <mergeCell ref="I493:I495"/>
    <mergeCell ref="C441:C443"/>
    <mergeCell ref="S464:S466"/>
    <mergeCell ref="T464:T466"/>
    <mergeCell ref="V464:V466"/>
    <mergeCell ref="M467:M469"/>
    <mergeCell ref="D313:D315"/>
    <mergeCell ref="E313:E315"/>
    <mergeCell ref="F313:F315"/>
    <mergeCell ref="G313:G315"/>
    <mergeCell ref="I339:I341"/>
    <mergeCell ref="H342:H344"/>
    <mergeCell ref="I342:I344"/>
    <mergeCell ref="J342:J344"/>
    <mergeCell ref="K342:K344"/>
    <mergeCell ref="F342:F344"/>
    <mergeCell ref="G342:G344"/>
    <mergeCell ref="C362:C364"/>
    <mergeCell ref="C342:C344"/>
    <mergeCell ref="D371:D373"/>
    <mergeCell ref="E371:E373"/>
    <mergeCell ref="I365:I367"/>
    <mergeCell ref="J365:J367"/>
    <mergeCell ref="K368:K370"/>
    <mergeCell ref="K365:K367"/>
    <mergeCell ref="D362:D364"/>
    <mergeCell ref="E362:E364"/>
    <mergeCell ref="F362:F364"/>
    <mergeCell ref="G362:G364"/>
    <mergeCell ref="H362:H364"/>
    <mergeCell ref="I362:I364"/>
    <mergeCell ref="J362:J364"/>
    <mergeCell ref="K362:K364"/>
    <mergeCell ref="C339:C341"/>
    <mergeCell ref="D339:D341"/>
    <mergeCell ref="E339:E341"/>
    <mergeCell ref="F339:F341"/>
    <mergeCell ref="G339:G341"/>
    <mergeCell ref="X11:X13"/>
    <mergeCell ref="D211:D213"/>
    <mergeCell ref="E211:E213"/>
    <mergeCell ref="F211:F213"/>
    <mergeCell ref="G211:G213"/>
    <mergeCell ref="H211:H213"/>
    <mergeCell ref="I211:I213"/>
    <mergeCell ref="J211:J213"/>
    <mergeCell ref="K211:K213"/>
    <mergeCell ref="L211:L213"/>
    <mergeCell ref="C214:C216"/>
    <mergeCell ref="D214:D216"/>
    <mergeCell ref="C170:C172"/>
    <mergeCell ref="D170:D172"/>
    <mergeCell ref="C173:C175"/>
    <mergeCell ref="D173:D175"/>
    <mergeCell ref="E342:E344"/>
    <mergeCell ref="D269:D271"/>
    <mergeCell ref="C14:C16"/>
    <mergeCell ref="D14:D16"/>
    <mergeCell ref="V26:V28"/>
    <mergeCell ref="W26:W28"/>
    <mergeCell ref="X26:X28"/>
    <mergeCell ref="E14:E16"/>
    <mergeCell ref="F14:F16"/>
    <mergeCell ref="C202:C204"/>
    <mergeCell ref="D202:D204"/>
    <mergeCell ref="E170:E172"/>
    <mergeCell ref="C336:C338"/>
    <mergeCell ref="D336:D338"/>
    <mergeCell ref="E336:E338"/>
    <mergeCell ref="F336:F338"/>
    <mergeCell ref="D281:D283"/>
    <mergeCell ref="E281:E283"/>
    <mergeCell ref="F281:F283"/>
    <mergeCell ref="H345:H347"/>
    <mergeCell ref="G336:G338"/>
    <mergeCell ref="H336:H338"/>
    <mergeCell ref="I336:I338"/>
    <mergeCell ref="J336:J338"/>
    <mergeCell ref="K336:K338"/>
    <mergeCell ref="L336:L338"/>
    <mergeCell ref="C246:C248"/>
    <mergeCell ref="D246:D248"/>
    <mergeCell ref="Z249:Z251"/>
    <mergeCell ref="AA249:AA251"/>
    <mergeCell ref="Y205:Y207"/>
    <mergeCell ref="F170:F172"/>
    <mergeCell ref="C211:C213"/>
    <mergeCell ref="E173:E175"/>
    <mergeCell ref="F173:F175"/>
    <mergeCell ref="G173:G175"/>
    <mergeCell ref="J173:J175"/>
    <mergeCell ref="K173:K175"/>
    <mergeCell ref="L173:L175"/>
    <mergeCell ref="F176:F178"/>
    <mergeCell ref="G176:G178"/>
    <mergeCell ref="E202:E204"/>
    <mergeCell ref="F202:F204"/>
    <mergeCell ref="G202:G204"/>
    <mergeCell ref="I214:I216"/>
    <mergeCell ref="J214:J216"/>
    <mergeCell ref="K214:K216"/>
    <mergeCell ref="L214:L216"/>
    <mergeCell ref="D243:D245"/>
    <mergeCell ref="E243:E245"/>
    <mergeCell ref="Y249:Y251"/>
    <mergeCell ref="H249:H251"/>
    <mergeCell ref="I249:I251"/>
    <mergeCell ref="J249:J251"/>
    <mergeCell ref="K249:K251"/>
    <mergeCell ref="L249:L251"/>
    <mergeCell ref="M249:M251"/>
    <mergeCell ref="P249:P251"/>
    <mergeCell ref="Q249:Q251"/>
    <mergeCell ref="R249:R251"/>
    <mergeCell ref="L246:L248"/>
    <mergeCell ref="N249:N251"/>
    <mergeCell ref="P246:P248"/>
    <mergeCell ref="G208:G210"/>
    <mergeCell ref="H214:H216"/>
    <mergeCell ref="D249:D251"/>
    <mergeCell ref="E249:E251"/>
    <mergeCell ref="F249:F251"/>
    <mergeCell ref="O243:O245"/>
    <mergeCell ref="G249:G251"/>
    <mergeCell ref="E246:E248"/>
    <mergeCell ref="F246:F248"/>
    <mergeCell ref="M208:M210"/>
    <mergeCell ref="N208:N210"/>
    <mergeCell ref="O208:O210"/>
    <mergeCell ref="P208:P210"/>
    <mergeCell ref="O275:O277"/>
    <mergeCell ref="R275:R277"/>
    <mergeCell ref="S275:S277"/>
    <mergeCell ref="T275:T277"/>
    <mergeCell ref="U275:U277"/>
    <mergeCell ref="V275:V277"/>
    <mergeCell ref="W275:W277"/>
    <mergeCell ref="Q246:Q248"/>
    <mergeCell ref="S249:S251"/>
    <mergeCell ref="T249:T251"/>
    <mergeCell ref="U249:U251"/>
    <mergeCell ref="V249:V251"/>
    <mergeCell ref="J243:J245"/>
    <mergeCell ref="K243:K245"/>
    <mergeCell ref="W109:W111"/>
    <mergeCell ref="Z205:Z207"/>
    <mergeCell ref="AA205:AA207"/>
    <mergeCell ref="T208:T210"/>
    <mergeCell ref="U208:U210"/>
    <mergeCell ref="Y266:Y268"/>
    <mergeCell ref="Z208:Z210"/>
    <mergeCell ref="AA208:AA210"/>
    <mergeCell ref="S211:S213"/>
    <mergeCell ref="T211:T213"/>
    <mergeCell ref="U211:U213"/>
    <mergeCell ref="V211:V213"/>
    <mergeCell ref="W208:W210"/>
    <mergeCell ref="Y141:Y143"/>
    <mergeCell ref="W153:W155"/>
    <mergeCell ref="X153:X155"/>
    <mergeCell ref="W141:W143"/>
    <mergeCell ref="Z109:Z111"/>
    <mergeCell ref="H182:H184"/>
    <mergeCell ref="I182:I184"/>
    <mergeCell ref="J182:J184"/>
    <mergeCell ref="K182:K184"/>
    <mergeCell ref="L182:L184"/>
    <mergeCell ref="K109:K111"/>
    <mergeCell ref="M144:M146"/>
    <mergeCell ref="M179:M181"/>
    <mergeCell ref="N179:N181"/>
    <mergeCell ref="L243:L245"/>
    <mergeCell ref="M243:M245"/>
    <mergeCell ref="N243:N245"/>
    <mergeCell ref="G115:G117"/>
    <mergeCell ref="H115:H117"/>
    <mergeCell ref="I115:I117"/>
    <mergeCell ref="K20:K22"/>
    <mergeCell ref="L20:L22"/>
    <mergeCell ref="H57:H59"/>
    <mergeCell ref="I57:I59"/>
    <mergeCell ref="J57:J59"/>
    <mergeCell ref="K57:K59"/>
    <mergeCell ref="G109:G111"/>
    <mergeCell ref="H109:H111"/>
    <mergeCell ref="I109:I111"/>
    <mergeCell ref="G243:G245"/>
    <mergeCell ref="H243:H245"/>
    <mergeCell ref="I243:I245"/>
    <mergeCell ref="I20:I22"/>
    <mergeCell ref="J20:J22"/>
    <mergeCell ref="J48:J50"/>
    <mergeCell ref="K48:K50"/>
    <mergeCell ref="L57:L59"/>
    <mergeCell ref="R20:R22"/>
    <mergeCell ref="S20:S22"/>
    <mergeCell ref="T20:T22"/>
    <mergeCell ref="U20:U22"/>
    <mergeCell ref="J269:J271"/>
    <mergeCell ref="K269:K271"/>
    <mergeCell ref="L269:L271"/>
    <mergeCell ref="M170:M172"/>
    <mergeCell ref="N170:N172"/>
    <mergeCell ref="O170:O172"/>
    <mergeCell ref="K42:K44"/>
    <mergeCell ref="L42:L44"/>
    <mergeCell ref="R86:R88"/>
    <mergeCell ref="S86:S88"/>
    <mergeCell ref="T86:T88"/>
    <mergeCell ref="O246:O248"/>
    <mergeCell ref="O249:O251"/>
    <mergeCell ref="J109:J111"/>
    <mergeCell ref="S205:S207"/>
    <mergeCell ref="L51:L53"/>
    <mergeCell ref="R51:R53"/>
    <mergeCell ref="S51:S53"/>
    <mergeCell ref="Q48:Q50"/>
    <mergeCell ref="S77:S79"/>
    <mergeCell ref="M74:M76"/>
    <mergeCell ref="N74:N76"/>
    <mergeCell ref="T80:T82"/>
    <mergeCell ref="U86:U88"/>
    <mergeCell ref="M83:M85"/>
    <mergeCell ref="N83:N85"/>
    <mergeCell ref="Q54:Q56"/>
    <mergeCell ref="R54:R56"/>
    <mergeCell ref="Z773:Z775"/>
    <mergeCell ref="AA773:AA775"/>
    <mergeCell ref="H770:H772"/>
    <mergeCell ref="I770:I772"/>
    <mergeCell ref="J770:J772"/>
    <mergeCell ref="AA776:AA778"/>
    <mergeCell ref="N795:N797"/>
    <mergeCell ref="O795:O797"/>
    <mergeCell ref="P795:P797"/>
    <mergeCell ref="Q795:Q797"/>
    <mergeCell ref="R795:R797"/>
    <mergeCell ref="S795:S797"/>
    <mergeCell ref="T795:T797"/>
    <mergeCell ref="U795:U797"/>
    <mergeCell ref="V795:V797"/>
    <mergeCell ref="W795:W797"/>
    <mergeCell ref="T776:T778"/>
    <mergeCell ref="U776:U778"/>
    <mergeCell ref="V776:V778"/>
    <mergeCell ref="W776:W778"/>
    <mergeCell ref="X776:X778"/>
    <mergeCell ref="M773:M775"/>
    <mergeCell ref="N773:N775"/>
    <mergeCell ref="O773:O775"/>
    <mergeCell ref="P773:P775"/>
    <mergeCell ref="Y773:Y775"/>
    <mergeCell ref="S45:S47"/>
    <mergeCell ref="R48:R50"/>
    <mergeCell ref="S48:S50"/>
    <mergeCell ref="O51:O53"/>
    <mergeCell ref="P51:P53"/>
    <mergeCell ref="Q51:Q53"/>
    <mergeCell ref="P118:P120"/>
    <mergeCell ref="T150:T152"/>
    <mergeCell ref="U150:U152"/>
    <mergeCell ref="V150:V152"/>
    <mergeCell ref="P153:P155"/>
    <mergeCell ref="Q153:Q155"/>
    <mergeCell ref="T45:T47"/>
    <mergeCell ref="U45:U47"/>
    <mergeCell ref="V45:V47"/>
    <mergeCell ref="Q121:Q123"/>
    <mergeCell ref="R121:R123"/>
    <mergeCell ref="S121:S123"/>
    <mergeCell ref="P54:P56"/>
    <mergeCell ref="R77:R79"/>
    <mergeCell ref="O80:O82"/>
    <mergeCell ref="R106:R108"/>
    <mergeCell ref="S106:S108"/>
    <mergeCell ref="R57:R59"/>
    <mergeCell ref="Q74:Q76"/>
    <mergeCell ref="R74:R76"/>
    <mergeCell ref="Q57:Q59"/>
    <mergeCell ref="Q77:Q79"/>
    <mergeCell ref="R89:R91"/>
    <mergeCell ref="S89:S91"/>
    <mergeCell ref="T89:T91"/>
    <mergeCell ref="U89:U91"/>
    <mergeCell ref="D42:D44"/>
    <mergeCell ref="E42:E44"/>
    <mergeCell ref="F42:F44"/>
    <mergeCell ref="F45:F47"/>
    <mergeCell ref="G45:G47"/>
    <mergeCell ref="H45:H47"/>
    <mergeCell ref="I45:I47"/>
    <mergeCell ref="J45:J47"/>
    <mergeCell ref="X42:X44"/>
    <mergeCell ref="G42:G44"/>
    <mergeCell ref="H42:H44"/>
    <mergeCell ref="I42:I44"/>
    <mergeCell ref="J42:J44"/>
    <mergeCell ref="L48:L50"/>
    <mergeCell ref="M48:M50"/>
    <mergeCell ref="N48:N50"/>
    <mergeCell ref="O48:O50"/>
    <mergeCell ref="P48:P50"/>
    <mergeCell ref="G48:G50"/>
    <mergeCell ref="N45:N47"/>
    <mergeCell ref="D48:D50"/>
    <mergeCell ref="T48:T50"/>
    <mergeCell ref="U48:U50"/>
    <mergeCell ref="V48:V50"/>
    <mergeCell ref="X48:X50"/>
    <mergeCell ref="X45:X47"/>
    <mergeCell ref="H48:H50"/>
    <mergeCell ref="I48:I50"/>
    <mergeCell ref="O45:O47"/>
    <mergeCell ref="P45:P47"/>
    <mergeCell ref="Q45:Q47"/>
    <mergeCell ref="R45:R47"/>
    <mergeCell ref="R26:R28"/>
    <mergeCell ref="O23:O25"/>
    <mergeCell ref="P23:P25"/>
    <mergeCell ref="E23:E25"/>
    <mergeCell ref="F23:F25"/>
    <mergeCell ref="G23:G25"/>
    <mergeCell ref="M23:M25"/>
    <mergeCell ref="N23:N25"/>
    <mergeCell ref="X109:X111"/>
    <mergeCell ref="Y109:Y111"/>
    <mergeCell ref="M211:M213"/>
    <mergeCell ref="N211:N213"/>
    <mergeCell ref="O211:O213"/>
    <mergeCell ref="P211:P213"/>
    <mergeCell ref="Q211:Q213"/>
    <mergeCell ref="P170:P172"/>
    <mergeCell ref="Q170:Q172"/>
    <mergeCell ref="R170:R172"/>
    <mergeCell ref="S170:S172"/>
    <mergeCell ref="T170:T172"/>
    <mergeCell ref="U170:U172"/>
    <mergeCell ref="V170:V172"/>
    <mergeCell ref="S208:S210"/>
    <mergeCell ref="Q118:Q120"/>
    <mergeCell ref="R211:R213"/>
    <mergeCell ref="R208:R210"/>
    <mergeCell ref="R118:R120"/>
    <mergeCell ref="W112:W114"/>
    <mergeCell ref="X112:X114"/>
    <mergeCell ref="Y112:Y114"/>
    <mergeCell ref="O185:O187"/>
    <mergeCell ref="R153:R155"/>
    <mergeCell ref="D23:D25"/>
    <mergeCell ref="H23:H25"/>
    <mergeCell ref="I23:I25"/>
    <mergeCell ref="J23:J25"/>
    <mergeCell ref="K23:K25"/>
    <mergeCell ref="L23:L25"/>
    <mergeCell ref="F20:F22"/>
    <mergeCell ref="AA45:AA47"/>
    <mergeCell ref="M42:M44"/>
    <mergeCell ref="N42:N44"/>
    <mergeCell ref="O42:O44"/>
    <mergeCell ref="P42:P44"/>
    <mergeCell ref="Q42:Q44"/>
    <mergeCell ref="R42:R44"/>
    <mergeCell ref="S42:S44"/>
    <mergeCell ref="T42:T44"/>
    <mergeCell ref="U42:U44"/>
    <mergeCell ref="V42:V44"/>
    <mergeCell ref="Z45:Z47"/>
    <mergeCell ref="U26:U28"/>
    <mergeCell ref="S26:S28"/>
    <mergeCell ref="T26:T28"/>
    <mergeCell ref="H26:H28"/>
    <mergeCell ref="I26:I28"/>
    <mergeCell ref="J26:J28"/>
    <mergeCell ref="K26:K28"/>
    <mergeCell ref="L26:L28"/>
    <mergeCell ref="N26:N28"/>
    <mergeCell ref="O26:O28"/>
    <mergeCell ref="P26:P28"/>
    <mergeCell ref="Q26:Q28"/>
    <mergeCell ref="Y42:Y44"/>
    <mergeCell ref="R83:R85"/>
    <mergeCell ref="S83:S85"/>
    <mergeCell ref="Z112:Z114"/>
    <mergeCell ref="AA51:AA53"/>
    <mergeCell ref="S74:S76"/>
    <mergeCell ref="S57:S59"/>
    <mergeCell ref="C109:C111"/>
    <mergeCell ref="D109:D111"/>
    <mergeCell ref="R80:R82"/>
    <mergeCell ref="S80:S82"/>
    <mergeCell ref="W77:W79"/>
    <mergeCell ref="X77:X79"/>
    <mergeCell ref="Y77:Y79"/>
    <mergeCell ref="Z77:Z79"/>
    <mergeCell ref="C54:C56"/>
    <mergeCell ref="D54:D56"/>
    <mergeCell ref="E54:E56"/>
    <mergeCell ref="F54:F56"/>
    <mergeCell ref="G54:G56"/>
    <mergeCell ref="M54:M56"/>
    <mergeCell ref="N54:N56"/>
    <mergeCell ref="O54:O56"/>
    <mergeCell ref="P57:P59"/>
    <mergeCell ref="E109:E111"/>
    <mergeCell ref="F109:F111"/>
    <mergeCell ref="G51:G53"/>
    <mergeCell ref="H51:H53"/>
    <mergeCell ref="S54:S56"/>
    <mergeCell ref="D57:D59"/>
    <mergeCell ref="E57:E59"/>
    <mergeCell ref="F57:F59"/>
    <mergeCell ref="G57:G59"/>
    <mergeCell ref="C121:C123"/>
    <mergeCell ref="D121:D123"/>
    <mergeCell ref="E121:E123"/>
    <mergeCell ref="F121:F123"/>
    <mergeCell ref="G121:G123"/>
    <mergeCell ref="H121:H123"/>
    <mergeCell ref="I121:I123"/>
    <mergeCell ref="J121:J123"/>
    <mergeCell ref="K121:K123"/>
    <mergeCell ref="L121:L123"/>
    <mergeCell ref="M121:M123"/>
    <mergeCell ref="N121:N123"/>
    <mergeCell ref="O121:O123"/>
    <mergeCell ref="P121:P123"/>
    <mergeCell ref="K80:K82"/>
    <mergeCell ref="L80:L82"/>
    <mergeCell ref="M80:M82"/>
    <mergeCell ref="N80:N82"/>
    <mergeCell ref="C80:C82"/>
    <mergeCell ref="D80:D82"/>
    <mergeCell ref="E80:E82"/>
    <mergeCell ref="F80:F82"/>
    <mergeCell ref="C89:C91"/>
    <mergeCell ref="D89:D91"/>
    <mergeCell ref="E89:E91"/>
    <mergeCell ref="F89:F91"/>
    <mergeCell ref="G89:G91"/>
    <mergeCell ref="D86:D88"/>
    <mergeCell ref="E86:E88"/>
    <mergeCell ref="F86:F88"/>
    <mergeCell ref="G86:G88"/>
    <mergeCell ref="M86:M88"/>
    <mergeCell ref="AA202:AA204"/>
    <mergeCell ref="T147:T149"/>
    <mergeCell ref="U147:U149"/>
    <mergeCell ref="V147:V149"/>
    <mergeCell ref="W147:W149"/>
    <mergeCell ref="R176:R178"/>
    <mergeCell ref="S176:S178"/>
    <mergeCell ref="T176:T178"/>
    <mergeCell ref="U176:U178"/>
    <mergeCell ref="V176:V178"/>
    <mergeCell ref="W170:W172"/>
    <mergeCell ref="X170:X172"/>
    <mergeCell ref="Y170:Y172"/>
    <mergeCell ref="X147:X149"/>
    <mergeCell ref="Y147:Y149"/>
    <mergeCell ref="Z147:Z149"/>
    <mergeCell ref="Z202:Z204"/>
    <mergeCell ref="Y202:Y204"/>
    <mergeCell ref="W150:W152"/>
    <mergeCell ref="X150:X152"/>
    <mergeCell ref="Y150:Y152"/>
    <mergeCell ref="S153:S155"/>
    <mergeCell ref="W179:W181"/>
    <mergeCell ref="X179:X181"/>
    <mergeCell ref="U173:U175"/>
    <mergeCell ref="T153:T155"/>
    <mergeCell ref="U153:U155"/>
    <mergeCell ref="V153:V155"/>
    <mergeCell ref="S182:S184"/>
    <mergeCell ref="V179:V181"/>
    <mergeCell ref="S202:S204"/>
    <mergeCell ref="C243:C245"/>
    <mergeCell ref="F243:F245"/>
    <mergeCell ref="Z243:Z245"/>
    <mergeCell ref="AA243:AA245"/>
    <mergeCell ref="X243:X245"/>
    <mergeCell ref="H272:H274"/>
    <mergeCell ref="I272:I274"/>
    <mergeCell ref="J272:J274"/>
    <mergeCell ref="H310:H312"/>
    <mergeCell ref="I310:I312"/>
    <mergeCell ref="J310:J312"/>
    <mergeCell ref="K310:K312"/>
    <mergeCell ref="L310:L312"/>
    <mergeCell ref="X310:X312"/>
    <mergeCell ref="Y310:Y312"/>
    <mergeCell ref="P275:P277"/>
    <mergeCell ref="Q275:Q277"/>
    <mergeCell ref="V281:V283"/>
    <mergeCell ref="W281:W283"/>
    <mergeCell ref="X281:X283"/>
    <mergeCell ref="M281:M283"/>
    <mergeCell ref="N281:N283"/>
    <mergeCell ref="O281:O283"/>
    <mergeCell ref="P281:P283"/>
    <mergeCell ref="Q298:Q300"/>
    <mergeCell ref="Q281:Q283"/>
    <mergeCell ref="T272:T274"/>
    <mergeCell ref="U272:U274"/>
    <mergeCell ref="V272:V274"/>
    <mergeCell ref="I275:I277"/>
    <mergeCell ref="J275:J277"/>
    <mergeCell ref="K275:K277"/>
    <mergeCell ref="L275:L277"/>
    <mergeCell ref="J281:J283"/>
    <mergeCell ref="K281:K283"/>
    <mergeCell ref="R307:R309"/>
    <mergeCell ref="S307:S309"/>
    <mergeCell ref="X333:X335"/>
    <mergeCell ref="Y333:Y335"/>
    <mergeCell ref="Z333:Z335"/>
    <mergeCell ref="AA333:AA335"/>
    <mergeCell ref="R336:R338"/>
    <mergeCell ref="S336:S338"/>
    <mergeCell ref="T336:T338"/>
    <mergeCell ref="U336:U338"/>
    <mergeCell ref="V336:V338"/>
    <mergeCell ref="S310:S312"/>
    <mergeCell ref="T310:T312"/>
    <mergeCell ref="U310:U312"/>
    <mergeCell ref="S330:S332"/>
    <mergeCell ref="S333:S335"/>
    <mergeCell ref="T333:T335"/>
    <mergeCell ref="U333:U335"/>
    <mergeCell ref="V333:V335"/>
    <mergeCell ref="W336:W338"/>
    <mergeCell ref="X336:X338"/>
    <mergeCell ref="X313:X315"/>
    <mergeCell ref="Y313:Y315"/>
    <mergeCell ref="Z313:Z315"/>
    <mergeCell ref="T313:T315"/>
    <mergeCell ref="U313:U315"/>
    <mergeCell ref="V313:V315"/>
    <mergeCell ref="W313:W315"/>
    <mergeCell ref="AA330:AA332"/>
    <mergeCell ref="Q313:Q315"/>
    <mergeCell ref="N313:N315"/>
    <mergeCell ref="O313:O315"/>
    <mergeCell ref="V310:V312"/>
    <mergeCell ref="W310:W312"/>
    <mergeCell ref="J339:J341"/>
    <mergeCell ref="K339:K341"/>
    <mergeCell ref="L339:L341"/>
    <mergeCell ref="Q362:Q364"/>
    <mergeCell ref="R362:R364"/>
    <mergeCell ref="S362:S364"/>
    <mergeCell ref="T362:T364"/>
    <mergeCell ref="U362:U364"/>
    <mergeCell ref="V362:V364"/>
    <mergeCell ref="Q345:Q347"/>
    <mergeCell ref="M345:M347"/>
    <mergeCell ref="N345:N347"/>
    <mergeCell ref="O345:O347"/>
    <mergeCell ref="J345:J347"/>
    <mergeCell ref="K345:K347"/>
    <mergeCell ref="L345:L347"/>
    <mergeCell ref="J313:J315"/>
    <mergeCell ref="K313:K315"/>
    <mergeCell ref="L313:L315"/>
    <mergeCell ref="M339:M341"/>
    <mergeCell ref="R339:R341"/>
    <mergeCell ref="S339:S341"/>
    <mergeCell ref="W333:W335"/>
    <mergeCell ref="Z365:Z367"/>
    <mergeCell ref="AA365:AA367"/>
    <mergeCell ref="R368:R370"/>
    <mergeCell ref="S368:S370"/>
    <mergeCell ref="T368:T370"/>
    <mergeCell ref="U368:U370"/>
    <mergeCell ref="V368:V370"/>
    <mergeCell ref="M371:M373"/>
    <mergeCell ref="N371:N373"/>
    <mergeCell ref="O371:O373"/>
    <mergeCell ref="P371:P373"/>
    <mergeCell ref="Q371:Q373"/>
    <mergeCell ref="H374:H376"/>
    <mergeCell ref="I374:I376"/>
    <mergeCell ref="J374:J376"/>
    <mergeCell ref="K374:K376"/>
    <mergeCell ref="L374:L376"/>
    <mergeCell ref="M368:M370"/>
    <mergeCell ref="N368:N370"/>
    <mergeCell ref="O368:O370"/>
    <mergeCell ref="P368:P370"/>
    <mergeCell ref="Q368:Q370"/>
    <mergeCell ref="T374:T376"/>
    <mergeCell ref="U374:U376"/>
    <mergeCell ref="V374:V376"/>
    <mergeCell ref="Y368:Y370"/>
    <mergeCell ref="Z368:Z370"/>
    <mergeCell ref="K371:K373"/>
    <mergeCell ref="L371:L373"/>
    <mergeCell ref="R365:R367"/>
    <mergeCell ref="S365:S367"/>
    <mergeCell ref="V371:V373"/>
    <mergeCell ref="Y371:Y373"/>
    <mergeCell ref="J493:J495"/>
    <mergeCell ref="K493:K495"/>
    <mergeCell ref="L493:L495"/>
    <mergeCell ref="H473:H475"/>
    <mergeCell ref="I473:I475"/>
    <mergeCell ref="J473:J475"/>
    <mergeCell ref="K473:K475"/>
    <mergeCell ref="F496:F498"/>
    <mergeCell ref="G496:G498"/>
    <mergeCell ref="H496:H498"/>
    <mergeCell ref="I496:I498"/>
    <mergeCell ref="J496:J498"/>
    <mergeCell ref="K496:K498"/>
    <mergeCell ref="L496:L498"/>
    <mergeCell ref="M496:M498"/>
    <mergeCell ref="N496:N498"/>
    <mergeCell ref="O496:O498"/>
    <mergeCell ref="F490:F492"/>
    <mergeCell ref="G490:G492"/>
    <mergeCell ref="H490:H492"/>
    <mergeCell ref="I490:I492"/>
    <mergeCell ref="Y397:Y399"/>
    <mergeCell ref="G458:G460"/>
    <mergeCell ref="U464:U466"/>
    <mergeCell ref="M397:M399"/>
    <mergeCell ref="N397:N399"/>
    <mergeCell ref="O397:O399"/>
    <mergeCell ref="P397:P399"/>
    <mergeCell ref="Q397:Q399"/>
    <mergeCell ref="R397:R399"/>
    <mergeCell ref="S397:S399"/>
    <mergeCell ref="W526:W528"/>
    <mergeCell ref="X526:X528"/>
    <mergeCell ref="Y526:Y528"/>
    <mergeCell ref="Z526:Z528"/>
    <mergeCell ref="AA526:AA528"/>
    <mergeCell ref="R529:R531"/>
    <mergeCell ref="S529:S531"/>
    <mergeCell ref="T529:T531"/>
    <mergeCell ref="U529:U531"/>
    <mergeCell ref="V529:V531"/>
    <mergeCell ref="P496:P498"/>
    <mergeCell ref="Q496:Q498"/>
    <mergeCell ref="F493:F495"/>
    <mergeCell ref="G493:G495"/>
    <mergeCell ref="H493:H495"/>
    <mergeCell ref="F499:F501"/>
    <mergeCell ref="G499:G501"/>
    <mergeCell ref="H499:H501"/>
    <mergeCell ref="I499:I501"/>
    <mergeCell ref="J499:J501"/>
    <mergeCell ref="K499:K501"/>
    <mergeCell ref="L499:L501"/>
    <mergeCell ref="T505:T507"/>
    <mergeCell ref="U505:U507"/>
    <mergeCell ref="V505:V507"/>
    <mergeCell ref="H526:H528"/>
    <mergeCell ref="I526:I528"/>
    <mergeCell ref="J526:J528"/>
    <mergeCell ref="P526:P528"/>
    <mergeCell ref="R499:R501"/>
    <mergeCell ref="S499:S501"/>
    <mergeCell ref="T499:T501"/>
    <mergeCell ref="C538:C540"/>
    <mergeCell ref="D538:D540"/>
    <mergeCell ref="E538:E540"/>
    <mergeCell ref="F538:F540"/>
    <mergeCell ref="G538:G540"/>
    <mergeCell ref="Q526:Q528"/>
    <mergeCell ref="R526:R528"/>
    <mergeCell ref="S526:S528"/>
    <mergeCell ref="T526:T528"/>
    <mergeCell ref="U526:U528"/>
    <mergeCell ref="V526:V528"/>
    <mergeCell ref="U535:U537"/>
    <mergeCell ref="V535:V537"/>
    <mergeCell ref="C529:C531"/>
    <mergeCell ref="D529:D531"/>
    <mergeCell ref="E529:E531"/>
    <mergeCell ref="F529:F531"/>
    <mergeCell ref="G529:G531"/>
    <mergeCell ref="H535:H537"/>
    <mergeCell ref="H529:H531"/>
    <mergeCell ref="N532:N534"/>
    <mergeCell ref="O532:O534"/>
    <mergeCell ref="P532:P534"/>
    <mergeCell ref="Q532:Q534"/>
    <mergeCell ref="I529:I531"/>
    <mergeCell ref="I532:I534"/>
    <mergeCell ref="J532:J534"/>
    <mergeCell ref="V563:V565"/>
    <mergeCell ref="T560:T562"/>
    <mergeCell ref="M560:M562"/>
    <mergeCell ref="U560:U562"/>
    <mergeCell ref="V560:V562"/>
    <mergeCell ref="AA563:AA565"/>
    <mergeCell ref="H557:H559"/>
    <mergeCell ref="I557:I559"/>
    <mergeCell ref="J557:J559"/>
    <mergeCell ref="K557:K559"/>
    <mergeCell ref="L557:L559"/>
    <mergeCell ref="M557:M559"/>
    <mergeCell ref="N557:N559"/>
    <mergeCell ref="O557:O559"/>
    <mergeCell ref="P557:P559"/>
    <mergeCell ref="Q557:Q559"/>
    <mergeCell ref="R557:R559"/>
    <mergeCell ref="S557:S559"/>
    <mergeCell ref="T557:T559"/>
    <mergeCell ref="U557:U559"/>
    <mergeCell ref="V557:V559"/>
    <mergeCell ref="W557:W559"/>
    <mergeCell ref="X557:X559"/>
    <mergeCell ref="H563:H565"/>
    <mergeCell ref="I563:I565"/>
    <mergeCell ref="J560:J562"/>
    <mergeCell ref="D572:D574"/>
    <mergeCell ref="E572:E574"/>
    <mergeCell ref="F572:F574"/>
    <mergeCell ref="G572:G574"/>
    <mergeCell ref="W594:W596"/>
    <mergeCell ref="X594:X596"/>
    <mergeCell ref="C569:C571"/>
    <mergeCell ref="D569:D571"/>
    <mergeCell ref="C594:C596"/>
    <mergeCell ref="D594:D596"/>
    <mergeCell ref="N594:N596"/>
    <mergeCell ref="O594:O596"/>
    <mergeCell ref="P594:P596"/>
    <mergeCell ref="Q594:Q596"/>
    <mergeCell ref="N569:N571"/>
    <mergeCell ref="O569:O571"/>
    <mergeCell ref="W569:W571"/>
    <mergeCell ref="V569:V571"/>
    <mergeCell ref="P569:P571"/>
    <mergeCell ref="I572:I574"/>
    <mergeCell ref="J572:J574"/>
    <mergeCell ref="K572:K574"/>
    <mergeCell ref="L572:L574"/>
    <mergeCell ref="M569:M571"/>
    <mergeCell ref="M572:M574"/>
    <mergeCell ref="N572:N574"/>
    <mergeCell ref="O572:O574"/>
    <mergeCell ref="R591:R593"/>
    <mergeCell ref="S591:S593"/>
    <mergeCell ref="T591:T593"/>
    <mergeCell ref="U591:U593"/>
    <mergeCell ref="V591:V593"/>
    <mergeCell ref="J597:J599"/>
    <mergeCell ref="K597:K599"/>
    <mergeCell ref="L597:L599"/>
    <mergeCell ref="M597:M599"/>
    <mergeCell ref="N597:N599"/>
    <mergeCell ref="O597:O599"/>
    <mergeCell ref="C606:C608"/>
    <mergeCell ref="D606:D608"/>
    <mergeCell ref="E606:E608"/>
    <mergeCell ref="F606:F608"/>
    <mergeCell ref="G606:G608"/>
    <mergeCell ref="W628:W630"/>
    <mergeCell ref="X628:X630"/>
    <mergeCell ref="Y628:Y630"/>
    <mergeCell ref="Z628:Z630"/>
    <mergeCell ref="AA628:AA630"/>
    <mergeCell ref="R631:R633"/>
    <mergeCell ref="S631:S633"/>
    <mergeCell ref="T631:T633"/>
    <mergeCell ref="U631:U633"/>
    <mergeCell ref="V631:V633"/>
    <mergeCell ref="N631:N633"/>
    <mergeCell ref="O631:O633"/>
    <mergeCell ref="T625:T627"/>
    <mergeCell ref="U625:U627"/>
    <mergeCell ref="W625:W627"/>
    <mergeCell ref="X625:X627"/>
    <mergeCell ref="N625:N627"/>
    <mergeCell ref="O625:O627"/>
    <mergeCell ref="P625:P627"/>
    <mergeCell ref="Q625:Q627"/>
    <mergeCell ref="R625:R627"/>
    <mergeCell ref="C640:C642"/>
    <mergeCell ref="D640:D642"/>
    <mergeCell ref="E640:E642"/>
    <mergeCell ref="F640:F642"/>
    <mergeCell ref="G640:G642"/>
    <mergeCell ref="W662:W664"/>
    <mergeCell ref="X662:X664"/>
    <mergeCell ref="Y662:Y664"/>
    <mergeCell ref="Z662:Z664"/>
    <mergeCell ref="AA662:AA664"/>
    <mergeCell ref="R665:R667"/>
    <mergeCell ref="S665:S667"/>
    <mergeCell ref="T665:T667"/>
    <mergeCell ref="U665:U667"/>
    <mergeCell ref="V665:V667"/>
    <mergeCell ref="M668:M670"/>
    <mergeCell ref="N668:N670"/>
    <mergeCell ref="O668:O670"/>
    <mergeCell ref="P668:P670"/>
    <mergeCell ref="Q668:Q670"/>
    <mergeCell ref="AA659:AA661"/>
    <mergeCell ref="C662:C664"/>
    <mergeCell ref="D662:D664"/>
    <mergeCell ref="E662:E664"/>
    <mergeCell ref="F662:F664"/>
    <mergeCell ref="G662:G664"/>
    <mergeCell ref="H662:H664"/>
    <mergeCell ref="I662:I664"/>
    <mergeCell ref="J662:J664"/>
    <mergeCell ref="K662:K664"/>
    <mergeCell ref="L662:L664"/>
    <mergeCell ref="M662:M664"/>
    <mergeCell ref="Z696:Z698"/>
    <mergeCell ref="AA696:AA698"/>
    <mergeCell ref="R699:R701"/>
    <mergeCell ref="S699:S701"/>
    <mergeCell ref="T699:T701"/>
    <mergeCell ref="U699:U701"/>
    <mergeCell ref="V699:V701"/>
    <mergeCell ref="M702:M704"/>
    <mergeCell ref="N702:N704"/>
    <mergeCell ref="O702:O704"/>
    <mergeCell ref="P702:P704"/>
    <mergeCell ref="Q702:Q704"/>
    <mergeCell ref="J693:J695"/>
    <mergeCell ref="K693:K695"/>
    <mergeCell ref="L693:L695"/>
    <mergeCell ref="M693:M695"/>
    <mergeCell ref="W693:W695"/>
    <mergeCell ref="V702:V704"/>
    <mergeCell ref="W702:W704"/>
    <mergeCell ref="X702:X704"/>
    <mergeCell ref="Y702:Y704"/>
    <mergeCell ref="Z702:Z704"/>
    <mergeCell ref="W696:W698"/>
    <mergeCell ref="X696:X698"/>
    <mergeCell ref="Y696:Y698"/>
    <mergeCell ref="K699:K701"/>
    <mergeCell ref="L699:L701"/>
    <mergeCell ref="M699:M701"/>
    <mergeCell ref="N699:N701"/>
    <mergeCell ref="O699:O701"/>
    <mergeCell ref="P699:P701"/>
    <mergeCell ref="Q699:Q701"/>
    <mergeCell ref="D699:D701"/>
    <mergeCell ref="E699:E701"/>
    <mergeCell ref="F699:F701"/>
    <mergeCell ref="G699:G701"/>
    <mergeCell ref="H699:H701"/>
    <mergeCell ref="I699:I701"/>
    <mergeCell ref="J699:J701"/>
    <mergeCell ref="X730:X732"/>
    <mergeCell ref="Y730:Y732"/>
    <mergeCell ref="Z730:Z732"/>
    <mergeCell ref="AA730:AA732"/>
    <mergeCell ref="R733:R735"/>
    <mergeCell ref="S733:S735"/>
    <mergeCell ref="T733:T735"/>
    <mergeCell ref="U733:U735"/>
    <mergeCell ref="V733:V735"/>
    <mergeCell ref="M736:M738"/>
    <mergeCell ref="N736:N738"/>
    <mergeCell ref="O736:O738"/>
    <mergeCell ref="P736:P738"/>
    <mergeCell ref="Q736:Q738"/>
    <mergeCell ref="X705:X707"/>
    <mergeCell ref="R705:R707"/>
    <mergeCell ref="S705:S707"/>
    <mergeCell ref="T705:T707"/>
    <mergeCell ref="AA708:AA710"/>
    <mergeCell ref="S727:S729"/>
    <mergeCell ref="T727:T729"/>
    <mergeCell ref="U727:U729"/>
    <mergeCell ref="V727:V729"/>
    <mergeCell ref="W727:W729"/>
    <mergeCell ref="M730:M732"/>
    <mergeCell ref="J739:J741"/>
    <mergeCell ref="K739:K741"/>
    <mergeCell ref="L739:L741"/>
    <mergeCell ref="L733:L735"/>
    <mergeCell ref="M733:M735"/>
    <mergeCell ref="N733:N735"/>
    <mergeCell ref="O733:O735"/>
    <mergeCell ref="P733:P735"/>
    <mergeCell ref="Q733:Q735"/>
    <mergeCell ref="W733:W735"/>
    <mergeCell ref="AA739:AA741"/>
    <mergeCell ref="W739:W741"/>
    <mergeCell ref="X739:X741"/>
    <mergeCell ref="Y739:Y741"/>
    <mergeCell ref="Z739:Z741"/>
    <mergeCell ref="C742:C744"/>
    <mergeCell ref="D742:D744"/>
    <mergeCell ref="E742:E744"/>
    <mergeCell ref="F742:F744"/>
    <mergeCell ref="G742:G744"/>
    <mergeCell ref="T739:T741"/>
    <mergeCell ref="U739:U741"/>
    <mergeCell ref="V739:V741"/>
    <mergeCell ref="X733:X735"/>
    <mergeCell ref="Y733:Y735"/>
    <mergeCell ref="Z733:Z735"/>
    <mergeCell ref="AA733:AA735"/>
    <mergeCell ref="AA736:AA738"/>
    <mergeCell ref="V736:V738"/>
    <mergeCell ref="W736:W738"/>
    <mergeCell ref="X736:X738"/>
    <mergeCell ref="Z736:Z738"/>
    <mergeCell ref="U767:U769"/>
    <mergeCell ref="V767:V769"/>
    <mergeCell ref="M770:M772"/>
    <mergeCell ref="N770:N772"/>
    <mergeCell ref="O770:O772"/>
    <mergeCell ref="P770:P772"/>
    <mergeCell ref="Q770:Q772"/>
    <mergeCell ref="H764:H766"/>
    <mergeCell ref="I764:I766"/>
    <mergeCell ref="J764:J766"/>
    <mergeCell ref="V764:V766"/>
    <mergeCell ref="K770:K772"/>
    <mergeCell ref="Z761:Z763"/>
    <mergeCell ref="J742:J744"/>
    <mergeCell ref="K742:K744"/>
    <mergeCell ref="L742:L744"/>
    <mergeCell ref="M742:M744"/>
    <mergeCell ref="N742:N744"/>
    <mergeCell ref="O742:O744"/>
    <mergeCell ref="H761:H763"/>
    <mergeCell ref="I761:I763"/>
    <mergeCell ref="J761:J763"/>
    <mergeCell ref="K761:K763"/>
    <mergeCell ref="L761:L763"/>
    <mergeCell ref="M761:M763"/>
    <mergeCell ref="Y761:Y763"/>
    <mergeCell ref="P761:P763"/>
    <mergeCell ref="Q761:Q763"/>
    <mergeCell ref="T767:T769"/>
    <mergeCell ref="T742:T744"/>
    <mergeCell ref="E776:E778"/>
    <mergeCell ref="F776:F778"/>
    <mergeCell ref="G776:G778"/>
    <mergeCell ref="W798:W800"/>
    <mergeCell ref="X798:X800"/>
    <mergeCell ref="Y798:Y800"/>
    <mergeCell ref="Z798:Z800"/>
    <mergeCell ref="AA798:AA800"/>
    <mergeCell ref="R801:R803"/>
    <mergeCell ref="S801:S803"/>
    <mergeCell ref="T801:T803"/>
    <mergeCell ref="U801:U803"/>
    <mergeCell ref="V801:V803"/>
    <mergeCell ref="M804:M806"/>
    <mergeCell ref="N804:N806"/>
    <mergeCell ref="O804:O806"/>
    <mergeCell ref="P804:P806"/>
    <mergeCell ref="Q804:Q806"/>
    <mergeCell ref="H795:H797"/>
    <mergeCell ref="I795:I797"/>
    <mergeCell ref="J795:J797"/>
    <mergeCell ref="K795:K797"/>
    <mergeCell ref="L795:L797"/>
    <mergeCell ref="H798:H800"/>
    <mergeCell ref="I798:I800"/>
    <mergeCell ref="J798:J800"/>
    <mergeCell ref="K798:K800"/>
    <mergeCell ref="L798:L800"/>
    <mergeCell ref="AA804:AA806"/>
    <mergeCell ref="Y776:Y778"/>
    <mergeCell ref="Z776:Z778"/>
    <mergeCell ref="H801:H803"/>
    <mergeCell ref="W832:W834"/>
    <mergeCell ref="X832:X834"/>
    <mergeCell ref="Y832:Y834"/>
    <mergeCell ref="Z832:Z834"/>
    <mergeCell ref="AA832:AA834"/>
    <mergeCell ref="R835:R837"/>
    <mergeCell ref="S835:S837"/>
    <mergeCell ref="T835:T837"/>
    <mergeCell ref="U835:U837"/>
    <mergeCell ref="V835:V837"/>
    <mergeCell ref="H832:H834"/>
    <mergeCell ref="I832:I834"/>
    <mergeCell ref="J832:J834"/>
    <mergeCell ref="K832:K834"/>
    <mergeCell ref="L832:L834"/>
    <mergeCell ref="M832:M834"/>
    <mergeCell ref="N832:N834"/>
    <mergeCell ref="Q835:Q837"/>
    <mergeCell ref="X866:X868"/>
    <mergeCell ref="Y866:Y868"/>
    <mergeCell ref="Z866:Z868"/>
    <mergeCell ref="AA866:AA868"/>
    <mergeCell ref="R869:R871"/>
    <mergeCell ref="S869:S871"/>
    <mergeCell ref="T869:T871"/>
    <mergeCell ref="U869:U871"/>
    <mergeCell ref="V869:V871"/>
    <mergeCell ref="H866:H868"/>
    <mergeCell ref="I866:I868"/>
    <mergeCell ref="J866:J868"/>
    <mergeCell ref="K866:K868"/>
    <mergeCell ref="L866:L868"/>
    <mergeCell ref="M866:M868"/>
    <mergeCell ref="N866:N868"/>
    <mergeCell ref="O866:O868"/>
    <mergeCell ref="M872:M874"/>
    <mergeCell ref="N872:N874"/>
    <mergeCell ref="O872:O874"/>
    <mergeCell ref="P872:P874"/>
    <mergeCell ref="Q872:Q874"/>
    <mergeCell ref="H875:H877"/>
    <mergeCell ref="I875:I877"/>
    <mergeCell ref="J875:J877"/>
    <mergeCell ref="K875:K877"/>
    <mergeCell ref="L875:L877"/>
    <mergeCell ref="C878:C880"/>
    <mergeCell ref="D878:D880"/>
    <mergeCell ref="E878:E880"/>
    <mergeCell ref="F878:F880"/>
    <mergeCell ref="G878:G880"/>
    <mergeCell ref="W900:W902"/>
    <mergeCell ref="X900:X902"/>
    <mergeCell ref="D897:D899"/>
    <mergeCell ref="E897:E899"/>
    <mergeCell ref="F897:F899"/>
    <mergeCell ref="G897:G899"/>
    <mergeCell ref="H897:H899"/>
    <mergeCell ref="I897:I899"/>
    <mergeCell ref="J897:J899"/>
    <mergeCell ref="K897:K899"/>
    <mergeCell ref="L897:L899"/>
    <mergeCell ref="M897:M899"/>
    <mergeCell ref="N897:N899"/>
    <mergeCell ref="O897:O899"/>
    <mergeCell ref="P897:P899"/>
    <mergeCell ref="Q897:Q899"/>
    <mergeCell ref="R897:R899"/>
    <mergeCell ref="Y900:Y902"/>
    <mergeCell ref="Z900:Z902"/>
    <mergeCell ref="AA900:AA902"/>
    <mergeCell ref="R903:R905"/>
    <mergeCell ref="S903:S905"/>
    <mergeCell ref="T903:T905"/>
    <mergeCell ref="U903:U905"/>
    <mergeCell ref="V903:V905"/>
    <mergeCell ref="M906:M908"/>
    <mergeCell ref="N906:N908"/>
    <mergeCell ref="O906:O908"/>
    <mergeCell ref="P906:P908"/>
    <mergeCell ref="Q906:Q908"/>
    <mergeCell ref="H909:H911"/>
    <mergeCell ref="I909:I911"/>
    <mergeCell ref="J909:J911"/>
    <mergeCell ref="K909:K911"/>
    <mergeCell ref="L909:L911"/>
    <mergeCell ref="Z903:Z905"/>
    <mergeCell ref="AA903:AA905"/>
    <mergeCell ref="H906:H908"/>
    <mergeCell ref="I906:I908"/>
    <mergeCell ref="J906:J908"/>
    <mergeCell ref="K906:K908"/>
    <mergeCell ref="L906:L908"/>
    <mergeCell ref="R906:R908"/>
    <mergeCell ref="S906:S908"/>
    <mergeCell ref="T906:T908"/>
    <mergeCell ref="U906:U908"/>
    <mergeCell ref="V906:V908"/>
    <mergeCell ref="W906:W908"/>
    <mergeCell ref="T909:T911"/>
    <mergeCell ref="C912:C914"/>
    <mergeCell ref="D912:D914"/>
    <mergeCell ref="E912:E914"/>
    <mergeCell ref="F912:F914"/>
    <mergeCell ref="G912:G914"/>
    <mergeCell ref="W934:W936"/>
    <mergeCell ref="X934:X936"/>
    <mergeCell ref="Y934:Y936"/>
    <mergeCell ref="Z934:Z936"/>
    <mergeCell ref="AA934:AA936"/>
    <mergeCell ref="R937:R939"/>
    <mergeCell ref="S937:S939"/>
    <mergeCell ref="T937:T939"/>
    <mergeCell ref="U937:U939"/>
    <mergeCell ref="V937:V939"/>
    <mergeCell ref="M940:M942"/>
    <mergeCell ref="N940:N942"/>
    <mergeCell ref="O940:O942"/>
    <mergeCell ref="P940:P942"/>
    <mergeCell ref="Q940:Q942"/>
    <mergeCell ref="L931:L933"/>
    <mergeCell ref="M931:M933"/>
    <mergeCell ref="N931:N933"/>
    <mergeCell ref="O931:O933"/>
    <mergeCell ref="P931:P933"/>
    <mergeCell ref="Q931:Q933"/>
    <mergeCell ref="R931:R933"/>
    <mergeCell ref="S931:S933"/>
    <mergeCell ref="T931:T933"/>
    <mergeCell ref="U931:U933"/>
    <mergeCell ref="V931:V933"/>
    <mergeCell ref="W931:W933"/>
    <mergeCell ref="C971:C973"/>
    <mergeCell ref="I971:I973"/>
    <mergeCell ref="J971:J973"/>
    <mergeCell ref="K971:K973"/>
    <mergeCell ref="L971:L973"/>
    <mergeCell ref="M971:M973"/>
    <mergeCell ref="N971:N973"/>
    <mergeCell ref="O971:O973"/>
    <mergeCell ref="P971:P973"/>
    <mergeCell ref="E980:E982"/>
    <mergeCell ref="F980:F982"/>
    <mergeCell ref="G980:G982"/>
    <mergeCell ref="Y968:Y970"/>
    <mergeCell ref="Z968:Z970"/>
    <mergeCell ref="AA968:AA970"/>
    <mergeCell ref="R971:R973"/>
    <mergeCell ref="S971:S973"/>
    <mergeCell ref="T971:T973"/>
    <mergeCell ref="U971:U973"/>
    <mergeCell ref="V971:V973"/>
    <mergeCell ref="M974:M976"/>
    <mergeCell ref="N974:N976"/>
    <mergeCell ref="O974:O976"/>
    <mergeCell ref="P974:P976"/>
    <mergeCell ref="Q974:Q976"/>
    <mergeCell ref="H977:H979"/>
    <mergeCell ref="I977:I979"/>
    <mergeCell ref="J977:J979"/>
    <mergeCell ref="K977:K979"/>
    <mergeCell ref="L977:L979"/>
    <mergeCell ref="Q971:Q973"/>
    <mergeCell ref="Q968:Q970"/>
  </mergeCells>
  <phoneticPr fontId="19" type="noConversion"/>
  <pageMargins left="0.19685039370078741" right="0.19685039370078741" top="0.39370078740157483" bottom="0.59055118110236227" header="0" footer="0"/>
  <pageSetup paperSize="9" scale="96" orientation="landscape" horizontalDpi="300" verticalDpi="300" r:id="rId1"/>
  <headerFooter alignWithMargins="0"/>
  <rowBreaks count="33" manualBreakCount="33">
    <brk id="32" max="16383" man="1"/>
    <brk id="64" max="16383" man="1"/>
    <brk id="96" max="16383" man="1"/>
    <brk id="128" max="16383" man="1"/>
    <brk id="160" max="16383" man="1"/>
    <brk id="192" max="16383" man="1"/>
    <brk id="224" max="16383" man="1"/>
    <brk id="256" max="16383" man="1"/>
    <brk id="288" max="16383" man="1"/>
    <brk id="320" max="16383" man="1"/>
    <brk id="352" max="16383" man="1"/>
    <brk id="384" max="16383" man="1"/>
    <brk id="416" max="16383" man="1"/>
    <brk id="448" max="16383" man="1"/>
    <brk id="480" max="16383" man="1"/>
    <brk id="513" max="16383" man="1"/>
    <brk id="547" max="16383" man="1"/>
    <brk id="581" max="16383" man="1"/>
    <brk id="614" max="16383" man="1"/>
    <brk id="649" max="16383" man="1"/>
    <brk id="683" max="16383" man="1"/>
    <brk id="717" max="16383" man="1"/>
    <brk id="751" max="16383" man="1"/>
    <brk id="785" max="16383" man="1"/>
    <brk id="819" max="16383" man="1"/>
    <brk id="853" max="16383" man="1"/>
    <brk id="887" max="16383" man="1"/>
    <brk id="921" max="16383" man="1"/>
    <brk id="955" max="16383" man="1"/>
    <brk id="989" max="31" man="1"/>
    <brk id="1024" max="31" man="1"/>
    <brk id="1056" max="31" man="1"/>
    <brk id="1089" max="3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E40D9-D913-4FAB-9D24-B24862008B64}">
  <sheetPr codeName="Hoja6">
    <tabColor rgb="FFFF0000"/>
  </sheetPr>
  <dimension ref="A3:AF1119"/>
  <sheetViews>
    <sheetView view="pageBreakPreview" topLeftCell="A520" zoomScale="120" zoomScaleNormal="100" zoomScaleSheetLayoutView="120" workbookViewId="0">
      <selection activeCell="A515" sqref="A515:AF544"/>
    </sheetView>
  </sheetViews>
  <sheetFormatPr baseColWidth="10" defaultRowHeight="13.2" x14ac:dyDescent="0.25"/>
  <cols>
    <col min="1" max="1" width="5.6640625" style="26" customWidth="1"/>
    <col min="2" max="2" width="39.33203125" style="26" customWidth="1"/>
    <col min="3" max="27" width="3.109375" customWidth="1"/>
    <col min="28" max="28" width="12.6640625" customWidth="1"/>
    <col min="29" max="31" width="3.109375" customWidth="1"/>
    <col min="32" max="32" width="0.109375" customWidth="1"/>
  </cols>
  <sheetData>
    <row r="3" spans="1:32" ht="24.6" x14ac:dyDescent="0.25">
      <c r="A3" s="144" t="str">
        <f>'INSCRIPCION '!A$1</f>
        <v>TIRADA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</row>
    <row r="4" spans="1:32" ht="19.5" customHeight="1" x14ac:dyDescent="0.4">
      <c r="A4" s="23"/>
      <c r="B4" s="23"/>
    </row>
    <row r="5" spans="1:32" ht="22.5" customHeight="1" x14ac:dyDescent="0.25">
      <c r="A5" s="132" t="str">
        <f>'INSCRIPCION '!A$2</f>
        <v>CAMPO DE TIRO LA ISLA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ht="19.5" customHeight="1" x14ac:dyDescent="0.25">
      <c r="A6" s="143" t="str">
        <f>'INSCRIPCION '!A$3</f>
        <v>XXX PLATOS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</row>
    <row r="7" spans="1:32" ht="22.8" x14ac:dyDescent="0.4">
      <c r="A7" s="24"/>
      <c r="B7" s="24"/>
    </row>
    <row r="8" spans="1:32" ht="17.399999999999999" x14ac:dyDescent="0.3">
      <c r="A8" s="25" t="s">
        <v>9</v>
      </c>
      <c r="B8" s="25"/>
      <c r="J8" s="9" t="s">
        <v>6</v>
      </c>
      <c r="K8" s="9"/>
      <c r="L8" s="9"/>
      <c r="M8" s="9"/>
      <c r="N8" s="9"/>
      <c r="O8" s="22">
        <v>2</v>
      </c>
      <c r="P8" s="22"/>
      <c r="Q8" s="8"/>
      <c r="R8" s="8"/>
      <c r="S8" s="7"/>
      <c r="T8" s="8"/>
      <c r="U8" s="8"/>
      <c r="V8" s="9" t="s">
        <v>7</v>
      </c>
      <c r="W8" s="9"/>
      <c r="X8" s="9"/>
      <c r="Y8" s="9"/>
      <c r="Z8" s="22">
        <v>2</v>
      </c>
      <c r="AA8" s="22"/>
    </row>
    <row r="9" spans="1:32" ht="13.8" thickBot="1" x14ac:dyDescent="0.3"/>
    <row r="10" spans="1:32" ht="15.6" thickBot="1" x14ac:dyDescent="0.3">
      <c r="A10" s="27" t="s">
        <v>0</v>
      </c>
      <c r="B10" s="27" t="s">
        <v>8</v>
      </c>
      <c r="C10" s="47">
        <v>1</v>
      </c>
      <c r="D10" s="48">
        <v>2</v>
      </c>
      <c r="E10" s="48">
        <v>3</v>
      </c>
      <c r="F10" s="48">
        <v>4</v>
      </c>
      <c r="G10" s="49">
        <v>5</v>
      </c>
      <c r="H10" s="47">
        <v>6</v>
      </c>
      <c r="I10" s="48">
        <v>7</v>
      </c>
      <c r="J10" s="48">
        <v>8</v>
      </c>
      <c r="K10" s="48">
        <v>9</v>
      </c>
      <c r="L10" s="49">
        <v>10</v>
      </c>
      <c r="M10" s="47">
        <v>11</v>
      </c>
      <c r="N10" s="48">
        <v>12</v>
      </c>
      <c r="O10" s="48">
        <v>13</v>
      </c>
      <c r="P10" s="48">
        <v>14</v>
      </c>
      <c r="Q10" s="49">
        <v>15</v>
      </c>
      <c r="R10" s="47">
        <v>16</v>
      </c>
      <c r="S10" s="48">
        <v>17</v>
      </c>
      <c r="T10" s="48">
        <v>18</v>
      </c>
      <c r="U10" s="48">
        <v>19</v>
      </c>
      <c r="V10" s="49">
        <v>20</v>
      </c>
      <c r="W10" s="47">
        <v>21</v>
      </c>
      <c r="X10" s="48">
        <v>22</v>
      </c>
      <c r="Y10" s="48">
        <v>23</v>
      </c>
      <c r="Z10" s="48">
        <v>24</v>
      </c>
      <c r="AA10" s="49">
        <v>25</v>
      </c>
      <c r="AB10" s="30" t="s">
        <v>1</v>
      </c>
    </row>
    <row r="11" spans="1:32" ht="15.75" customHeight="1" thickTop="1" thickBot="1" x14ac:dyDescent="0.3">
      <c r="A11" s="139">
        <v>1</v>
      </c>
      <c r="B11" s="136">
        <f>ESCUADRAS!C12</f>
        <v>0</v>
      </c>
      <c r="C11" s="129"/>
      <c r="D11" s="114"/>
      <c r="E11" s="114"/>
      <c r="F11" s="114"/>
      <c r="G11" s="117"/>
      <c r="H11" s="111"/>
      <c r="I11" s="105"/>
      <c r="J11" s="105"/>
      <c r="K11" s="105"/>
      <c r="L11" s="108"/>
      <c r="M11" s="111"/>
      <c r="N11" s="105"/>
      <c r="O11" s="105"/>
      <c r="P11" s="105"/>
      <c r="Q11" s="108"/>
      <c r="R11" s="111"/>
      <c r="S11" s="105"/>
      <c r="T11" s="105"/>
      <c r="U11" s="105"/>
      <c r="V11" s="108"/>
      <c r="W11" s="111"/>
      <c r="X11" s="105"/>
      <c r="Y11" s="105"/>
      <c r="Z11" s="105"/>
      <c r="AA11" s="108"/>
      <c r="AB11" s="133"/>
    </row>
    <row r="12" spans="1:32" ht="15.75" customHeight="1" thickTop="1" thickBot="1" x14ac:dyDescent="0.3">
      <c r="A12" s="139"/>
      <c r="B12" s="137"/>
      <c r="C12" s="130"/>
      <c r="D12" s="115"/>
      <c r="E12" s="115"/>
      <c r="F12" s="115"/>
      <c r="G12" s="118"/>
      <c r="H12" s="112"/>
      <c r="I12" s="106"/>
      <c r="J12" s="106"/>
      <c r="K12" s="106"/>
      <c r="L12" s="109"/>
      <c r="M12" s="112"/>
      <c r="N12" s="106"/>
      <c r="O12" s="106"/>
      <c r="P12" s="106"/>
      <c r="Q12" s="109"/>
      <c r="R12" s="112"/>
      <c r="S12" s="106"/>
      <c r="T12" s="106"/>
      <c r="U12" s="106"/>
      <c r="V12" s="109"/>
      <c r="W12" s="112"/>
      <c r="X12" s="106"/>
      <c r="Y12" s="106"/>
      <c r="Z12" s="106"/>
      <c r="AA12" s="109"/>
      <c r="AB12" s="134"/>
    </row>
    <row r="13" spans="1:32" ht="15.75" customHeight="1" thickTop="1" thickBot="1" x14ac:dyDescent="0.3">
      <c r="A13" s="139"/>
      <c r="B13" s="138"/>
      <c r="C13" s="131"/>
      <c r="D13" s="116"/>
      <c r="E13" s="116"/>
      <c r="F13" s="116"/>
      <c r="G13" s="119"/>
      <c r="H13" s="113"/>
      <c r="I13" s="107"/>
      <c r="J13" s="107"/>
      <c r="K13" s="107"/>
      <c r="L13" s="110"/>
      <c r="M13" s="113"/>
      <c r="N13" s="107"/>
      <c r="O13" s="107"/>
      <c r="P13" s="107"/>
      <c r="Q13" s="110"/>
      <c r="R13" s="113"/>
      <c r="S13" s="107"/>
      <c r="T13" s="107"/>
      <c r="U13" s="107"/>
      <c r="V13" s="110"/>
      <c r="W13" s="113"/>
      <c r="X13" s="107"/>
      <c r="Y13" s="107"/>
      <c r="Z13" s="107"/>
      <c r="AA13" s="110"/>
      <c r="AB13" s="135"/>
    </row>
    <row r="14" spans="1:32" ht="15.75" customHeight="1" thickTop="1" x14ac:dyDescent="0.25">
      <c r="A14" s="140">
        <f>ESCUADRAS!B8</f>
        <v>2</v>
      </c>
      <c r="B14" s="136">
        <f>ESCUADRAS!C7</f>
        <v>0</v>
      </c>
      <c r="C14" s="93"/>
      <c r="D14" s="123"/>
      <c r="E14" s="123"/>
      <c r="F14" s="123"/>
      <c r="G14" s="126"/>
      <c r="H14" s="102"/>
      <c r="I14" s="96"/>
      <c r="J14" s="96"/>
      <c r="K14" s="96"/>
      <c r="L14" s="99"/>
      <c r="M14" s="102"/>
      <c r="N14" s="96"/>
      <c r="O14" s="96"/>
      <c r="P14" s="96"/>
      <c r="Q14" s="99"/>
      <c r="R14" s="102"/>
      <c r="S14" s="96"/>
      <c r="T14" s="96"/>
      <c r="U14" s="96"/>
      <c r="V14" s="99"/>
      <c r="W14" s="111"/>
      <c r="X14" s="105"/>
      <c r="Y14" s="105"/>
      <c r="Z14" s="105"/>
      <c r="AA14" s="108"/>
      <c r="AB14" s="133"/>
    </row>
    <row r="15" spans="1:32" ht="15.75" customHeight="1" x14ac:dyDescent="0.25">
      <c r="A15" s="141"/>
      <c r="B15" s="137"/>
      <c r="C15" s="94"/>
      <c r="D15" s="124"/>
      <c r="E15" s="124"/>
      <c r="F15" s="124"/>
      <c r="G15" s="127"/>
      <c r="H15" s="103"/>
      <c r="I15" s="97"/>
      <c r="J15" s="97"/>
      <c r="K15" s="97"/>
      <c r="L15" s="100"/>
      <c r="M15" s="103"/>
      <c r="N15" s="97"/>
      <c r="O15" s="97"/>
      <c r="P15" s="97"/>
      <c r="Q15" s="100"/>
      <c r="R15" s="103"/>
      <c r="S15" s="97"/>
      <c r="T15" s="97"/>
      <c r="U15" s="97"/>
      <c r="V15" s="100"/>
      <c r="W15" s="112"/>
      <c r="X15" s="106"/>
      <c r="Y15" s="106"/>
      <c r="Z15" s="106"/>
      <c r="AA15" s="109"/>
      <c r="AB15" s="134"/>
    </row>
    <row r="16" spans="1:32" ht="15.75" customHeight="1" thickBot="1" x14ac:dyDescent="0.3">
      <c r="A16" s="142"/>
      <c r="B16" s="138"/>
      <c r="C16" s="95"/>
      <c r="D16" s="125"/>
      <c r="E16" s="125"/>
      <c r="F16" s="125"/>
      <c r="G16" s="128"/>
      <c r="H16" s="104"/>
      <c r="I16" s="98"/>
      <c r="J16" s="98"/>
      <c r="K16" s="98"/>
      <c r="L16" s="101"/>
      <c r="M16" s="104"/>
      <c r="N16" s="98"/>
      <c r="O16" s="98"/>
      <c r="P16" s="98"/>
      <c r="Q16" s="101"/>
      <c r="R16" s="104"/>
      <c r="S16" s="98"/>
      <c r="T16" s="98"/>
      <c r="U16" s="98"/>
      <c r="V16" s="101"/>
      <c r="W16" s="113"/>
      <c r="X16" s="107"/>
      <c r="Y16" s="107"/>
      <c r="Z16" s="107"/>
      <c r="AA16" s="110"/>
      <c r="AB16" s="135"/>
    </row>
    <row r="17" spans="1:28" ht="15.75" customHeight="1" thickTop="1" thickBot="1" x14ac:dyDescent="0.3">
      <c r="A17" s="139">
        <f>ESCUADRAS!B9</f>
        <v>3</v>
      </c>
      <c r="B17" s="136">
        <f>ESCUADRAS!C8</f>
        <v>0</v>
      </c>
      <c r="C17" s="93"/>
      <c r="D17" s="123"/>
      <c r="E17" s="123"/>
      <c r="F17" s="123"/>
      <c r="G17" s="126"/>
      <c r="H17" s="102"/>
      <c r="I17" s="96"/>
      <c r="J17" s="96"/>
      <c r="K17" s="96"/>
      <c r="L17" s="99"/>
      <c r="M17" s="102"/>
      <c r="N17" s="96"/>
      <c r="O17" s="96"/>
      <c r="P17" s="96"/>
      <c r="Q17" s="99"/>
      <c r="R17" s="111"/>
      <c r="S17" s="105"/>
      <c r="T17" s="105"/>
      <c r="U17" s="105"/>
      <c r="V17" s="108"/>
      <c r="W17" s="102"/>
      <c r="X17" s="96"/>
      <c r="Y17" s="96"/>
      <c r="Z17" s="96"/>
      <c r="AA17" s="99"/>
      <c r="AB17" s="133"/>
    </row>
    <row r="18" spans="1:28" ht="15.75" customHeight="1" thickTop="1" thickBot="1" x14ac:dyDescent="0.3">
      <c r="A18" s="139"/>
      <c r="B18" s="137"/>
      <c r="C18" s="94"/>
      <c r="D18" s="124"/>
      <c r="E18" s="124"/>
      <c r="F18" s="124"/>
      <c r="G18" s="127"/>
      <c r="H18" s="103"/>
      <c r="I18" s="97"/>
      <c r="J18" s="97"/>
      <c r="K18" s="97"/>
      <c r="L18" s="100"/>
      <c r="M18" s="103"/>
      <c r="N18" s="97"/>
      <c r="O18" s="97"/>
      <c r="P18" s="97"/>
      <c r="Q18" s="100"/>
      <c r="R18" s="112"/>
      <c r="S18" s="106"/>
      <c r="T18" s="106"/>
      <c r="U18" s="106"/>
      <c r="V18" s="109"/>
      <c r="W18" s="103"/>
      <c r="X18" s="97"/>
      <c r="Y18" s="97"/>
      <c r="Z18" s="97"/>
      <c r="AA18" s="100"/>
      <c r="AB18" s="134"/>
    </row>
    <row r="19" spans="1:28" ht="15.75" customHeight="1" thickTop="1" thickBot="1" x14ac:dyDescent="0.3">
      <c r="A19" s="139"/>
      <c r="B19" s="138"/>
      <c r="C19" s="95"/>
      <c r="D19" s="125"/>
      <c r="E19" s="125"/>
      <c r="F19" s="125"/>
      <c r="G19" s="128"/>
      <c r="H19" s="104"/>
      <c r="I19" s="98"/>
      <c r="J19" s="98"/>
      <c r="K19" s="98"/>
      <c r="L19" s="101"/>
      <c r="M19" s="104"/>
      <c r="N19" s="98"/>
      <c r="O19" s="98"/>
      <c r="P19" s="98"/>
      <c r="Q19" s="101"/>
      <c r="R19" s="113"/>
      <c r="S19" s="107"/>
      <c r="T19" s="107"/>
      <c r="U19" s="107"/>
      <c r="V19" s="110"/>
      <c r="W19" s="104"/>
      <c r="X19" s="98"/>
      <c r="Y19" s="98"/>
      <c r="Z19" s="98"/>
      <c r="AA19" s="101"/>
      <c r="AB19" s="135"/>
    </row>
    <row r="20" spans="1:28" ht="15.75" customHeight="1" thickTop="1" x14ac:dyDescent="0.25">
      <c r="A20" s="140">
        <f>ESCUADRAS!B10</f>
        <v>4</v>
      </c>
      <c r="B20" s="136">
        <f>ESCUADRAS!C9</f>
        <v>0</v>
      </c>
      <c r="C20" s="93"/>
      <c r="D20" s="123"/>
      <c r="E20" s="123"/>
      <c r="F20" s="123"/>
      <c r="G20" s="126"/>
      <c r="H20" s="102"/>
      <c r="I20" s="96"/>
      <c r="J20" s="96"/>
      <c r="K20" s="96"/>
      <c r="L20" s="99"/>
      <c r="M20" s="111"/>
      <c r="N20" s="105"/>
      <c r="O20" s="105"/>
      <c r="P20" s="105"/>
      <c r="Q20" s="108"/>
      <c r="R20" s="102"/>
      <c r="S20" s="96"/>
      <c r="T20" s="96"/>
      <c r="U20" s="96"/>
      <c r="V20" s="99"/>
      <c r="W20" s="102"/>
      <c r="X20" s="96"/>
      <c r="Y20" s="96"/>
      <c r="Z20" s="96"/>
      <c r="AA20" s="99"/>
      <c r="AB20" s="133"/>
    </row>
    <row r="21" spans="1:28" ht="15.75" customHeight="1" x14ac:dyDescent="0.25">
      <c r="A21" s="141"/>
      <c r="B21" s="137"/>
      <c r="C21" s="94"/>
      <c r="D21" s="124"/>
      <c r="E21" s="124"/>
      <c r="F21" s="124"/>
      <c r="G21" s="127"/>
      <c r="H21" s="103"/>
      <c r="I21" s="97"/>
      <c r="J21" s="97"/>
      <c r="K21" s="97"/>
      <c r="L21" s="100"/>
      <c r="M21" s="112"/>
      <c r="N21" s="106"/>
      <c r="O21" s="106"/>
      <c r="P21" s="106"/>
      <c r="Q21" s="109"/>
      <c r="R21" s="103"/>
      <c r="S21" s="97"/>
      <c r="T21" s="97"/>
      <c r="U21" s="97"/>
      <c r="V21" s="100"/>
      <c r="W21" s="103"/>
      <c r="X21" s="97"/>
      <c r="Y21" s="97"/>
      <c r="Z21" s="97"/>
      <c r="AA21" s="100"/>
      <c r="AB21" s="134"/>
    </row>
    <row r="22" spans="1:28" ht="15.75" customHeight="1" thickBot="1" x14ac:dyDescent="0.3">
      <c r="A22" s="142"/>
      <c r="B22" s="138"/>
      <c r="C22" s="95"/>
      <c r="D22" s="125"/>
      <c r="E22" s="125"/>
      <c r="F22" s="125"/>
      <c r="G22" s="128"/>
      <c r="H22" s="104"/>
      <c r="I22" s="98"/>
      <c r="J22" s="98"/>
      <c r="K22" s="98"/>
      <c r="L22" s="101"/>
      <c r="M22" s="113"/>
      <c r="N22" s="107"/>
      <c r="O22" s="107"/>
      <c r="P22" s="107"/>
      <c r="Q22" s="110"/>
      <c r="R22" s="104"/>
      <c r="S22" s="98"/>
      <c r="T22" s="98"/>
      <c r="U22" s="98"/>
      <c r="V22" s="101"/>
      <c r="W22" s="104"/>
      <c r="X22" s="98"/>
      <c r="Y22" s="98"/>
      <c r="Z22" s="98"/>
      <c r="AA22" s="101"/>
      <c r="AB22" s="135"/>
    </row>
    <row r="23" spans="1:28" ht="15.75" customHeight="1" thickTop="1" thickBot="1" x14ac:dyDescent="0.3">
      <c r="A23" s="139">
        <f>ESCUADRAS!B11</f>
        <v>5</v>
      </c>
      <c r="B23" s="136">
        <f>ESCUADRAS!C10</f>
        <v>0</v>
      </c>
      <c r="C23" s="93"/>
      <c r="D23" s="123"/>
      <c r="E23" s="123"/>
      <c r="F23" s="123"/>
      <c r="G23" s="126"/>
      <c r="H23" s="111"/>
      <c r="I23" s="105"/>
      <c r="J23" s="105"/>
      <c r="K23" s="105"/>
      <c r="L23" s="108"/>
      <c r="M23" s="102"/>
      <c r="N23" s="96"/>
      <c r="O23" s="96"/>
      <c r="P23" s="96"/>
      <c r="Q23" s="99"/>
      <c r="R23" s="102"/>
      <c r="S23" s="96"/>
      <c r="T23" s="96"/>
      <c r="U23" s="96"/>
      <c r="V23" s="99"/>
      <c r="W23" s="102"/>
      <c r="X23" s="96"/>
      <c r="Y23" s="96"/>
      <c r="Z23" s="96"/>
      <c r="AA23" s="99"/>
      <c r="AB23" s="133"/>
    </row>
    <row r="24" spans="1:28" ht="15.75" customHeight="1" thickTop="1" thickBot="1" x14ac:dyDescent="0.3">
      <c r="A24" s="139"/>
      <c r="B24" s="137"/>
      <c r="C24" s="94"/>
      <c r="D24" s="124"/>
      <c r="E24" s="124"/>
      <c r="F24" s="124"/>
      <c r="G24" s="127"/>
      <c r="H24" s="112"/>
      <c r="I24" s="106"/>
      <c r="J24" s="106"/>
      <c r="K24" s="106"/>
      <c r="L24" s="109"/>
      <c r="M24" s="103"/>
      <c r="N24" s="97"/>
      <c r="O24" s="97"/>
      <c r="P24" s="97"/>
      <c r="Q24" s="100"/>
      <c r="R24" s="103"/>
      <c r="S24" s="97"/>
      <c r="T24" s="97"/>
      <c r="U24" s="97"/>
      <c r="V24" s="100"/>
      <c r="W24" s="103"/>
      <c r="X24" s="97"/>
      <c r="Y24" s="97"/>
      <c r="Z24" s="97"/>
      <c r="AA24" s="100"/>
      <c r="AB24" s="134"/>
    </row>
    <row r="25" spans="1:28" ht="15.75" customHeight="1" thickTop="1" thickBot="1" x14ac:dyDescent="0.3">
      <c r="A25" s="139"/>
      <c r="B25" s="138"/>
      <c r="C25" s="95"/>
      <c r="D25" s="125"/>
      <c r="E25" s="125"/>
      <c r="F25" s="125"/>
      <c r="G25" s="128"/>
      <c r="H25" s="113"/>
      <c r="I25" s="107"/>
      <c r="J25" s="107"/>
      <c r="K25" s="107"/>
      <c r="L25" s="110"/>
      <c r="M25" s="104"/>
      <c r="N25" s="98"/>
      <c r="O25" s="98"/>
      <c r="P25" s="98"/>
      <c r="Q25" s="101"/>
      <c r="R25" s="104"/>
      <c r="S25" s="98"/>
      <c r="T25" s="98"/>
      <c r="U25" s="98"/>
      <c r="V25" s="101"/>
      <c r="W25" s="104"/>
      <c r="X25" s="98"/>
      <c r="Y25" s="98"/>
      <c r="Z25" s="98"/>
      <c r="AA25" s="101"/>
      <c r="AB25" s="135"/>
    </row>
    <row r="26" spans="1:28" ht="15.75" customHeight="1" thickTop="1" x14ac:dyDescent="0.25">
      <c r="A26" s="140">
        <f>ESCUADRAS!B12</f>
        <v>6</v>
      </c>
      <c r="B26" s="136">
        <f>ESCUADRAS!C11</f>
        <v>0</v>
      </c>
      <c r="C26" s="111"/>
      <c r="D26" s="105"/>
      <c r="E26" s="105"/>
      <c r="F26" s="105"/>
      <c r="G26" s="108"/>
      <c r="H26" s="122"/>
      <c r="I26" s="120"/>
      <c r="J26" s="120"/>
      <c r="K26" s="120"/>
      <c r="L26" s="121"/>
      <c r="M26" s="122"/>
      <c r="N26" s="120"/>
      <c r="O26" s="120"/>
      <c r="P26" s="120"/>
      <c r="Q26" s="121"/>
      <c r="R26" s="122"/>
      <c r="S26" s="120"/>
      <c r="T26" s="120"/>
      <c r="U26" s="120"/>
      <c r="V26" s="121"/>
      <c r="W26" s="122"/>
      <c r="X26" s="120"/>
      <c r="Y26" s="120"/>
      <c r="Z26" s="120"/>
      <c r="AA26" s="121"/>
      <c r="AB26" s="133"/>
    </row>
    <row r="27" spans="1:28" ht="15.75" customHeight="1" x14ac:dyDescent="0.25">
      <c r="A27" s="141"/>
      <c r="B27" s="137"/>
      <c r="C27" s="112"/>
      <c r="D27" s="106"/>
      <c r="E27" s="106"/>
      <c r="F27" s="106"/>
      <c r="G27" s="109"/>
      <c r="H27" s="103"/>
      <c r="I27" s="97"/>
      <c r="J27" s="97"/>
      <c r="K27" s="97"/>
      <c r="L27" s="100"/>
      <c r="M27" s="103"/>
      <c r="N27" s="97"/>
      <c r="O27" s="97"/>
      <c r="P27" s="97"/>
      <c r="Q27" s="100"/>
      <c r="R27" s="103"/>
      <c r="S27" s="97"/>
      <c r="T27" s="97"/>
      <c r="U27" s="97"/>
      <c r="V27" s="100"/>
      <c r="W27" s="103"/>
      <c r="X27" s="97"/>
      <c r="Y27" s="97"/>
      <c r="Z27" s="97"/>
      <c r="AA27" s="100"/>
      <c r="AB27" s="134"/>
    </row>
    <row r="28" spans="1:28" ht="15.75" customHeight="1" thickBot="1" x14ac:dyDescent="0.3">
      <c r="A28" s="142"/>
      <c r="B28" s="138"/>
      <c r="C28" s="113"/>
      <c r="D28" s="107"/>
      <c r="E28" s="107"/>
      <c r="F28" s="107"/>
      <c r="G28" s="110"/>
      <c r="H28" s="104"/>
      <c r="I28" s="98"/>
      <c r="J28" s="98"/>
      <c r="K28" s="98"/>
      <c r="L28" s="101"/>
      <c r="M28" s="104"/>
      <c r="N28" s="98"/>
      <c r="O28" s="98"/>
      <c r="P28" s="98"/>
      <c r="Q28" s="101"/>
      <c r="R28" s="104"/>
      <c r="S28" s="98"/>
      <c r="T28" s="98"/>
      <c r="U28" s="98"/>
      <c r="V28" s="101"/>
      <c r="W28" s="104"/>
      <c r="X28" s="98"/>
      <c r="Y28" s="98"/>
      <c r="Z28" s="98"/>
      <c r="AA28" s="101"/>
      <c r="AB28" s="135"/>
    </row>
    <row r="29" spans="1:28" ht="15" x14ac:dyDescent="0.25">
      <c r="A29" s="28"/>
    </row>
    <row r="30" spans="1:28" ht="15" x14ac:dyDescent="0.25">
      <c r="A30" s="28"/>
      <c r="B30" s="26" t="s">
        <v>35</v>
      </c>
      <c r="E30" s="21" t="s">
        <v>41</v>
      </c>
      <c r="I30" s="21" t="s">
        <v>42</v>
      </c>
      <c r="M30" s="21" t="s">
        <v>43</v>
      </c>
      <c r="Q30" s="21" t="s">
        <v>44</v>
      </c>
      <c r="U30" s="21" t="s">
        <v>45</v>
      </c>
      <c r="Y30" s="21" t="s">
        <v>46</v>
      </c>
    </row>
    <row r="31" spans="1:28" ht="15" x14ac:dyDescent="0.25">
      <c r="A31" s="28"/>
    </row>
    <row r="32" spans="1:28" ht="9.75" customHeight="1" x14ac:dyDescent="0.25">
      <c r="A32" s="28"/>
    </row>
    <row r="34" spans="1:32" ht="24.6" x14ac:dyDescent="0.25">
      <c r="A34" s="144" t="str">
        <f>'INSCRIPCION '!A$1</f>
        <v>TIRADA</v>
      </c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</row>
    <row r="35" spans="1:32" ht="19.5" customHeight="1" x14ac:dyDescent="0.4">
      <c r="A35" s="23"/>
      <c r="B35" s="23"/>
    </row>
    <row r="36" spans="1:32" ht="23.25" customHeight="1" x14ac:dyDescent="0.25">
      <c r="A36" s="132" t="str">
        <f>'INSCRIPCION '!A$2</f>
        <v>CAMPO DE TIRO LA ISLA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</row>
    <row r="37" spans="1:32" ht="19.5" customHeight="1" x14ac:dyDescent="0.25">
      <c r="A37" s="143" t="str">
        <f>'INSCRIPCION '!A$3</f>
        <v>XXX PLATOS</v>
      </c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</row>
    <row r="38" spans="1:32" ht="22.8" x14ac:dyDescent="0.4">
      <c r="A38" s="24"/>
      <c r="B38" s="24"/>
    </row>
    <row r="39" spans="1:32" ht="17.399999999999999" x14ac:dyDescent="0.3">
      <c r="A39" s="25" t="s">
        <v>10</v>
      </c>
      <c r="B39" s="25"/>
      <c r="J39" s="9" t="s">
        <v>6</v>
      </c>
      <c r="K39" s="9"/>
      <c r="L39" s="9"/>
      <c r="M39" s="9"/>
      <c r="N39" s="9"/>
      <c r="O39" s="22">
        <v>3</v>
      </c>
      <c r="P39" s="22"/>
      <c r="Q39" s="8"/>
      <c r="R39" s="8"/>
      <c r="S39" s="7"/>
      <c r="T39" s="8"/>
      <c r="U39" s="8"/>
      <c r="V39" s="9" t="s">
        <v>7</v>
      </c>
      <c r="W39" s="9"/>
      <c r="X39" s="9"/>
      <c r="Y39" s="9"/>
      <c r="Z39" s="22">
        <v>2</v>
      </c>
      <c r="AA39" s="22"/>
    </row>
    <row r="40" spans="1:32" ht="13.8" thickBot="1" x14ac:dyDescent="0.3"/>
    <row r="41" spans="1:32" ht="15.6" thickBot="1" x14ac:dyDescent="0.3">
      <c r="A41" s="27" t="s">
        <v>0</v>
      </c>
      <c r="B41" s="27" t="s">
        <v>8</v>
      </c>
      <c r="C41" s="47">
        <v>1</v>
      </c>
      <c r="D41" s="48">
        <v>2</v>
      </c>
      <c r="E41" s="48">
        <v>3</v>
      </c>
      <c r="F41" s="48">
        <v>4</v>
      </c>
      <c r="G41" s="49">
        <v>5</v>
      </c>
      <c r="H41" s="47">
        <v>6</v>
      </c>
      <c r="I41" s="48">
        <v>7</v>
      </c>
      <c r="J41" s="48">
        <v>8</v>
      </c>
      <c r="K41" s="48">
        <v>9</v>
      </c>
      <c r="L41" s="49">
        <v>10</v>
      </c>
      <c r="M41" s="47">
        <v>11</v>
      </c>
      <c r="N41" s="48">
        <v>12</v>
      </c>
      <c r="O41" s="48">
        <v>13</v>
      </c>
      <c r="P41" s="48">
        <v>14</v>
      </c>
      <c r="Q41" s="49">
        <v>15</v>
      </c>
      <c r="R41" s="47">
        <v>16</v>
      </c>
      <c r="S41" s="48">
        <v>17</v>
      </c>
      <c r="T41" s="48">
        <v>18</v>
      </c>
      <c r="U41" s="48">
        <v>19</v>
      </c>
      <c r="V41" s="49">
        <v>20</v>
      </c>
      <c r="W41" s="47">
        <v>21</v>
      </c>
      <c r="X41" s="48">
        <v>22</v>
      </c>
      <c r="Y41" s="48">
        <v>23</v>
      </c>
      <c r="Z41" s="48">
        <v>24</v>
      </c>
      <c r="AA41" s="49">
        <v>25</v>
      </c>
      <c r="AB41" s="30" t="s">
        <v>1</v>
      </c>
    </row>
    <row r="42" spans="1:32" ht="15.75" customHeight="1" thickTop="1" thickBot="1" x14ac:dyDescent="0.3">
      <c r="A42" s="139">
        <f>ESCUADRAS!B13</f>
        <v>7</v>
      </c>
      <c r="B42" s="136">
        <f>ESCUADRAS!C18</f>
        <v>0</v>
      </c>
      <c r="C42" s="129"/>
      <c r="D42" s="114"/>
      <c r="E42" s="114"/>
      <c r="F42" s="114"/>
      <c r="G42" s="117"/>
      <c r="H42" s="111"/>
      <c r="I42" s="105"/>
      <c r="J42" s="105"/>
      <c r="K42" s="105"/>
      <c r="L42" s="108"/>
      <c r="M42" s="111"/>
      <c r="N42" s="105"/>
      <c r="O42" s="105"/>
      <c r="P42" s="105"/>
      <c r="Q42" s="108"/>
      <c r="R42" s="111"/>
      <c r="S42" s="105"/>
      <c r="T42" s="105"/>
      <c r="U42" s="105"/>
      <c r="V42" s="108"/>
      <c r="W42" s="111"/>
      <c r="X42" s="105"/>
      <c r="Y42" s="105"/>
      <c r="Z42" s="105"/>
      <c r="AA42" s="108"/>
      <c r="AB42" s="133"/>
    </row>
    <row r="43" spans="1:32" ht="15.75" customHeight="1" thickTop="1" thickBot="1" x14ac:dyDescent="0.3">
      <c r="A43" s="139"/>
      <c r="B43" s="137"/>
      <c r="C43" s="130"/>
      <c r="D43" s="115"/>
      <c r="E43" s="115"/>
      <c r="F43" s="115"/>
      <c r="G43" s="118"/>
      <c r="H43" s="112"/>
      <c r="I43" s="106"/>
      <c r="J43" s="106"/>
      <c r="K43" s="106"/>
      <c r="L43" s="109"/>
      <c r="M43" s="112"/>
      <c r="N43" s="106"/>
      <c r="O43" s="106"/>
      <c r="P43" s="106"/>
      <c r="Q43" s="109"/>
      <c r="R43" s="112"/>
      <c r="S43" s="106"/>
      <c r="T43" s="106"/>
      <c r="U43" s="106"/>
      <c r="V43" s="109"/>
      <c r="W43" s="112"/>
      <c r="X43" s="106"/>
      <c r="Y43" s="106"/>
      <c r="Z43" s="106"/>
      <c r="AA43" s="109"/>
      <c r="AB43" s="134"/>
    </row>
    <row r="44" spans="1:32" ht="15.75" customHeight="1" thickTop="1" thickBot="1" x14ac:dyDescent="0.3">
      <c r="A44" s="139"/>
      <c r="B44" s="138"/>
      <c r="C44" s="131"/>
      <c r="D44" s="116"/>
      <c r="E44" s="116"/>
      <c r="F44" s="116"/>
      <c r="G44" s="119"/>
      <c r="H44" s="113"/>
      <c r="I44" s="107"/>
      <c r="J44" s="107"/>
      <c r="K44" s="107"/>
      <c r="L44" s="110"/>
      <c r="M44" s="113"/>
      <c r="N44" s="107"/>
      <c r="O44" s="107"/>
      <c r="P44" s="107"/>
      <c r="Q44" s="110"/>
      <c r="R44" s="113"/>
      <c r="S44" s="107"/>
      <c r="T44" s="107"/>
      <c r="U44" s="107"/>
      <c r="V44" s="110"/>
      <c r="W44" s="113"/>
      <c r="X44" s="107"/>
      <c r="Y44" s="107"/>
      <c r="Z44" s="107"/>
      <c r="AA44" s="110"/>
      <c r="AB44" s="135"/>
    </row>
    <row r="45" spans="1:32" ht="15.75" customHeight="1" thickTop="1" x14ac:dyDescent="0.25">
      <c r="A45" s="140">
        <f>ESCUADRAS!B14</f>
        <v>8</v>
      </c>
      <c r="B45" s="136">
        <f>ESCUADRAS!C13</f>
        <v>0</v>
      </c>
      <c r="C45" s="93"/>
      <c r="D45" s="123"/>
      <c r="E45" s="123"/>
      <c r="F45" s="123"/>
      <c r="G45" s="126"/>
      <c r="H45" s="102"/>
      <c r="I45" s="96"/>
      <c r="J45" s="96"/>
      <c r="K45" s="96"/>
      <c r="L45" s="99"/>
      <c r="M45" s="102"/>
      <c r="N45" s="96"/>
      <c r="O45" s="96"/>
      <c r="P45" s="96"/>
      <c r="Q45" s="99"/>
      <c r="R45" s="102"/>
      <c r="S45" s="96"/>
      <c r="T45" s="96"/>
      <c r="U45" s="96"/>
      <c r="V45" s="99"/>
      <c r="W45" s="111"/>
      <c r="X45" s="105"/>
      <c r="Y45" s="105"/>
      <c r="Z45" s="105"/>
      <c r="AA45" s="108"/>
      <c r="AB45" s="133"/>
    </row>
    <row r="46" spans="1:32" ht="15.75" customHeight="1" x14ac:dyDescent="0.25">
      <c r="A46" s="141"/>
      <c r="B46" s="137"/>
      <c r="C46" s="94"/>
      <c r="D46" s="124"/>
      <c r="E46" s="124"/>
      <c r="F46" s="124"/>
      <c r="G46" s="127"/>
      <c r="H46" s="103"/>
      <c r="I46" s="97"/>
      <c r="J46" s="97"/>
      <c r="K46" s="97"/>
      <c r="L46" s="100"/>
      <c r="M46" s="103"/>
      <c r="N46" s="97"/>
      <c r="O46" s="97"/>
      <c r="P46" s="97"/>
      <c r="Q46" s="100"/>
      <c r="R46" s="103"/>
      <c r="S46" s="97"/>
      <c r="T46" s="97"/>
      <c r="U46" s="97"/>
      <c r="V46" s="100"/>
      <c r="W46" s="112"/>
      <c r="X46" s="106"/>
      <c r="Y46" s="106"/>
      <c r="Z46" s="106"/>
      <c r="AA46" s="109"/>
      <c r="AB46" s="134"/>
    </row>
    <row r="47" spans="1:32" ht="15.75" customHeight="1" thickBot="1" x14ac:dyDescent="0.3">
      <c r="A47" s="142"/>
      <c r="B47" s="138"/>
      <c r="C47" s="95"/>
      <c r="D47" s="125"/>
      <c r="E47" s="125"/>
      <c r="F47" s="125"/>
      <c r="G47" s="128"/>
      <c r="H47" s="104"/>
      <c r="I47" s="98"/>
      <c r="J47" s="98"/>
      <c r="K47" s="98"/>
      <c r="L47" s="101"/>
      <c r="M47" s="104"/>
      <c r="N47" s="98"/>
      <c r="O47" s="98"/>
      <c r="P47" s="98"/>
      <c r="Q47" s="101"/>
      <c r="R47" s="104"/>
      <c r="S47" s="98"/>
      <c r="T47" s="98"/>
      <c r="U47" s="98"/>
      <c r="V47" s="101"/>
      <c r="W47" s="113"/>
      <c r="X47" s="107"/>
      <c r="Y47" s="107"/>
      <c r="Z47" s="107"/>
      <c r="AA47" s="110"/>
      <c r="AB47" s="135"/>
    </row>
    <row r="48" spans="1:32" ht="15.75" customHeight="1" thickTop="1" thickBot="1" x14ac:dyDescent="0.3">
      <c r="A48" s="139">
        <f>ESCUADRAS!B15</f>
        <v>9</v>
      </c>
      <c r="B48" s="136">
        <f>ESCUADRAS!C14</f>
        <v>0</v>
      </c>
      <c r="C48" s="93"/>
      <c r="D48" s="123"/>
      <c r="E48" s="123"/>
      <c r="F48" s="123"/>
      <c r="G48" s="126"/>
      <c r="H48" s="102"/>
      <c r="I48" s="96"/>
      <c r="J48" s="96"/>
      <c r="K48" s="96"/>
      <c r="L48" s="99"/>
      <c r="M48" s="102"/>
      <c r="N48" s="96"/>
      <c r="O48" s="96"/>
      <c r="P48" s="96"/>
      <c r="Q48" s="99"/>
      <c r="R48" s="111"/>
      <c r="S48" s="105"/>
      <c r="T48" s="105"/>
      <c r="U48" s="105"/>
      <c r="V48" s="108"/>
      <c r="W48" s="102"/>
      <c r="X48" s="96"/>
      <c r="Y48" s="96"/>
      <c r="Z48" s="96"/>
      <c r="AA48" s="99"/>
      <c r="AB48" s="133"/>
    </row>
    <row r="49" spans="1:28" ht="15.75" customHeight="1" thickTop="1" thickBot="1" x14ac:dyDescent="0.3">
      <c r="A49" s="139"/>
      <c r="B49" s="137"/>
      <c r="C49" s="94"/>
      <c r="D49" s="124"/>
      <c r="E49" s="124"/>
      <c r="F49" s="124"/>
      <c r="G49" s="127"/>
      <c r="H49" s="103"/>
      <c r="I49" s="97"/>
      <c r="J49" s="97"/>
      <c r="K49" s="97"/>
      <c r="L49" s="100"/>
      <c r="M49" s="103"/>
      <c r="N49" s="97"/>
      <c r="O49" s="97"/>
      <c r="P49" s="97"/>
      <c r="Q49" s="100"/>
      <c r="R49" s="112"/>
      <c r="S49" s="106"/>
      <c r="T49" s="106"/>
      <c r="U49" s="106"/>
      <c r="V49" s="109"/>
      <c r="W49" s="103"/>
      <c r="X49" s="97"/>
      <c r="Y49" s="97"/>
      <c r="Z49" s="97"/>
      <c r="AA49" s="100"/>
      <c r="AB49" s="134"/>
    </row>
    <row r="50" spans="1:28" ht="15.75" customHeight="1" thickTop="1" thickBot="1" x14ac:dyDescent="0.3">
      <c r="A50" s="139"/>
      <c r="B50" s="138"/>
      <c r="C50" s="95"/>
      <c r="D50" s="125"/>
      <c r="E50" s="125"/>
      <c r="F50" s="125"/>
      <c r="G50" s="128"/>
      <c r="H50" s="104"/>
      <c r="I50" s="98"/>
      <c r="J50" s="98"/>
      <c r="K50" s="98"/>
      <c r="L50" s="101"/>
      <c r="M50" s="104"/>
      <c r="N50" s="98"/>
      <c r="O50" s="98"/>
      <c r="P50" s="98"/>
      <c r="Q50" s="101"/>
      <c r="R50" s="113"/>
      <c r="S50" s="107"/>
      <c r="T50" s="107"/>
      <c r="U50" s="107"/>
      <c r="V50" s="110"/>
      <c r="W50" s="104"/>
      <c r="X50" s="98"/>
      <c r="Y50" s="98"/>
      <c r="Z50" s="98"/>
      <c r="AA50" s="101"/>
      <c r="AB50" s="135"/>
    </row>
    <row r="51" spans="1:28" ht="15.75" customHeight="1" thickTop="1" x14ac:dyDescent="0.25">
      <c r="A51" s="140">
        <f>ESCUADRAS!B16</f>
        <v>10</v>
      </c>
      <c r="B51" s="136">
        <f>ESCUADRAS!C15</f>
        <v>0</v>
      </c>
      <c r="C51" s="93"/>
      <c r="D51" s="123"/>
      <c r="E51" s="123"/>
      <c r="F51" s="123"/>
      <c r="G51" s="126"/>
      <c r="H51" s="102"/>
      <c r="I51" s="96"/>
      <c r="J51" s="96"/>
      <c r="K51" s="96"/>
      <c r="L51" s="99"/>
      <c r="M51" s="111"/>
      <c r="N51" s="105"/>
      <c r="O51" s="105"/>
      <c r="P51" s="105"/>
      <c r="Q51" s="108"/>
      <c r="R51" s="102"/>
      <c r="S51" s="96"/>
      <c r="T51" s="96"/>
      <c r="U51" s="96"/>
      <c r="V51" s="99"/>
      <c r="W51" s="102"/>
      <c r="X51" s="96"/>
      <c r="Y51" s="96"/>
      <c r="Z51" s="96"/>
      <c r="AA51" s="99"/>
      <c r="AB51" s="133"/>
    </row>
    <row r="52" spans="1:28" ht="15.75" customHeight="1" x14ac:dyDescent="0.25">
      <c r="A52" s="141"/>
      <c r="B52" s="137"/>
      <c r="C52" s="94"/>
      <c r="D52" s="124"/>
      <c r="E52" s="124"/>
      <c r="F52" s="124"/>
      <c r="G52" s="127"/>
      <c r="H52" s="103"/>
      <c r="I52" s="97"/>
      <c r="J52" s="97"/>
      <c r="K52" s="97"/>
      <c r="L52" s="100"/>
      <c r="M52" s="112"/>
      <c r="N52" s="106"/>
      <c r="O52" s="106"/>
      <c r="P52" s="106"/>
      <c r="Q52" s="109"/>
      <c r="R52" s="103"/>
      <c r="S52" s="97"/>
      <c r="T52" s="97"/>
      <c r="U52" s="97"/>
      <c r="V52" s="100"/>
      <c r="W52" s="103"/>
      <c r="X52" s="97"/>
      <c r="Y52" s="97"/>
      <c r="Z52" s="97"/>
      <c r="AA52" s="100"/>
      <c r="AB52" s="134"/>
    </row>
    <row r="53" spans="1:28" ht="15.75" customHeight="1" thickBot="1" x14ac:dyDescent="0.3">
      <c r="A53" s="142"/>
      <c r="B53" s="138"/>
      <c r="C53" s="95"/>
      <c r="D53" s="125"/>
      <c r="E53" s="125"/>
      <c r="F53" s="125"/>
      <c r="G53" s="128"/>
      <c r="H53" s="104"/>
      <c r="I53" s="98"/>
      <c r="J53" s="98"/>
      <c r="K53" s="98"/>
      <c r="L53" s="101"/>
      <c r="M53" s="113"/>
      <c r="N53" s="107"/>
      <c r="O53" s="107"/>
      <c r="P53" s="107"/>
      <c r="Q53" s="110"/>
      <c r="R53" s="104"/>
      <c r="S53" s="98"/>
      <c r="T53" s="98"/>
      <c r="U53" s="98"/>
      <c r="V53" s="101"/>
      <c r="W53" s="104"/>
      <c r="X53" s="98"/>
      <c r="Y53" s="98"/>
      <c r="Z53" s="98"/>
      <c r="AA53" s="101"/>
      <c r="AB53" s="135"/>
    </row>
    <row r="54" spans="1:28" ht="15.75" customHeight="1" thickTop="1" thickBot="1" x14ac:dyDescent="0.3">
      <c r="A54" s="139">
        <f>ESCUADRAS!B17</f>
        <v>11</v>
      </c>
      <c r="B54" s="136">
        <f>ESCUADRAS!C16</f>
        <v>0</v>
      </c>
      <c r="C54" s="93"/>
      <c r="D54" s="123"/>
      <c r="E54" s="123"/>
      <c r="F54" s="123"/>
      <c r="G54" s="126"/>
      <c r="H54" s="111"/>
      <c r="I54" s="105"/>
      <c r="J54" s="105"/>
      <c r="K54" s="105"/>
      <c r="L54" s="108"/>
      <c r="M54" s="102"/>
      <c r="N54" s="96"/>
      <c r="O54" s="96"/>
      <c r="P54" s="96"/>
      <c r="Q54" s="99"/>
      <c r="R54" s="102"/>
      <c r="S54" s="96"/>
      <c r="T54" s="96"/>
      <c r="U54" s="96"/>
      <c r="V54" s="99"/>
      <c r="W54" s="102"/>
      <c r="X54" s="96"/>
      <c r="Y54" s="96"/>
      <c r="Z54" s="96"/>
      <c r="AA54" s="99"/>
      <c r="AB54" s="133"/>
    </row>
    <row r="55" spans="1:28" ht="15.75" customHeight="1" thickTop="1" thickBot="1" x14ac:dyDescent="0.3">
      <c r="A55" s="139"/>
      <c r="B55" s="137"/>
      <c r="C55" s="94"/>
      <c r="D55" s="124"/>
      <c r="E55" s="124"/>
      <c r="F55" s="124"/>
      <c r="G55" s="127"/>
      <c r="H55" s="112"/>
      <c r="I55" s="106"/>
      <c r="J55" s="106"/>
      <c r="K55" s="106"/>
      <c r="L55" s="109"/>
      <c r="M55" s="103"/>
      <c r="N55" s="97"/>
      <c r="O55" s="97"/>
      <c r="P55" s="97"/>
      <c r="Q55" s="100"/>
      <c r="R55" s="103"/>
      <c r="S55" s="97"/>
      <c r="T55" s="97"/>
      <c r="U55" s="97"/>
      <c r="V55" s="100"/>
      <c r="W55" s="103"/>
      <c r="X55" s="97"/>
      <c r="Y55" s="97"/>
      <c r="Z55" s="97"/>
      <c r="AA55" s="100"/>
      <c r="AB55" s="134"/>
    </row>
    <row r="56" spans="1:28" ht="15.75" customHeight="1" thickTop="1" thickBot="1" x14ac:dyDescent="0.3">
      <c r="A56" s="139"/>
      <c r="B56" s="138"/>
      <c r="C56" s="95"/>
      <c r="D56" s="125"/>
      <c r="E56" s="125"/>
      <c r="F56" s="125"/>
      <c r="G56" s="128"/>
      <c r="H56" s="113"/>
      <c r="I56" s="107"/>
      <c r="J56" s="107"/>
      <c r="K56" s="107"/>
      <c r="L56" s="110"/>
      <c r="M56" s="104"/>
      <c r="N56" s="98"/>
      <c r="O56" s="98"/>
      <c r="P56" s="98"/>
      <c r="Q56" s="101"/>
      <c r="R56" s="104"/>
      <c r="S56" s="98"/>
      <c r="T56" s="98"/>
      <c r="U56" s="98"/>
      <c r="V56" s="101"/>
      <c r="W56" s="104"/>
      <c r="X56" s="98"/>
      <c r="Y56" s="98"/>
      <c r="Z56" s="98"/>
      <c r="AA56" s="101"/>
      <c r="AB56" s="135"/>
    </row>
    <row r="57" spans="1:28" ht="15.75" customHeight="1" thickTop="1" x14ac:dyDescent="0.25">
      <c r="A57" s="140">
        <f>ESCUADRAS!B18</f>
        <v>12</v>
      </c>
      <c r="B57" s="136">
        <f>ESCUADRAS!C17</f>
        <v>0</v>
      </c>
      <c r="C57" s="111"/>
      <c r="D57" s="105"/>
      <c r="E57" s="105"/>
      <c r="F57" s="105"/>
      <c r="G57" s="108"/>
      <c r="H57" s="122"/>
      <c r="I57" s="120"/>
      <c r="J57" s="120"/>
      <c r="K57" s="120"/>
      <c r="L57" s="121"/>
      <c r="M57" s="122"/>
      <c r="N57" s="120"/>
      <c r="O57" s="120"/>
      <c r="P57" s="120"/>
      <c r="Q57" s="121"/>
      <c r="R57" s="122"/>
      <c r="S57" s="120"/>
      <c r="T57" s="120"/>
      <c r="U57" s="120"/>
      <c r="V57" s="121"/>
      <c r="W57" s="122"/>
      <c r="X57" s="120"/>
      <c r="Y57" s="120"/>
      <c r="Z57" s="120"/>
      <c r="AA57" s="121"/>
      <c r="AB57" s="133"/>
    </row>
    <row r="58" spans="1:28" ht="15.75" customHeight="1" x14ac:dyDescent="0.25">
      <c r="A58" s="141"/>
      <c r="B58" s="137"/>
      <c r="C58" s="112"/>
      <c r="D58" s="106"/>
      <c r="E58" s="106"/>
      <c r="F58" s="106"/>
      <c r="G58" s="109"/>
      <c r="H58" s="103"/>
      <c r="I58" s="97"/>
      <c r="J58" s="97"/>
      <c r="K58" s="97"/>
      <c r="L58" s="100"/>
      <c r="M58" s="103"/>
      <c r="N58" s="97"/>
      <c r="O58" s="97"/>
      <c r="P58" s="97"/>
      <c r="Q58" s="100"/>
      <c r="R58" s="103"/>
      <c r="S58" s="97"/>
      <c r="T58" s="97"/>
      <c r="U58" s="97"/>
      <c r="V58" s="100"/>
      <c r="W58" s="103"/>
      <c r="X58" s="97"/>
      <c r="Y58" s="97"/>
      <c r="Z58" s="97"/>
      <c r="AA58" s="100"/>
      <c r="AB58" s="134"/>
    </row>
    <row r="59" spans="1:28" ht="15.75" customHeight="1" thickBot="1" x14ac:dyDescent="0.3">
      <c r="A59" s="142"/>
      <c r="B59" s="138"/>
      <c r="C59" s="113"/>
      <c r="D59" s="107"/>
      <c r="E59" s="107"/>
      <c r="F59" s="107"/>
      <c r="G59" s="110"/>
      <c r="H59" s="104"/>
      <c r="I59" s="98"/>
      <c r="J59" s="98"/>
      <c r="K59" s="98"/>
      <c r="L59" s="101"/>
      <c r="M59" s="104"/>
      <c r="N59" s="98"/>
      <c r="O59" s="98"/>
      <c r="P59" s="98"/>
      <c r="Q59" s="101"/>
      <c r="R59" s="104"/>
      <c r="S59" s="98"/>
      <c r="T59" s="98"/>
      <c r="U59" s="98"/>
      <c r="V59" s="101"/>
      <c r="W59" s="104"/>
      <c r="X59" s="98"/>
      <c r="Y59" s="98"/>
      <c r="Z59" s="98"/>
      <c r="AA59" s="101"/>
      <c r="AB59" s="135"/>
    </row>
    <row r="60" spans="1:28" ht="15" x14ac:dyDescent="0.25">
      <c r="A60" s="28"/>
    </row>
    <row r="61" spans="1:28" ht="15" x14ac:dyDescent="0.25">
      <c r="A61" s="28"/>
      <c r="B61" s="26" t="s">
        <v>35</v>
      </c>
      <c r="E61" s="21" t="s">
        <v>41</v>
      </c>
      <c r="I61" s="21" t="s">
        <v>42</v>
      </c>
      <c r="M61" s="21" t="s">
        <v>43</v>
      </c>
      <c r="Q61" s="21" t="s">
        <v>44</v>
      </c>
      <c r="U61" s="21" t="s">
        <v>45</v>
      </c>
      <c r="Y61" s="21" t="s">
        <v>46</v>
      </c>
    </row>
    <row r="62" spans="1:28" ht="15" x14ac:dyDescent="0.25">
      <c r="A62" s="28"/>
    </row>
    <row r="63" spans="1:28" ht="9.75" customHeight="1" x14ac:dyDescent="0.25"/>
    <row r="66" spans="1:32" ht="24.6" x14ac:dyDescent="0.25">
      <c r="A66" s="144" t="str">
        <f>'INSCRIPCION '!A$1</f>
        <v>TIRADA</v>
      </c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</row>
    <row r="67" spans="1:32" ht="19.5" customHeight="1" x14ac:dyDescent="0.4">
      <c r="A67" s="23"/>
      <c r="B67" s="23"/>
    </row>
    <row r="68" spans="1:32" ht="22.5" customHeight="1" x14ac:dyDescent="0.25">
      <c r="A68" s="132" t="str">
        <f>'INSCRIPCION '!A$2</f>
        <v>CAMPO DE TIRO LA ISLA</v>
      </c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</row>
    <row r="69" spans="1:32" ht="19.5" customHeight="1" x14ac:dyDescent="0.25">
      <c r="A69" s="143" t="str">
        <f>'INSCRIPCION '!A$3</f>
        <v>XXX PLATOS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</row>
    <row r="70" spans="1:32" ht="22.8" x14ac:dyDescent="0.4">
      <c r="A70" s="24"/>
      <c r="B70" s="24"/>
    </row>
    <row r="71" spans="1:32" ht="17.399999999999999" x14ac:dyDescent="0.3">
      <c r="A71" s="25" t="s">
        <v>11</v>
      </c>
      <c r="B71" s="25"/>
      <c r="J71" s="9" t="s">
        <v>6</v>
      </c>
      <c r="K71" s="9"/>
      <c r="L71" s="9"/>
      <c r="M71" s="9"/>
      <c r="N71" s="9"/>
      <c r="O71" s="22">
        <v>4</v>
      </c>
      <c r="P71" s="22"/>
      <c r="Q71" s="8"/>
      <c r="R71" s="8"/>
      <c r="S71" s="7"/>
      <c r="T71" s="8"/>
      <c r="U71" s="8"/>
      <c r="V71" s="9" t="s">
        <v>7</v>
      </c>
      <c r="W71" s="9"/>
      <c r="X71" s="9"/>
      <c r="Y71" s="9"/>
      <c r="Z71" s="22">
        <v>2</v>
      </c>
      <c r="AA71" s="22"/>
    </row>
    <row r="72" spans="1:32" ht="13.8" thickBot="1" x14ac:dyDescent="0.3"/>
    <row r="73" spans="1:32" ht="15.6" thickBot="1" x14ac:dyDescent="0.3">
      <c r="A73" s="27" t="s">
        <v>0</v>
      </c>
      <c r="B73" s="27" t="s">
        <v>8</v>
      </c>
      <c r="C73" s="47">
        <v>1</v>
      </c>
      <c r="D73" s="48">
        <v>2</v>
      </c>
      <c r="E73" s="48">
        <v>3</v>
      </c>
      <c r="F73" s="48">
        <v>4</v>
      </c>
      <c r="G73" s="49">
        <v>5</v>
      </c>
      <c r="H73" s="47">
        <v>6</v>
      </c>
      <c r="I73" s="48">
        <v>7</v>
      </c>
      <c r="J73" s="48">
        <v>8</v>
      </c>
      <c r="K73" s="48">
        <v>9</v>
      </c>
      <c r="L73" s="49">
        <v>10</v>
      </c>
      <c r="M73" s="47">
        <v>11</v>
      </c>
      <c r="N73" s="48">
        <v>12</v>
      </c>
      <c r="O73" s="48">
        <v>13</v>
      </c>
      <c r="P73" s="48">
        <v>14</v>
      </c>
      <c r="Q73" s="49">
        <v>15</v>
      </c>
      <c r="R73" s="47">
        <v>16</v>
      </c>
      <c r="S73" s="48">
        <v>17</v>
      </c>
      <c r="T73" s="48">
        <v>18</v>
      </c>
      <c r="U73" s="48">
        <v>19</v>
      </c>
      <c r="V73" s="49">
        <v>20</v>
      </c>
      <c r="W73" s="47">
        <v>21</v>
      </c>
      <c r="X73" s="48">
        <v>22</v>
      </c>
      <c r="Y73" s="48">
        <v>23</v>
      </c>
      <c r="Z73" s="48">
        <v>24</v>
      </c>
      <c r="AA73" s="49">
        <v>25</v>
      </c>
      <c r="AB73" s="30" t="s">
        <v>1</v>
      </c>
    </row>
    <row r="74" spans="1:32" ht="15.75" customHeight="1" thickTop="1" thickBot="1" x14ac:dyDescent="0.3">
      <c r="A74" s="139">
        <f>ESCUADRAS!B19</f>
        <v>13</v>
      </c>
      <c r="B74" s="136">
        <f>ESCUADRAS!C24</f>
        <v>0</v>
      </c>
      <c r="C74" s="129"/>
      <c r="D74" s="114"/>
      <c r="E74" s="114"/>
      <c r="F74" s="114"/>
      <c r="G74" s="117"/>
      <c r="H74" s="111"/>
      <c r="I74" s="105"/>
      <c r="J74" s="105"/>
      <c r="K74" s="105"/>
      <c r="L74" s="108"/>
      <c r="M74" s="111"/>
      <c r="N74" s="105"/>
      <c r="O74" s="105"/>
      <c r="P74" s="105"/>
      <c r="Q74" s="108"/>
      <c r="R74" s="111"/>
      <c r="S74" s="105"/>
      <c r="T74" s="105"/>
      <c r="U74" s="105"/>
      <c r="V74" s="108"/>
      <c r="W74" s="111"/>
      <c r="X74" s="105"/>
      <c r="Y74" s="105"/>
      <c r="Z74" s="105"/>
      <c r="AA74" s="108"/>
      <c r="AB74" s="133"/>
    </row>
    <row r="75" spans="1:32" ht="15.75" customHeight="1" thickTop="1" thickBot="1" x14ac:dyDescent="0.3">
      <c r="A75" s="139"/>
      <c r="B75" s="137"/>
      <c r="C75" s="130"/>
      <c r="D75" s="115"/>
      <c r="E75" s="115"/>
      <c r="F75" s="115"/>
      <c r="G75" s="118"/>
      <c r="H75" s="112"/>
      <c r="I75" s="106"/>
      <c r="J75" s="106"/>
      <c r="K75" s="106"/>
      <c r="L75" s="109"/>
      <c r="M75" s="112"/>
      <c r="N75" s="106"/>
      <c r="O75" s="106"/>
      <c r="P75" s="106"/>
      <c r="Q75" s="109"/>
      <c r="R75" s="112"/>
      <c r="S75" s="106"/>
      <c r="T75" s="106"/>
      <c r="U75" s="106"/>
      <c r="V75" s="109"/>
      <c r="W75" s="112"/>
      <c r="X75" s="106"/>
      <c r="Y75" s="106"/>
      <c r="Z75" s="106"/>
      <c r="AA75" s="109"/>
      <c r="AB75" s="134"/>
    </row>
    <row r="76" spans="1:32" ht="15.75" customHeight="1" thickTop="1" thickBot="1" x14ac:dyDescent="0.3">
      <c r="A76" s="139"/>
      <c r="B76" s="138"/>
      <c r="C76" s="131"/>
      <c r="D76" s="116"/>
      <c r="E76" s="116"/>
      <c r="F76" s="116"/>
      <c r="G76" s="119"/>
      <c r="H76" s="113"/>
      <c r="I76" s="107"/>
      <c r="J76" s="107"/>
      <c r="K76" s="107"/>
      <c r="L76" s="110"/>
      <c r="M76" s="113"/>
      <c r="N76" s="107"/>
      <c r="O76" s="107"/>
      <c r="P76" s="107"/>
      <c r="Q76" s="110"/>
      <c r="R76" s="113"/>
      <c r="S76" s="107"/>
      <c r="T76" s="107"/>
      <c r="U76" s="107"/>
      <c r="V76" s="110"/>
      <c r="W76" s="113"/>
      <c r="X76" s="107"/>
      <c r="Y76" s="107"/>
      <c r="Z76" s="107"/>
      <c r="AA76" s="110"/>
      <c r="AB76" s="135"/>
    </row>
    <row r="77" spans="1:32" ht="15.75" customHeight="1" thickTop="1" x14ac:dyDescent="0.25">
      <c r="A77" s="140">
        <f>ESCUADRAS!B20</f>
        <v>14</v>
      </c>
      <c r="B77" s="136">
        <f>ESCUADRAS!C19</f>
        <v>0</v>
      </c>
      <c r="C77" s="93"/>
      <c r="D77" s="123"/>
      <c r="E77" s="123"/>
      <c r="F77" s="123"/>
      <c r="G77" s="126"/>
      <c r="H77" s="102"/>
      <c r="I77" s="96"/>
      <c r="J77" s="96"/>
      <c r="K77" s="96"/>
      <c r="L77" s="99"/>
      <c r="M77" s="102"/>
      <c r="N77" s="96"/>
      <c r="O77" s="96"/>
      <c r="P77" s="96"/>
      <c r="Q77" s="99"/>
      <c r="R77" s="102"/>
      <c r="S77" s="96"/>
      <c r="T77" s="96"/>
      <c r="U77" s="96"/>
      <c r="V77" s="99"/>
      <c r="W77" s="111"/>
      <c r="X77" s="105"/>
      <c r="Y77" s="105"/>
      <c r="Z77" s="105"/>
      <c r="AA77" s="108"/>
      <c r="AB77" s="133"/>
    </row>
    <row r="78" spans="1:32" ht="15.75" customHeight="1" x14ac:dyDescent="0.25">
      <c r="A78" s="141"/>
      <c r="B78" s="137"/>
      <c r="C78" s="94"/>
      <c r="D78" s="124"/>
      <c r="E78" s="124"/>
      <c r="F78" s="124"/>
      <c r="G78" s="127"/>
      <c r="H78" s="103"/>
      <c r="I78" s="97"/>
      <c r="J78" s="97"/>
      <c r="K78" s="97"/>
      <c r="L78" s="100"/>
      <c r="M78" s="103"/>
      <c r="N78" s="97"/>
      <c r="O78" s="97"/>
      <c r="P78" s="97"/>
      <c r="Q78" s="100"/>
      <c r="R78" s="103"/>
      <c r="S78" s="97"/>
      <c r="T78" s="97"/>
      <c r="U78" s="97"/>
      <c r="V78" s="100"/>
      <c r="W78" s="112"/>
      <c r="X78" s="106"/>
      <c r="Y78" s="106"/>
      <c r="Z78" s="106"/>
      <c r="AA78" s="109"/>
      <c r="AB78" s="134"/>
    </row>
    <row r="79" spans="1:32" ht="15.75" customHeight="1" thickBot="1" x14ac:dyDescent="0.3">
      <c r="A79" s="142"/>
      <c r="B79" s="138"/>
      <c r="C79" s="95"/>
      <c r="D79" s="125"/>
      <c r="E79" s="125"/>
      <c r="F79" s="125"/>
      <c r="G79" s="128"/>
      <c r="H79" s="104"/>
      <c r="I79" s="98"/>
      <c r="J79" s="98"/>
      <c r="K79" s="98"/>
      <c r="L79" s="101"/>
      <c r="M79" s="104"/>
      <c r="N79" s="98"/>
      <c r="O79" s="98"/>
      <c r="P79" s="98"/>
      <c r="Q79" s="101"/>
      <c r="R79" s="104"/>
      <c r="S79" s="98"/>
      <c r="T79" s="98"/>
      <c r="U79" s="98"/>
      <c r="V79" s="101"/>
      <c r="W79" s="113"/>
      <c r="X79" s="107"/>
      <c r="Y79" s="107"/>
      <c r="Z79" s="107"/>
      <c r="AA79" s="110"/>
      <c r="AB79" s="135"/>
    </row>
    <row r="80" spans="1:32" ht="15.75" customHeight="1" thickTop="1" thickBot="1" x14ac:dyDescent="0.3">
      <c r="A80" s="139">
        <f>ESCUADRAS!B21</f>
        <v>15</v>
      </c>
      <c r="B80" s="136">
        <f>ESCUADRAS!C20</f>
        <v>0</v>
      </c>
      <c r="C80" s="93"/>
      <c r="D80" s="123"/>
      <c r="E80" s="123"/>
      <c r="F80" s="123"/>
      <c r="G80" s="126"/>
      <c r="H80" s="102"/>
      <c r="I80" s="96"/>
      <c r="J80" s="96"/>
      <c r="K80" s="96"/>
      <c r="L80" s="99"/>
      <c r="M80" s="102"/>
      <c r="N80" s="96"/>
      <c r="O80" s="96"/>
      <c r="P80" s="96"/>
      <c r="Q80" s="99"/>
      <c r="R80" s="111"/>
      <c r="S80" s="105"/>
      <c r="T80" s="105"/>
      <c r="U80" s="105"/>
      <c r="V80" s="108"/>
      <c r="W80" s="102"/>
      <c r="X80" s="96"/>
      <c r="Y80" s="96"/>
      <c r="Z80" s="96"/>
      <c r="AA80" s="99"/>
      <c r="AB80" s="133"/>
    </row>
    <row r="81" spans="1:28" ht="15.75" customHeight="1" thickTop="1" thickBot="1" x14ac:dyDescent="0.3">
      <c r="A81" s="139"/>
      <c r="B81" s="137"/>
      <c r="C81" s="94"/>
      <c r="D81" s="124"/>
      <c r="E81" s="124"/>
      <c r="F81" s="124"/>
      <c r="G81" s="127"/>
      <c r="H81" s="103"/>
      <c r="I81" s="97"/>
      <c r="J81" s="97"/>
      <c r="K81" s="97"/>
      <c r="L81" s="100"/>
      <c r="M81" s="103"/>
      <c r="N81" s="97"/>
      <c r="O81" s="97"/>
      <c r="P81" s="97"/>
      <c r="Q81" s="100"/>
      <c r="R81" s="112"/>
      <c r="S81" s="106"/>
      <c r="T81" s="106"/>
      <c r="U81" s="106"/>
      <c r="V81" s="109"/>
      <c r="W81" s="103"/>
      <c r="X81" s="97"/>
      <c r="Y81" s="97"/>
      <c r="Z81" s="97"/>
      <c r="AA81" s="100"/>
      <c r="AB81" s="134"/>
    </row>
    <row r="82" spans="1:28" ht="15.75" customHeight="1" thickTop="1" thickBot="1" x14ac:dyDescent="0.3">
      <c r="A82" s="139"/>
      <c r="B82" s="138"/>
      <c r="C82" s="95"/>
      <c r="D82" s="125"/>
      <c r="E82" s="125"/>
      <c r="F82" s="125"/>
      <c r="G82" s="128"/>
      <c r="H82" s="104"/>
      <c r="I82" s="98"/>
      <c r="J82" s="98"/>
      <c r="K82" s="98"/>
      <c r="L82" s="101"/>
      <c r="M82" s="104"/>
      <c r="N82" s="98"/>
      <c r="O82" s="98"/>
      <c r="P82" s="98"/>
      <c r="Q82" s="101"/>
      <c r="R82" s="113"/>
      <c r="S82" s="107"/>
      <c r="T82" s="107"/>
      <c r="U82" s="107"/>
      <c r="V82" s="110"/>
      <c r="W82" s="104"/>
      <c r="X82" s="98"/>
      <c r="Y82" s="98"/>
      <c r="Z82" s="98"/>
      <c r="AA82" s="101"/>
      <c r="AB82" s="135"/>
    </row>
    <row r="83" spans="1:28" ht="15.75" customHeight="1" thickTop="1" x14ac:dyDescent="0.25">
      <c r="A83" s="140">
        <f>ESCUADRAS!B22</f>
        <v>16</v>
      </c>
      <c r="B83" s="136">
        <f>ESCUADRAS!C21</f>
        <v>0</v>
      </c>
      <c r="C83" s="93"/>
      <c r="D83" s="123"/>
      <c r="E83" s="123"/>
      <c r="F83" s="123"/>
      <c r="G83" s="126"/>
      <c r="H83" s="102"/>
      <c r="I83" s="96"/>
      <c r="J83" s="96"/>
      <c r="K83" s="96"/>
      <c r="L83" s="99"/>
      <c r="M83" s="111"/>
      <c r="N83" s="105"/>
      <c r="O83" s="105"/>
      <c r="P83" s="105"/>
      <c r="Q83" s="108"/>
      <c r="R83" s="102"/>
      <c r="S83" s="96"/>
      <c r="T83" s="96"/>
      <c r="U83" s="96"/>
      <c r="V83" s="99"/>
      <c r="W83" s="102"/>
      <c r="X83" s="96"/>
      <c r="Y83" s="96"/>
      <c r="Z83" s="96"/>
      <c r="AA83" s="99"/>
      <c r="AB83" s="133"/>
    </row>
    <row r="84" spans="1:28" ht="15.75" customHeight="1" x14ac:dyDescent="0.25">
      <c r="A84" s="141"/>
      <c r="B84" s="137"/>
      <c r="C84" s="94"/>
      <c r="D84" s="124"/>
      <c r="E84" s="124"/>
      <c r="F84" s="124"/>
      <c r="G84" s="127"/>
      <c r="H84" s="103"/>
      <c r="I84" s="97"/>
      <c r="J84" s="97"/>
      <c r="K84" s="97"/>
      <c r="L84" s="100"/>
      <c r="M84" s="112"/>
      <c r="N84" s="106"/>
      <c r="O84" s="106"/>
      <c r="P84" s="106"/>
      <c r="Q84" s="109"/>
      <c r="R84" s="103"/>
      <c r="S84" s="97"/>
      <c r="T84" s="97"/>
      <c r="U84" s="97"/>
      <c r="V84" s="100"/>
      <c r="W84" s="103"/>
      <c r="X84" s="97"/>
      <c r="Y84" s="97"/>
      <c r="Z84" s="97"/>
      <c r="AA84" s="100"/>
      <c r="AB84" s="134"/>
    </row>
    <row r="85" spans="1:28" ht="15.75" customHeight="1" thickBot="1" x14ac:dyDescent="0.3">
      <c r="A85" s="142"/>
      <c r="B85" s="138"/>
      <c r="C85" s="95"/>
      <c r="D85" s="125"/>
      <c r="E85" s="125"/>
      <c r="F85" s="125"/>
      <c r="G85" s="128"/>
      <c r="H85" s="104"/>
      <c r="I85" s="98"/>
      <c r="J85" s="98"/>
      <c r="K85" s="98"/>
      <c r="L85" s="101"/>
      <c r="M85" s="113"/>
      <c r="N85" s="107"/>
      <c r="O85" s="107"/>
      <c r="P85" s="107"/>
      <c r="Q85" s="110"/>
      <c r="R85" s="104"/>
      <c r="S85" s="98"/>
      <c r="T85" s="98"/>
      <c r="U85" s="98"/>
      <c r="V85" s="101"/>
      <c r="W85" s="104"/>
      <c r="X85" s="98"/>
      <c r="Y85" s="98"/>
      <c r="Z85" s="98"/>
      <c r="AA85" s="101"/>
      <c r="AB85" s="135"/>
    </row>
    <row r="86" spans="1:28" ht="15.75" customHeight="1" thickTop="1" thickBot="1" x14ac:dyDescent="0.3">
      <c r="A86" s="139">
        <f>ESCUADRAS!B23</f>
        <v>17</v>
      </c>
      <c r="B86" s="136">
        <f>ESCUADRAS!C22</f>
        <v>0</v>
      </c>
      <c r="C86" s="93"/>
      <c r="D86" s="123"/>
      <c r="E86" s="123"/>
      <c r="F86" s="123"/>
      <c r="G86" s="126"/>
      <c r="H86" s="111"/>
      <c r="I86" s="105"/>
      <c r="J86" s="105"/>
      <c r="K86" s="105"/>
      <c r="L86" s="108"/>
      <c r="M86" s="102"/>
      <c r="N86" s="96"/>
      <c r="O86" s="96"/>
      <c r="P86" s="96"/>
      <c r="Q86" s="99"/>
      <c r="R86" s="102"/>
      <c r="S86" s="96"/>
      <c r="T86" s="96"/>
      <c r="U86" s="96"/>
      <c r="V86" s="99"/>
      <c r="W86" s="102"/>
      <c r="X86" s="96"/>
      <c r="Y86" s="96"/>
      <c r="Z86" s="96"/>
      <c r="AA86" s="99"/>
      <c r="AB86" s="133"/>
    </row>
    <row r="87" spans="1:28" ht="15.75" customHeight="1" thickTop="1" thickBot="1" x14ac:dyDescent="0.3">
      <c r="A87" s="139"/>
      <c r="B87" s="137"/>
      <c r="C87" s="94"/>
      <c r="D87" s="124"/>
      <c r="E87" s="124"/>
      <c r="F87" s="124"/>
      <c r="G87" s="127"/>
      <c r="H87" s="112"/>
      <c r="I87" s="106"/>
      <c r="J87" s="106"/>
      <c r="K87" s="106"/>
      <c r="L87" s="109"/>
      <c r="M87" s="103"/>
      <c r="N87" s="97"/>
      <c r="O87" s="97"/>
      <c r="P87" s="97"/>
      <c r="Q87" s="100"/>
      <c r="R87" s="103"/>
      <c r="S87" s="97"/>
      <c r="T87" s="97"/>
      <c r="U87" s="97"/>
      <c r="V87" s="100"/>
      <c r="W87" s="103"/>
      <c r="X87" s="97"/>
      <c r="Y87" s="97"/>
      <c r="Z87" s="97"/>
      <c r="AA87" s="100"/>
      <c r="AB87" s="134"/>
    </row>
    <row r="88" spans="1:28" ht="15.75" customHeight="1" thickTop="1" thickBot="1" x14ac:dyDescent="0.3">
      <c r="A88" s="139"/>
      <c r="B88" s="138"/>
      <c r="C88" s="95"/>
      <c r="D88" s="125"/>
      <c r="E88" s="125"/>
      <c r="F88" s="125"/>
      <c r="G88" s="128"/>
      <c r="H88" s="113"/>
      <c r="I88" s="107"/>
      <c r="J88" s="107"/>
      <c r="K88" s="107"/>
      <c r="L88" s="110"/>
      <c r="M88" s="104"/>
      <c r="N88" s="98"/>
      <c r="O88" s="98"/>
      <c r="P88" s="98"/>
      <c r="Q88" s="101"/>
      <c r="R88" s="104"/>
      <c r="S88" s="98"/>
      <c r="T88" s="98"/>
      <c r="U88" s="98"/>
      <c r="V88" s="101"/>
      <c r="W88" s="104"/>
      <c r="X88" s="98"/>
      <c r="Y88" s="98"/>
      <c r="Z88" s="98"/>
      <c r="AA88" s="101"/>
      <c r="AB88" s="135"/>
    </row>
    <row r="89" spans="1:28" ht="15.75" customHeight="1" thickTop="1" x14ac:dyDescent="0.25">
      <c r="A89" s="140">
        <f>ESCUADRAS!B24</f>
        <v>18</v>
      </c>
      <c r="B89" s="136">
        <f>ESCUADRAS!C23</f>
        <v>0</v>
      </c>
      <c r="C89" s="111"/>
      <c r="D89" s="105"/>
      <c r="E89" s="105"/>
      <c r="F89" s="105"/>
      <c r="G89" s="108"/>
      <c r="H89" s="122"/>
      <c r="I89" s="120"/>
      <c r="J89" s="120"/>
      <c r="K89" s="120"/>
      <c r="L89" s="121"/>
      <c r="M89" s="122"/>
      <c r="N89" s="120"/>
      <c r="O89" s="120"/>
      <c r="P89" s="120"/>
      <c r="Q89" s="121"/>
      <c r="R89" s="122"/>
      <c r="S89" s="120"/>
      <c r="T89" s="120"/>
      <c r="U89" s="120"/>
      <c r="V89" s="121"/>
      <c r="W89" s="122"/>
      <c r="X89" s="120"/>
      <c r="Y89" s="120"/>
      <c r="Z89" s="120"/>
      <c r="AA89" s="121"/>
      <c r="AB89" s="133"/>
    </row>
    <row r="90" spans="1:28" ht="15.75" customHeight="1" x14ac:dyDescent="0.25">
      <c r="A90" s="141"/>
      <c r="B90" s="137"/>
      <c r="C90" s="112"/>
      <c r="D90" s="106"/>
      <c r="E90" s="106"/>
      <c r="F90" s="106"/>
      <c r="G90" s="109"/>
      <c r="H90" s="103"/>
      <c r="I90" s="97"/>
      <c r="J90" s="97"/>
      <c r="K90" s="97"/>
      <c r="L90" s="100"/>
      <c r="M90" s="103"/>
      <c r="N90" s="97"/>
      <c r="O90" s="97"/>
      <c r="P90" s="97"/>
      <c r="Q90" s="100"/>
      <c r="R90" s="103"/>
      <c r="S90" s="97"/>
      <c r="T90" s="97"/>
      <c r="U90" s="97"/>
      <c r="V90" s="100"/>
      <c r="W90" s="103"/>
      <c r="X90" s="97"/>
      <c r="Y90" s="97"/>
      <c r="Z90" s="97"/>
      <c r="AA90" s="100"/>
      <c r="AB90" s="134"/>
    </row>
    <row r="91" spans="1:28" ht="15.75" customHeight="1" thickBot="1" x14ac:dyDescent="0.3">
      <c r="A91" s="142"/>
      <c r="B91" s="138"/>
      <c r="C91" s="113"/>
      <c r="D91" s="107"/>
      <c r="E91" s="107"/>
      <c r="F91" s="107"/>
      <c r="G91" s="110"/>
      <c r="H91" s="104"/>
      <c r="I91" s="98"/>
      <c r="J91" s="98"/>
      <c r="K91" s="98"/>
      <c r="L91" s="101"/>
      <c r="M91" s="104"/>
      <c r="N91" s="98"/>
      <c r="O91" s="98"/>
      <c r="P91" s="98"/>
      <c r="Q91" s="101"/>
      <c r="R91" s="104"/>
      <c r="S91" s="98"/>
      <c r="T91" s="98"/>
      <c r="U91" s="98"/>
      <c r="V91" s="101"/>
      <c r="W91" s="104"/>
      <c r="X91" s="98"/>
      <c r="Y91" s="98"/>
      <c r="Z91" s="98"/>
      <c r="AA91" s="101"/>
      <c r="AB91" s="135"/>
    </row>
    <row r="92" spans="1:28" ht="15" x14ac:dyDescent="0.25">
      <c r="A92" s="28"/>
    </row>
    <row r="93" spans="1:28" ht="15" x14ac:dyDescent="0.25">
      <c r="A93" s="28"/>
      <c r="B93" s="26" t="s">
        <v>35</v>
      </c>
      <c r="E93" s="21" t="s">
        <v>41</v>
      </c>
      <c r="I93" s="21" t="s">
        <v>42</v>
      </c>
      <c r="M93" s="21" t="s">
        <v>43</v>
      </c>
      <c r="Q93" s="21" t="s">
        <v>44</v>
      </c>
      <c r="U93" s="21" t="s">
        <v>45</v>
      </c>
      <c r="Y93" s="21" t="s">
        <v>46</v>
      </c>
    </row>
    <row r="94" spans="1:28" ht="15" x14ac:dyDescent="0.25">
      <c r="A94" s="28"/>
    </row>
    <row r="95" spans="1:28" ht="10.5" customHeight="1" x14ac:dyDescent="0.25"/>
    <row r="98" spans="1:32" ht="24.6" x14ac:dyDescent="0.25">
      <c r="A98" s="144" t="str">
        <f>'INSCRIPCION '!A$1</f>
        <v>TIRADA</v>
      </c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</row>
    <row r="99" spans="1:32" ht="19.5" customHeight="1" x14ac:dyDescent="0.4">
      <c r="A99" s="23"/>
      <c r="B99" s="23"/>
    </row>
    <row r="100" spans="1:32" ht="22.5" customHeight="1" x14ac:dyDescent="0.25">
      <c r="A100" s="132" t="str">
        <f>'INSCRIPCION '!A$2</f>
        <v>CAMPO DE TIRO LA ISLA</v>
      </c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</row>
    <row r="101" spans="1:32" ht="19.5" customHeight="1" x14ac:dyDescent="0.25">
      <c r="A101" s="143" t="str">
        <f>'INSCRIPCION '!A$3</f>
        <v>XXX PLATOS</v>
      </c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</row>
    <row r="102" spans="1:32" ht="22.8" x14ac:dyDescent="0.4">
      <c r="A102" s="24"/>
      <c r="B102" s="24"/>
    </row>
    <row r="103" spans="1:32" ht="17.399999999999999" x14ac:dyDescent="0.3">
      <c r="A103" s="25" t="s">
        <v>12</v>
      </c>
      <c r="B103" s="25"/>
      <c r="J103" s="9" t="s">
        <v>6</v>
      </c>
      <c r="K103" s="9"/>
      <c r="L103" s="9"/>
      <c r="M103" s="9"/>
      <c r="N103" s="9"/>
      <c r="O103" s="22">
        <v>1</v>
      </c>
      <c r="P103" s="22"/>
      <c r="Q103" s="8"/>
      <c r="R103" s="8"/>
      <c r="S103" s="7"/>
      <c r="T103" s="8"/>
      <c r="U103" s="8"/>
      <c r="V103" s="9" t="s">
        <v>7</v>
      </c>
      <c r="W103" s="9"/>
      <c r="X103" s="9"/>
      <c r="Y103" s="9"/>
      <c r="Z103" s="22">
        <v>2</v>
      </c>
      <c r="AA103" s="22"/>
    </row>
    <row r="104" spans="1:32" ht="13.8" thickBot="1" x14ac:dyDescent="0.3"/>
    <row r="105" spans="1:32" ht="15.6" thickBot="1" x14ac:dyDescent="0.3">
      <c r="A105" s="27" t="s">
        <v>0</v>
      </c>
      <c r="B105" s="27" t="s">
        <v>8</v>
      </c>
      <c r="C105" s="47">
        <v>1</v>
      </c>
      <c r="D105" s="48">
        <v>2</v>
      </c>
      <c r="E105" s="48">
        <v>3</v>
      </c>
      <c r="F105" s="48">
        <v>4</v>
      </c>
      <c r="G105" s="49">
        <v>5</v>
      </c>
      <c r="H105" s="47">
        <v>6</v>
      </c>
      <c r="I105" s="48">
        <v>7</v>
      </c>
      <c r="J105" s="48">
        <v>8</v>
      </c>
      <c r="K105" s="48">
        <v>9</v>
      </c>
      <c r="L105" s="49">
        <v>10</v>
      </c>
      <c r="M105" s="47">
        <v>11</v>
      </c>
      <c r="N105" s="48">
        <v>12</v>
      </c>
      <c r="O105" s="48">
        <v>13</v>
      </c>
      <c r="P105" s="48">
        <v>14</v>
      </c>
      <c r="Q105" s="49">
        <v>15</v>
      </c>
      <c r="R105" s="47">
        <v>16</v>
      </c>
      <c r="S105" s="48">
        <v>17</v>
      </c>
      <c r="T105" s="48">
        <v>18</v>
      </c>
      <c r="U105" s="48">
        <v>19</v>
      </c>
      <c r="V105" s="49">
        <v>20</v>
      </c>
      <c r="W105" s="47">
        <v>21</v>
      </c>
      <c r="X105" s="48">
        <v>22</v>
      </c>
      <c r="Y105" s="48">
        <v>23</v>
      </c>
      <c r="Z105" s="48">
        <v>24</v>
      </c>
      <c r="AA105" s="49">
        <v>25</v>
      </c>
      <c r="AB105" s="30" t="s">
        <v>1</v>
      </c>
    </row>
    <row r="106" spans="1:32" ht="15.75" customHeight="1" thickTop="1" thickBot="1" x14ac:dyDescent="0.3">
      <c r="A106" s="139">
        <f>ESCUADRAS!B25</f>
        <v>19</v>
      </c>
      <c r="B106" s="136">
        <f>ESCUADRAS!C30</f>
        <v>0</v>
      </c>
      <c r="C106" s="129"/>
      <c r="D106" s="114"/>
      <c r="E106" s="114"/>
      <c r="F106" s="114"/>
      <c r="G106" s="117"/>
      <c r="H106" s="111"/>
      <c r="I106" s="105"/>
      <c r="J106" s="105"/>
      <c r="K106" s="105"/>
      <c r="L106" s="108"/>
      <c r="M106" s="111"/>
      <c r="N106" s="105"/>
      <c r="O106" s="105"/>
      <c r="P106" s="105"/>
      <c r="Q106" s="108"/>
      <c r="R106" s="111"/>
      <c r="S106" s="105"/>
      <c r="T106" s="105"/>
      <c r="U106" s="105"/>
      <c r="V106" s="108"/>
      <c r="W106" s="111"/>
      <c r="X106" s="105"/>
      <c r="Y106" s="105"/>
      <c r="Z106" s="105"/>
      <c r="AA106" s="108"/>
      <c r="AB106" s="133"/>
    </row>
    <row r="107" spans="1:32" ht="15.75" customHeight="1" thickTop="1" thickBot="1" x14ac:dyDescent="0.3">
      <c r="A107" s="139"/>
      <c r="B107" s="137"/>
      <c r="C107" s="130"/>
      <c r="D107" s="115"/>
      <c r="E107" s="115"/>
      <c r="F107" s="115"/>
      <c r="G107" s="118"/>
      <c r="H107" s="112"/>
      <c r="I107" s="106"/>
      <c r="J107" s="106"/>
      <c r="K107" s="106"/>
      <c r="L107" s="109"/>
      <c r="M107" s="112"/>
      <c r="N107" s="106"/>
      <c r="O107" s="106"/>
      <c r="P107" s="106"/>
      <c r="Q107" s="109"/>
      <c r="R107" s="112"/>
      <c r="S107" s="106"/>
      <c r="T107" s="106"/>
      <c r="U107" s="106"/>
      <c r="V107" s="109"/>
      <c r="W107" s="112"/>
      <c r="X107" s="106"/>
      <c r="Y107" s="106"/>
      <c r="Z107" s="106"/>
      <c r="AA107" s="109"/>
      <c r="AB107" s="134"/>
    </row>
    <row r="108" spans="1:32" ht="15.75" customHeight="1" thickTop="1" thickBot="1" x14ac:dyDescent="0.3">
      <c r="A108" s="139"/>
      <c r="B108" s="138"/>
      <c r="C108" s="131"/>
      <c r="D108" s="116"/>
      <c r="E108" s="116"/>
      <c r="F108" s="116"/>
      <c r="G108" s="119"/>
      <c r="H108" s="113"/>
      <c r="I108" s="107"/>
      <c r="J108" s="107"/>
      <c r="K108" s="107"/>
      <c r="L108" s="110"/>
      <c r="M108" s="113"/>
      <c r="N108" s="107"/>
      <c r="O108" s="107"/>
      <c r="P108" s="107"/>
      <c r="Q108" s="110"/>
      <c r="R108" s="113"/>
      <c r="S108" s="107"/>
      <c r="T108" s="107"/>
      <c r="U108" s="107"/>
      <c r="V108" s="110"/>
      <c r="W108" s="113"/>
      <c r="X108" s="107"/>
      <c r="Y108" s="107"/>
      <c r="Z108" s="107"/>
      <c r="AA108" s="110"/>
      <c r="AB108" s="135"/>
    </row>
    <row r="109" spans="1:32" ht="15.75" customHeight="1" thickTop="1" x14ac:dyDescent="0.25">
      <c r="A109" s="140">
        <f>ESCUADRAS!B26</f>
        <v>20</v>
      </c>
      <c r="B109" s="136">
        <f>ESCUADRAS!C25</f>
        <v>0</v>
      </c>
      <c r="C109" s="93"/>
      <c r="D109" s="123"/>
      <c r="E109" s="123"/>
      <c r="F109" s="123"/>
      <c r="G109" s="126"/>
      <c r="H109" s="102"/>
      <c r="I109" s="96"/>
      <c r="J109" s="96"/>
      <c r="K109" s="96"/>
      <c r="L109" s="99"/>
      <c r="M109" s="102"/>
      <c r="N109" s="96"/>
      <c r="O109" s="96"/>
      <c r="P109" s="96"/>
      <c r="Q109" s="99"/>
      <c r="R109" s="102"/>
      <c r="S109" s="96"/>
      <c r="T109" s="96"/>
      <c r="U109" s="96"/>
      <c r="V109" s="99"/>
      <c r="W109" s="111"/>
      <c r="X109" s="105"/>
      <c r="Y109" s="105"/>
      <c r="Z109" s="105"/>
      <c r="AA109" s="108"/>
      <c r="AB109" s="133"/>
    </row>
    <row r="110" spans="1:32" ht="15.75" customHeight="1" x14ac:dyDescent="0.25">
      <c r="A110" s="141"/>
      <c r="B110" s="137"/>
      <c r="C110" s="94"/>
      <c r="D110" s="124"/>
      <c r="E110" s="124"/>
      <c r="F110" s="124"/>
      <c r="G110" s="127"/>
      <c r="H110" s="103"/>
      <c r="I110" s="97"/>
      <c r="J110" s="97"/>
      <c r="K110" s="97"/>
      <c r="L110" s="100"/>
      <c r="M110" s="103"/>
      <c r="N110" s="97"/>
      <c r="O110" s="97"/>
      <c r="P110" s="97"/>
      <c r="Q110" s="100"/>
      <c r="R110" s="103"/>
      <c r="S110" s="97"/>
      <c r="T110" s="97"/>
      <c r="U110" s="97"/>
      <c r="V110" s="100"/>
      <c r="W110" s="112"/>
      <c r="X110" s="106"/>
      <c r="Y110" s="106"/>
      <c r="Z110" s="106"/>
      <c r="AA110" s="109"/>
      <c r="AB110" s="134"/>
    </row>
    <row r="111" spans="1:32" ht="15.75" customHeight="1" thickBot="1" x14ac:dyDescent="0.3">
      <c r="A111" s="142"/>
      <c r="B111" s="138"/>
      <c r="C111" s="95"/>
      <c r="D111" s="125"/>
      <c r="E111" s="125"/>
      <c r="F111" s="125"/>
      <c r="G111" s="128"/>
      <c r="H111" s="104"/>
      <c r="I111" s="98"/>
      <c r="J111" s="98"/>
      <c r="K111" s="98"/>
      <c r="L111" s="101"/>
      <c r="M111" s="104"/>
      <c r="N111" s="98"/>
      <c r="O111" s="98"/>
      <c r="P111" s="98"/>
      <c r="Q111" s="101"/>
      <c r="R111" s="104"/>
      <c r="S111" s="98"/>
      <c r="T111" s="98"/>
      <c r="U111" s="98"/>
      <c r="V111" s="101"/>
      <c r="W111" s="113"/>
      <c r="X111" s="107"/>
      <c r="Y111" s="107"/>
      <c r="Z111" s="107"/>
      <c r="AA111" s="110"/>
      <c r="AB111" s="135"/>
    </row>
    <row r="112" spans="1:32" ht="15.75" customHeight="1" thickTop="1" thickBot="1" x14ac:dyDescent="0.3">
      <c r="A112" s="139">
        <f>ESCUADRAS!B27</f>
        <v>21</v>
      </c>
      <c r="B112" s="136">
        <f>ESCUADRAS!C26</f>
        <v>0</v>
      </c>
      <c r="C112" s="93"/>
      <c r="D112" s="123"/>
      <c r="E112" s="123"/>
      <c r="F112" s="123"/>
      <c r="G112" s="126"/>
      <c r="H112" s="102"/>
      <c r="I112" s="96"/>
      <c r="J112" s="96"/>
      <c r="K112" s="96"/>
      <c r="L112" s="99"/>
      <c r="M112" s="102"/>
      <c r="N112" s="96"/>
      <c r="O112" s="96"/>
      <c r="P112" s="96"/>
      <c r="Q112" s="99"/>
      <c r="R112" s="111"/>
      <c r="S112" s="105"/>
      <c r="T112" s="105"/>
      <c r="U112" s="105"/>
      <c r="V112" s="108"/>
      <c r="W112" s="102"/>
      <c r="X112" s="96"/>
      <c r="Y112" s="96"/>
      <c r="Z112" s="96"/>
      <c r="AA112" s="99"/>
      <c r="AB112" s="133"/>
    </row>
    <row r="113" spans="1:28" ht="15.75" customHeight="1" thickTop="1" thickBot="1" x14ac:dyDescent="0.3">
      <c r="A113" s="139"/>
      <c r="B113" s="137"/>
      <c r="C113" s="94"/>
      <c r="D113" s="124"/>
      <c r="E113" s="124"/>
      <c r="F113" s="124"/>
      <c r="G113" s="127"/>
      <c r="H113" s="103"/>
      <c r="I113" s="97"/>
      <c r="J113" s="97"/>
      <c r="K113" s="97"/>
      <c r="L113" s="100"/>
      <c r="M113" s="103"/>
      <c r="N113" s="97"/>
      <c r="O113" s="97"/>
      <c r="P113" s="97"/>
      <c r="Q113" s="100"/>
      <c r="R113" s="112"/>
      <c r="S113" s="106"/>
      <c r="T113" s="106"/>
      <c r="U113" s="106"/>
      <c r="V113" s="109"/>
      <c r="W113" s="103"/>
      <c r="X113" s="97"/>
      <c r="Y113" s="97"/>
      <c r="Z113" s="97"/>
      <c r="AA113" s="100"/>
      <c r="AB113" s="134"/>
    </row>
    <row r="114" spans="1:28" ht="15.75" customHeight="1" thickTop="1" thickBot="1" x14ac:dyDescent="0.3">
      <c r="A114" s="139"/>
      <c r="B114" s="138"/>
      <c r="C114" s="95"/>
      <c r="D114" s="125"/>
      <c r="E114" s="125"/>
      <c r="F114" s="125"/>
      <c r="G114" s="128"/>
      <c r="H114" s="104"/>
      <c r="I114" s="98"/>
      <c r="J114" s="98"/>
      <c r="K114" s="98"/>
      <c r="L114" s="101"/>
      <c r="M114" s="104"/>
      <c r="N114" s="98"/>
      <c r="O114" s="98"/>
      <c r="P114" s="98"/>
      <c r="Q114" s="101"/>
      <c r="R114" s="113"/>
      <c r="S114" s="107"/>
      <c r="T114" s="107"/>
      <c r="U114" s="107"/>
      <c r="V114" s="110"/>
      <c r="W114" s="104"/>
      <c r="X114" s="98"/>
      <c r="Y114" s="98"/>
      <c r="Z114" s="98"/>
      <c r="AA114" s="101"/>
      <c r="AB114" s="135"/>
    </row>
    <row r="115" spans="1:28" ht="15.75" customHeight="1" thickTop="1" x14ac:dyDescent="0.25">
      <c r="A115" s="140">
        <f>ESCUADRAS!B28</f>
        <v>22</v>
      </c>
      <c r="B115" s="136">
        <f>ESCUADRAS!C27</f>
        <v>0</v>
      </c>
      <c r="C115" s="93"/>
      <c r="D115" s="123"/>
      <c r="E115" s="123"/>
      <c r="F115" s="123"/>
      <c r="G115" s="126"/>
      <c r="H115" s="102"/>
      <c r="I115" s="96"/>
      <c r="J115" s="96"/>
      <c r="K115" s="96"/>
      <c r="L115" s="99"/>
      <c r="M115" s="111"/>
      <c r="N115" s="105"/>
      <c r="O115" s="105"/>
      <c r="P115" s="105"/>
      <c r="Q115" s="108"/>
      <c r="R115" s="102"/>
      <c r="S115" s="96"/>
      <c r="T115" s="96"/>
      <c r="U115" s="96"/>
      <c r="V115" s="99"/>
      <c r="W115" s="102"/>
      <c r="X115" s="96"/>
      <c r="Y115" s="96"/>
      <c r="Z115" s="96"/>
      <c r="AA115" s="99"/>
      <c r="AB115" s="133"/>
    </row>
    <row r="116" spans="1:28" ht="15.75" customHeight="1" x14ac:dyDescent="0.25">
      <c r="A116" s="141"/>
      <c r="B116" s="137"/>
      <c r="C116" s="94"/>
      <c r="D116" s="124"/>
      <c r="E116" s="124"/>
      <c r="F116" s="124"/>
      <c r="G116" s="127"/>
      <c r="H116" s="103"/>
      <c r="I116" s="97"/>
      <c r="J116" s="97"/>
      <c r="K116" s="97"/>
      <c r="L116" s="100"/>
      <c r="M116" s="112"/>
      <c r="N116" s="106"/>
      <c r="O116" s="106"/>
      <c r="P116" s="106"/>
      <c r="Q116" s="109"/>
      <c r="R116" s="103"/>
      <c r="S116" s="97"/>
      <c r="T116" s="97"/>
      <c r="U116" s="97"/>
      <c r="V116" s="100"/>
      <c r="W116" s="103"/>
      <c r="X116" s="97"/>
      <c r="Y116" s="97"/>
      <c r="Z116" s="97"/>
      <c r="AA116" s="100"/>
      <c r="AB116" s="134"/>
    </row>
    <row r="117" spans="1:28" ht="15.75" customHeight="1" thickBot="1" x14ac:dyDescent="0.3">
      <c r="A117" s="142"/>
      <c r="B117" s="138"/>
      <c r="C117" s="95"/>
      <c r="D117" s="125"/>
      <c r="E117" s="125"/>
      <c r="F117" s="125"/>
      <c r="G117" s="128"/>
      <c r="H117" s="104"/>
      <c r="I117" s="98"/>
      <c r="J117" s="98"/>
      <c r="K117" s="98"/>
      <c r="L117" s="101"/>
      <c r="M117" s="113"/>
      <c r="N117" s="107"/>
      <c r="O117" s="107"/>
      <c r="P117" s="107"/>
      <c r="Q117" s="110"/>
      <c r="R117" s="104"/>
      <c r="S117" s="98"/>
      <c r="T117" s="98"/>
      <c r="U117" s="98"/>
      <c r="V117" s="101"/>
      <c r="W117" s="104"/>
      <c r="X117" s="98"/>
      <c r="Y117" s="98"/>
      <c r="Z117" s="98"/>
      <c r="AA117" s="101"/>
      <c r="AB117" s="135"/>
    </row>
    <row r="118" spans="1:28" ht="15.75" customHeight="1" thickTop="1" thickBot="1" x14ac:dyDescent="0.3">
      <c r="A118" s="139">
        <f>ESCUADRAS!B29</f>
        <v>23</v>
      </c>
      <c r="B118" s="136">
        <f>ESCUADRAS!C28</f>
        <v>0</v>
      </c>
      <c r="C118" s="93"/>
      <c r="D118" s="123"/>
      <c r="E118" s="123"/>
      <c r="F118" s="123"/>
      <c r="G118" s="126"/>
      <c r="H118" s="111"/>
      <c r="I118" s="105"/>
      <c r="J118" s="105"/>
      <c r="K118" s="105"/>
      <c r="L118" s="108"/>
      <c r="M118" s="102"/>
      <c r="N118" s="96"/>
      <c r="O118" s="96"/>
      <c r="P118" s="96"/>
      <c r="Q118" s="99"/>
      <c r="R118" s="102"/>
      <c r="S118" s="96"/>
      <c r="T118" s="96"/>
      <c r="U118" s="96"/>
      <c r="V118" s="99"/>
      <c r="W118" s="102"/>
      <c r="X118" s="96"/>
      <c r="Y118" s="96"/>
      <c r="Z118" s="96"/>
      <c r="AA118" s="99"/>
      <c r="AB118" s="133"/>
    </row>
    <row r="119" spans="1:28" ht="15.75" customHeight="1" thickTop="1" thickBot="1" x14ac:dyDescent="0.3">
      <c r="A119" s="139"/>
      <c r="B119" s="137"/>
      <c r="C119" s="94"/>
      <c r="D119" s="124"/>
      <c r="E119" s="124"/>
      <c r="F119" s="124"/>
      <c r="G119" s="127"/>
      <c r="H119" s="112"/>
      <c r="I119" s="106"/>
      <c r="J119" s="106"/>
      <c r="K119" s="106"/>
      <c r="L119" s="109"/>
      <c r="M119" s="103"/>
      <c r="N119" s="97"/>
      <c r="O119" s="97"/>
      <c r="P119" s="97"/>
      <c r="Q119" s="100"/>
      <c r="R119" s="103"/>
      <c r="S119" s="97"/>
      <c r="T119" s="97"/>
      <c r="U119" s="97"/>
      <c r="V119" s="100"/>
      <c r="W119" s="103"/>
      <c r="X119" s="97"/>
      <c r="Y119" s="97"/>
      <c r="Z119" s="97"/>
      <c r="AA119" s="100"/>
      <c r="AB119" s="134"/>
    </row>
    <row r="120" spans="1:28" ht="15.75" customHeight="1" thickTop="1" thickBot="1" x14ac:dyDescent="0.3">
      <c r="A120" s="139"/>
      <c r="B120" s="138"/>
      <c r="C120" s="95"/>
      <c r="D120" s="125"/>
      <c r="E120" s="125"/>
      <c r="F120" s="125"/>
      <c r="G120" s="128"/>
      <c r="H120" s="113"/>
      <c r="I120" s="107"/>
      <c r="J120" s="107"/>
      <c r="K120" s="107"/>
      <c r="L120" s="110"/>
      <c r="M120" s="104"/>
      <c r="N120" s="98"/>
      <c r="O120" s="98"/>
      <c r="P120" s="98"/>
      <c r="Q120" s="101"/>
      <c r="R120" s="104"/>
      <c r="S120" s="98"/>
      <c r="T120" s="98"/>
      <c r="U120" s="98"/>
      <c r="V120" s="101"/>
      <c r="W120" s="104"/>
      <c r="X120" s="98"/>
      <c r="Y120" s="98"/>
      <c r="Z120" s="98"/>
      <c r="AA120" s="101"/>
      <c r="AB120" s="135"/>
    </row>
    <row r="121" spans="1:28" ht="15.75" customHeight="1" thickTop="1" x14ac:dyDescent="0.25">
      <c r="A121" s="140">
        <f>ESCUADRAS!B30</f>
        <v>24</v>
      </c>
      <c r="B121" s="136">
        <f>ESCUADRAS!C29</f>
        <v>0</v>
      </c>
      <c r="C121" s="111"/>
      <c r="D121" s="105"/>
      <c r="E121" s="105"/>
      <c r="F121" s="105"/>
      <c r="G121" s="108"/>
      <c r="H121" s="122"/>
      <c r="I121" s="120"/>
      <c r="J121" s="120"/>
      <c r="K121" s="120"/>
      <c r="L121" s="121"/>
      <c r="M121" s="122"/>
      <c r="N121" s="120"/>
      <c r="O121" s="120"/>
      <c r="P121" s="120"/>
      <c r="Q121" s="121"/>
      <c r="R121" s="122"/>
      <c r="S121" s="120"/>
      <c r="T121" s="120"/>
      <c r="U121" s="120"/>
      <c r="V121" s="121"/>
      <c r="W121" s="122"/>
      <c r="X121" s="120"/>
      <c r="Y121" s="120"/>
      <c r="Z121" s="120"/>
      <c r="AA121" s="121"/>
      <c r="AB121" s="133"/>
    </row>
    <row r="122" spans="1:28" ht="15.75" customHeight="1" x14ac:dyDescent="0.25">
      <c r="A122" s="141"/>
      <c r="B122" s="137"/>
      <c r="C122" s="112"/>
      <c r="D122" s="106"/>
      <c r="E122" s="106"/>
      <c r="F122" s="106"/>
      <c r="G122" s="109"/>
      <c r="H122" s="103"/>
      <c r="I122" s="97"/>
      <c r="J122" s="97"/>
      <c r="K122" s="97"/>
      <c r="L122" s="100"/>
      <c r="M122" s="103"/>
      <c r="N122" s="97"/>
      <c r="O122" s="97"/>
      <c r="P122" s="97"/>
      <c r="Q122" s="100"/>
      <c r="R122" s="103"/>
      <c r="S122" s="97"/>
      <c r="T122" s="97"/>
      <c r="U122" s="97"/>
      <c r="V122" s="100"/>
      <c r="W122" s="103"/>
      <c r="X122" s="97"/>
      <c r="Y122" s="97"/>
      <c r="Z122" s="97"/>
      <c r="AA122" s="100"/>
      <c r="AB122" s="134"/>
    </row>
    <row r="123" spans="1:28" ht="15.75" customHeight="1" thickBot="1" x14ac:dyDescent="0.3">
      <c r="A123" s="142"/>
      <c r="B123" s="138"/>
      <c r="C123" s="113"/>
      <c r="D123" s="107"/>
      <c r="E123" s="107"/>
      <c r="F123" s="107"/>
      <c r="G123" s="110"/>
      <c r="H123" s="104"/>
      <c r="I123" s="98"/>
      <c r="J123" s="98"/>
      <c r="K123" s="98"/>
      <c r="L123" s="101"/>
      <c r="M123" s="104"/>
      <c r="N123" s="98"/>
      <c r="O123" s="98"/>
      <c r="P123" s="98"/>
      <c r="Q123" s="101"/>
      <c r="R123" s="104"/>
      <c r="S123" s="98"/>
      <c r="T123" s="98"/>
      <c r="U123" s="98"/>
      <c r="V123" s="101"/>
      <c r="W123" s="104"/>
      <c r="X123" s="98"/>
      <c r="Y123" s="98"/>
      <c r="Z123" s="98"/>
      <c r="AA123" s="101"/>
      <c r="AB123" s="135"/>
    </row>
    <row r="124" spans="1:28" ht="15" x14ac:dyDescent="0.25">
      <c r="A124" s="28"/>
    </row>
    <row r="125" spans="1:28" ht="15" x14ac:dyDescent="0.25">
      <c r="A125" s="28"/>
      <c r="B125" s="26" t="s">
        <v>35</v>
      </c>
      <c r="E125" s="21" t="s">
        <v>41</v>
      </c>
      <c r="I125" s="21" t="s">
        <v>42</v>
      </c>
      <c r="M125" s="21" t="s">
        <v>43</v>
      </c>
      <c r="Q125" s="21" t="s">
        <v>44</v>
      </c>
      <c r="U125" s="21" t="s">
        <v>45</v>
      </c>
      <c r="Y125" s="21" t="s">
        <v>46</v>
      </c>
    </row>
    <row r="126" spans="1:28" ht="15" x14ac:dyDescent="0.25">
      <c r="A126" s="28"/>
    </row>
    <row r="128" spans="1:28" ht="10.5" customHeight="1" x14ac:dyDescent="0.25"/>
    <row r="130" spans="1:32" ht="24.6" x14ac:dyDescent="0.25">
      <c r="A130" s="144" t="str">
        <f>'INSCRIPCION '!A$1</f>
        <v>TIRADA</v>
      </c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</row>
    <row r="131" spans="1:32" ht="19.5" customHeight="1" x14ac:dyDescent="0.4">
      <c r="A131" s="23"/>
      <c r="B131" s="23"/>
    </row>
    <row r="132" spans="1:32" ht="21.75" customHeight="1" x14ac:dyDescent="0.25">
      <c r="A132" s="132" t="str">
        <f>'INSCRIPCION '!A$2</f>
        <v>CAMPO DE TIRO LA ISLA</v>
      </c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</row>
    <row r="133" spans="1:32" ht="19.5" customHeight="1" x14ac:dyDescent="0.25">
      <c r="A133" s="143" t="str">
        <f>'INSCRIPCION '!A$3</f>
        <v>XXX PLATOS</v>
      </c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</row>
    <row r="134" spans="1:32" ht="22.8" x14ac:dyDescent="0.4">
      <c r="A134" s="24"/>
      <c r="B134" s="24"/>
    </row>
    <row r="135" spans="1:32" ht="17.399999999999999" x14ac:dyDescent="0.3">
      <c r="A135" s="25" t="s">
        <v>13</v>
      </c>
      <c r="B135" s="25"/>
      <c r="J135" s="9" t="s">
        <v>6</v>
      </c>
      <c r="K135" s="9"/>
      <c r="L135" s="9"/>
      <c r="M135" s="9"/>
      <c r="N135" s="9"/>
      <c r="O135" s="22">
        <v>2</v>
      </c>
      <c r="P135" s="22"/>
      <c r="Q135" s="8"/>
      <c r="R135" s="8"/>
      <c r="S135" s="7"/>
      <c r="T135" s="8"/>
      <c r="U135" s="8"/>
      <c r="V135" s="9" t="s">
        <v>7</v>
      </c>
      <c r="W135" s="9"/>
      <c r="X135" s="9"/>
      <c r="Y135" s="9"/>
      <c r="Z135" s="22">
        <v>2</v>
      </c>
      <c r="AA135" s="22"/>
    </row>
    <row r="136" spans="1:32" ht="13.8" thickBot="1" x14ac:dyDescent="0.3"/>
    <row r="137" spans="1:32" ht="15.6" thickBot="1" x14ac:dyDescent="0.3">
      <c r="A137" s="27" t="s">
        <v>0</v>
      </c>
      <c r="B137" s="27" t="s">
        <v>8</v>
      </c>
      <c r="C137" s="47">
        <v>1</v>
      </c>
      <c r="D137" s="48">
        <v>2</v>
      </c>
      <c r="E137" s="48">
        <v>3</v>
      </c>
      <c r="F137" s="48">
        <v>4</v>
      </c>
      <c r="G137" s="49">
        <v>5</v>
      </c>
      <c r="H137" s="47">
        <v>6</v>
      </c>
      <c r="I137" s="48">
        <v>7</v>
      </c>
      <c r="J137" s="48">
        <v>8</v>
      </c>
      <c r="K137" s="48">
        <v>9</v>
      </c>
      <c r="L137" s="49">
        <v>10</v>
      </c>
      <c r="M137" s="47">
        <v>11</v>
      </c>
      <c r="N137" s="48">
        <v>12</v>
      </c>
      <c r="O137" s="48">
        <v>13</v>
      </c>
      <c r="P137" s="48">
        <v>14</v>
      </c>
      <c r="Q137" s="49">
        <v>15</v>
      </c>
      <c r="R137" s="47">
        <v>16</v>
      </c>
      <c r="S137" s="48">
        <v>17</v>
      </c>
      <c r="T137" s="48">
        <v>18</v>
      </c>
      <c r="U137" s="48">
        <v>19</v>
      </c>
      <c r="V137" s="49">
        <v>20</v>
      </c>
      <c r="W137" s="47">
        <v>21</v>
      </c>
      <c r="X137" s="48">
        <v>22</v>
      </c>
      <c r="Y137" s="48">
        <v>23</v>
      </c>
      <c r="Z137" s="48">
        <v>24</v>
      </c>
      <c r="AA137" s="49">
        <v>25</v>
      </c>
      <c r="AB137" s="30" t="s">
        <v>1</v>
      </c>
    </row>
    <row r="138" spans="1:32" ht="15.75" customHeight="1" thickTop="1" thickBot="1" x14ac:dyDescent="0.3">
      <c r="A138" s="139">
        <f>ESCUADRAS!B31</f>
        <v>25</v>
      </c>
      <c r="B138" s="136">
        <f>ESCUADRAS!C36</f>
        <v>0</v>
      </c>
      <c r="C138" s="129"/>
      <c r="D138" s="114"/>
      <c r="E138" s="114"/>
      <c r="F138" s="114"/>
      <c r="G138" s="117"/>
      <c r="H138" s="111"/>
      <c r="I138" s="105"/>
      <c r="J138" s="105"/>
      <c r="K138" s="105"/>
      <c r="L138" s="108"/>
      <c r="M138" s="111"/>
      <c r="N138" s="105"/>
      <c r="O138" s="105"/>
      <c r="P138" s="105"/>
      <c r="Q138" s="108"/>
      <c r="R138" s="111"/>
      <c r="S138" s="105"/>
      <c r="T138" s="105"/>
      <c r="U138" s="105"/>
      <c r="V138" s="108"/>
      <c r="W138" s="111"/>
      <c r="X138" s="105"/>
      <c r="Y138" s="105"/>
      <c r="Z138" s="105"/>
      <c r="AA138" s="108"/>
      <c r="AB138" s="133"/>
    </row>
    <row r="139" spans="1:32" ht="15.75" customHeight="1" thickTop="1" thickBot="1" x14ac:dyDescent="0.3">
      <c r="A139" s="139"/>
      <c r="B139" s="137"/>
      <c r="C139" s="130"/>
      <c r="D139" s="115"/>
      <c r="E139" s="115"/>
      <c r="F139" s="115"/>
      <c r="G139" s="118"/>
      <c r="H139" s="112"/>
      <c r="I139" s="106"/>
      <c r="J139" s="106"/>
      <c r="K139" s="106"/>
      <c r="L139" s="109"/>
      <c r="M139" s="112"/>
      <c r="N139" s="106"/>
      <c r="O139" s="106"/>
      <c r="P139" s="106"/>
      <c r="Q139" s="109"/>
      <c r="R139" s="112"/>
      <c r="S139" s="106"/>
      <c r="T139" s="106"/>
      <c r="U139" s="106"/>
      <c r="V139" s="109"/>
      <c r="W139" s="112"/>
      <c r="X139" s="106"/>
      <c r="Y139" s="106"/>
      <c r="Z139" s="106"/>
      <c r="AA139" s="109"/>
      <c r="AB139" s="134"/>
    </row>
    <row r="140" spans="1:32" ht="15.75" customHeight="1" thickTop="1" thickBot="1" x14ac:dyDescent="0.3">
      <c r="A140" s="139"/>
      <c r="B140" s="138"/>
      <c r="C140" s="131"/>
      <c r="D140" s="116"/>
      <c r="E140" s="116"/>
      <c r="F140" s="116"/>
      <c r="G140" s="119"/>
      <c r="H140" s="113"/>
      <c r="I140" s="107"/>
      <c r="J140" s="107"/>
      <c r="K140" s="107"/>
      <c r="L140" s="110"/>
      <c r="M140" s="113"/>
      <c r="N140" s="107"/>
      <c r="O140" s="107"/>
      <c r="P140" s="107"/>
      <c r="Q140" s="110"/>
      <c r="R140" s="113"/>
      <c r="S140" s="107"/>
      <c r="T140" s="107"/>
      <c r="U140" s="107"/>
      <c r="V140" s="110"/>
      <c r="W140" s="113"/>
      <c r="X140" s="107"/>
      <c r="Y140" s="107"/>
      <c r="Z140" s="107"/>
      <c r="AA140" s="110"/>
      <c r="AB140" s="135"/>
    </row>
    <row r="141" spans="1:32" ht="15.75" customHeight="1" thickTop="1" x14ac:dyDescent="0.25">
      <c r="A141" s="140">
        <f>ESCUADRAS!B32</f>
        <v>26</v>
      </c>
      <c r="B141" s="136">
        <f>ESCUADRAS!C31</f>
        <v>0</v>
      </c>
      <c r="C141" s="93"/>
      <c r="D141" s="123"/>
      <c r="E141" s="123"/>
      <c r="F141" s="123"/>
      <c r="G141" s="126"/>
      <c r="H141" s="102"/>
      <c r="I141" s="96"/>
      <c r="J141" s="96"/>
      <c r="K141" s="96"/>
      <c r="L141" s="99"/>
      <c r="M141" s="102"/>
      <c r="N141" s="96"/>
      <c r="O141" s="96"/>
      <c r="P141" s="96"/>
      <c r="Q141" s="99"/>
      <c r="R141" s="102"/>
      <c r="S141" s="96"/>
      <c r="T141" s="96"/>
      <c r="U141" s="96"/>
      <c r="V141" s="99"/>
      <c r="W141" s="111"/>
      <c r="X141" s="105"/>
      <c r="Y141" s="105"/>
      <c r="Z141" s="105"/>
      <c r="AA141" s="108"/>
      <c r="AB141" s="133"/>
    </row>
    <row r="142" spans="1:32" ht="15.75" customHeight="1" x14ac:dyDescent="0.25">
      <c r="A142" s="141"/>
      <c r="B142" s="137"/>
      <c r="C142" s="94"/>
      <c r="D142" s="124"/>
      <c r="E142" s="124"/>
      <c r="F142" s="124"/>
      <c r="G142" s="127"/>
      <c r="H142" s="103"/>
      <c r="I142" s="97"/>
      <c r="J142" s="97"/>
      <c r="K142" s="97"/>
      <c r="L142" s="100"/>
      <c r="M142" s="103"/>
      <c r="N142" s="97"/>
      <c r="O142" s="97"/>
      <c r="P142" s="97"/>
      <c r="Q142" s="100"/>
      <c r="R142" s="103"/>
      <c r="S142" s="97"/>
      <c r="T142" s="97"/>
      <c r="U142" s="97"/>
      <c r="V142" s="100"/>
      <c r="W142" s="112"/>
      <c r="X142" s="106"/>
      <c r="Y142" s="106"/>
      <c r="Z142" s="106"/>
      <c r="AA142" s="109"/>
      <c r="AB142" s="134"/>
    </row>
    <row r="143" spans="1:32" ht="15.75" customHeight="1" thickBot="1" x14ac:dyDescent="0.3">
      <c r="A143" s="142"/>
      <c r="B143" s="138"/>
      <c r="C143" s="95"/>
      <c r="D143" s="125"/>
      <c r="E143" s="125"/>
      <c r="F143" s="125"/>
      <c r="G143" s="128"/>
      <c r="H143" s="104"/>
      <c r="I143" s="98"/>
      <c r="J143" s="98"/>
      <c r="K143" s="98"/>
      <c r="L143" s="101"/>
      <c r="M143" s="104"/>
      <c r="N143" s="98"/>
      <c r="O143" s="98"/>
      <c r="P143" s="98"/>
      <c r="Q143" s="101"/>
      <c r="R143" s="104"/>
      <c r="S143" s="98"/>
      <c r="T143" s="98"/>
      <c r="U143" s="98"/>
      <c r="V143" s="101"/>
      <c r="W143" s="113"/>
      <c r="X143" s="107"/>
      <c r="Y143" s="107"/>
      <c r="Z143" s="107"/>
      <c r="AA143" s="110"/>
      <c r="AB143" s="135"/>
    </row>
    <row r="144" spans="1:32" ht="15.75" customHeight="1" thickTop="1" thickBot="1" x14ac:dyDescent="0.3">
      <c r="A144" s="139">
        <f>ESCUADRAS!B33</f>
        <v>27</v>
      </c>
      <c r="B144" s="136">
        <f>ESCUADRAS!C32</f>
        <v>0</v>
      </c>
      <c r="C144" s="93"/>
      <c r="D144" s="123"/>
      <c r="E144" s="123"/>
      <c r="F144" s="123"/>
      <c r="G144" s="126"/>
      <c r="H144" s="102"/>
      <c r="I144" s="96"/>
      <c r="J144" s="96"/>
      <c r="K144" s="96"/>
      <c r="L144" s="99"/>
      <c r="M144" s="102"/>
      <c r="N144" s="96"/>
      <c r="O144" s="96"/>
      <c r="P144" s="96"/>
      <c r="Q144" s="99"/>
      <c r="R144" s="111"/>
      <c r="S144" s="105"/>
      <c r="T144" s="105"/>
      <c r="U144" s="105"/>
      <c r="V144" s="108"/>
      <c r="W144" s="102"/>
      <c r="X144" s="96"/>
      <c r="Y144" s="96"/>
      <c r="Z144" s="96"/>
      <c r="AA144" s="99"/>
      <c r="AB144" s="133"/>
    </row>
    <row r="145" spans="1:28" ht="15.75" customHeight="1" thickTop="1" thickBot="1" x14ac:dyDescent="0.3">
      <c r="A145" s="139"/>
      <c r="B145" s="137"/>
      <c r="C145" s="94"/>
      <c r="D145" s="124"/>
      <c r="E145" s="124"/>
      <c r="F145" s="124"/>
      <c r="G145" s="127"/>
      <c r="H145" s="103"/>
      <c r="I145" s="97"/>
      <c r="J145" s="97"/>
      <c r="K145" s="97"/>
      <c r="L145" s="100"/>
      <c r="M145" s="103"/>
      <c r="N145" s="97"/>
      <c r="O145" s="97"/>
      <c r="P145" s="97"/>
      <c r="Q145" s="100"/>
      <c r="R145" s="112"/>
      <c r="S145" s="106"/>
      <c r="T145" s="106"/>
      <c r="U145" s="106"/>
      <c r="V145" s="109"/>
      <c r="W145" s="103"/>
      <c r="X145" s="97"/>
      <c r="Y145" s="97"/>
      <c r="Z145" s="97"/>
      <c r="AA145" s="100"/>
      <c r="AB145" s="134"/>
    </row>
    <row r="146" spans="1:28" ht="15.75" customHeight="1" thickTop="1" thickBot="1" x14ac:dyDescent="0.3">
      <c r="A146" s="139"/>
      <c r="B146" s="138"/>
      <c r="C146" s="95"/>
      <c r="D146" s="125"/>
      <c r="E146" s="125"/>
      <c r="F146" s="125"/>
      <c r="G146" s="128"/>
      <c r="H146" s="104"/>
      <c r="I146" s="98"/>
      <c r="J146" s="98"/>
      <c r="K146" s="98"/>
      <c r="L146" s="101"/>
      <c r="M146" s="104"/>
      <c r="N146" s="98"/>
      <c r="O146" s="98"/>
      <c r="P146" s="98"/>
      <c r="Q146" s="101"/>
      <c r="R146" s="113"/>
      <c r="S146" s="107"/>
      <c r="T146" s="107"/>
      <c r="U146" s="107"/>
      <c r="V146" s="110"/>
      <c r="W146" s="104"/>
      <c r="X146" s="98"/>
      <c r="Y146" s="98"/>
      <c r="Z146" s="98"/>
      <c r="AA146" s="101"/>
      <c r="AB146" s="135"/>
    </row>
    <row r="147" spans="1:28" ht="15.75" customHeight="1" thickTop="1" x14ac:dyDescent="0.25">
      <c r="A147" s="140">
        <f>ESCUADRAS!B34</f>
        <v>28</v>
      </c>
      <c r="B147" s="136">
        <f>ESCUADRAS!C33</f>
        <v>0</v>
      </c>
      <c r="C147" s="93"/>
      <c r="D147" s="123"/>
      <c r="E147" s="123"/>
      <c r="F147" s="123"/>
      <c r="G147" s="126"/>
      <c r="H147" s="102"/>
      <c r="I147" s="96"/>
      <c r="J147" s="96"/>
      <c r="K147" s="96"/>
      <c r="L147" s="99"/>
      <c r="M147" s="111"/>
      <c r="N147" s="105"/>
      <c r="O147" s="105"/>
      <c r="P147" s="105"/>
      <c r="Q147" s="108"/>
      <c r="R147" s="102"/>
      <c r="S147" s="96"/>
      <c r="T147" s="96"/>
      <c r="U147" s="96"/>
      <c r="V147" s="99"/>
      <c r="W147" s="102"/>
      <c r="X147" s="96"/>
      <c r="Y147" s="96"/>
      <c r="Z147" s="96"/>
      <c r="AA147" s="99"/>
      <c r="AB147" s="133"/>
    </row>
    <row r="148" spans="1:28" ht="15.75" customHeight="1" x14ac:dyDescent="0.25">
      <c r="A148" s="141"/>
      <c r="B148" s="137"/>
      <c r="C148" s="94"/>
      <c r="D148" s="124"/>
      <c r="E148" s="124"/>
      <c r="F148" s="124"/>
      <c r="G148" s="127"/>
      <c r="H148" s="103"/>
      <c r="I148" s="97"/>
      <c r="J148" s="97"/>
      <c r="K148" s="97"/>
      <c r="L148" s="100"/>
      <c r="M148" s="112"/>
      <c r="N148" s="106"/>
      <c r="O148" s="106"/>
      <c r="P148" s="106"/>
      <c r="Q148" s="109"/>
      <c r="R148" s="103"/>
      <c r="S148" s="97"/>
      <c r="T148" s="97"/>
      <c r="U148" s="97"/>
      <c r="V148" s="100"/>
      <c r="W148" s="103"/>
      <c r="X148" s="97"/>
      <c r="Y148" s="97"/>
      <c r="Z148" s="97"/>
      <c r="AA148" s="100"/>
      <c r="AB148" s="134"/>
    </row>
    <row r="149" spans="1:28" ht="15.75" customHeight="1" thickBot="1" x14ac:dyDescent="0.3">
      <c r="A149" s="142"/>
      <c r="B149" s="138"/>
      <c r="C149" s="95"/>
      <c r="D149" s="125"/>
      <c r="E149" s="125"/>
      <c r="F149" s="125"/>
      <c r="G149" s="128"/>
      <c r="H149" s="104"/>
      <c r="I149" s="98"/>
      <c r="J149" s="98"/>
      <c r="K149" s="98"/>
      <c r="L149" s="101"/>
      <c r="M149" s="113"/>
      <c r="N149" s="107"/>
      <c r="O149" s="107"/>
      <c r="P149" s="107"/>
      <c r="Q149" s="110"/>
      <c r="R149" s="104"/>
      <c r="S149" s="98"/>
      <c r="T149" s="98"/>
      <c r="U149" s="98"/>
      <c r="V149" s="101"/>
      <c r="W149" s="104"/>
      <c r="X149" s="98"/>
      <c r="Y149" s="98"/>
      <c r="Z149" s="98"/>
      <c r="AA149" s="101"/>
      <c r="AB149" s="135"/>
    </row>
    <row r="150" spans="1:28" ht="15.75" customHeight="1" thickTop="1" thickBot="1" x14ac:dyDescent="0.3">
      <c r="A150" s="139">
        <f>ESCUADRAS!B35</f>
        <v>29</v>
      </c>
      <c r="B150" s="136">
        <f>ESCUADRAS!C34</f>
        <v>0</v>
      </c>
      <c r="C150" s="93"/>
      <c r="D150" s="123"/>
      <c r="E150" s="123"/>
      <c r="F150" s="123"/>
      <c r="G150" s="126"/>
      <c r="H150" s="111"/>
      <c r="I150" s="105"/>
      <c r="J150" s="105"/>
      <c r="K150" s="105"/>
      <c r="L150" s="108"/>
      <c r="M150" s="102"/>
      <c r="N150" s="96"/>
      <c r="O150" s="96"/>
      <c r="P150" s="96"/>
      <c r="Q150" s="99"/>
      <c r="R150" s="102"/>
      <c r="S150" s="96"/>
      <c r="T150" s="96"/>
      <c r="U150" s="96"/>
      <c r="V150" s="99"/>
      <c r="W150" s="102"/>
      <c r="X150" s="96"/>
      <c r="Y150" s="96"/>
      <c r="Z150" s="96"/>
      <c r="AA150" s="99"/>
      <c r="AB150" s="133"/>
    </row>
    <row r="151" spans="1:28" ht="15.75" customHeight="1" thickTop="1" thickBot="1" x14ac:dyDescent="0.3">
      <c r="A151" s="139"/>
      <c r="B151" s="137"/>
      <c r="C151" s="94"/>
      <c r="D151" s="124"/>
      <c r="E151" s="124"/>
      <c r="F151" s="124"/>
      <c r="G151" s="127"/>
      <c r="H151" s="112"/>
      <c r="I151" s="106"/>
      <c r="J151" s="106"/>
      <c r="K151" s="106"/>
      <c r="L151" s="109"/>
      <c r="M151" s="103"/>
      <c r="N151" s="97"/>
      <c r="O151" s="97"/>
      <c r="P151" s="97"/>
      <c r="Q151" s="100"/>
      <c r="R151" s="103"/>
      <c r="S151" s="97"/>
      <c r="T151" s="97"/>
      <c r="U151" s="97"/>
      <c r="V151" s="100"/>
      <c r="W151" s="103"/>
      <c r="X151" s="97"/>
      <c r="Y151" s="97"/>
      <c r="Z151" s="97"/>
      <c r="AA151" s="100"/>
      <c r="AB151" s="134"/>
    </row>
    <row r="152" spans="1:28" ht="15.75" customHeight="1" thickTop="1" thickBot="1" x14ac:dyDescent="0.3">
      <c r="A152" s="139"/>
      <c r="B152" s="138"/>
      <c r="C152" s="95"/>
      <c r="D152" s="125"/>
      <c r="E152" s="125"/>
      <c r="F152" s="125"/>
      <c r="G152" s="128"/>
      <c r="H152" s="113"/>
      <c r="I152" s="107"/>
      <c r="J152" s="107"/>
      <c r="K152" s="107"/>
      <c r="L152" s="110"/>
      <c r="M152" s="104"/>
      <c r="N152" s="98"/>
      <c r="O152" s="98"/>
      <c r="P152" s="98"/>
      <c r="Q152" s="101"/>
      <c r="R152" s="104"/>
      <c r="S152" s="98"/>
      <c r="T152" s="98"/>
      <c r="U152" s="98"/>
      <c r="V152" s="101"/>
      <c r="W152" s="104"/>
      <c r="X152" s="98"/>
      <c r="Y152" s="98"/>
      <c r="Z152" s="98"/>
      <c r="AA152" s="101"/>
      <c r="AB152" s="135"/>
    </row>
    <row r="153" spans="1:28" ht="15.75" customHeight="1" thickTop="1" x14ac:dyDescent="0.25">
      <c r="A153" s="140">
        <f>ESCUADRAS!B36</f>
        <v>30</v>
      </c>
      <c r="B153" s="136">
        <f>ESCUADRAS!C35</f>
        <v>0</v>
      </c>
      <c r="C153" s="111"/>
      <c r="D153" s="105"/>
      <c r="E153" s="105"/>
      <c r="F153" s="105"/>
      <c r="G153" s="108"/>
      <c r="H153" s="122"/>
      <c r="I153" s="120"/>
      <c r="J153" s="120"/>
      <c r="K153" s="120"/>
      <c r="L153" s="121"/>
      <c r="M153" s="122"/>
      <c r="N153" s="120"/>
      <c r="O153" s="120"/>
      <c r="P153" s="120"/>
      <c r="Q153" s="121"/>
      <c r="R153" s="122"/>
      <c r="S153" s="120"/>
      <c r="T153" s="120"/>
      <c r="U153" s="120"/>
      <c r="V153" s="121"/>
      <c r="W153" s="122"/>
      <c r="X153" s="120"/>
      <c r="Y153" s="120"/>
      <c r="Z153" s="120"/>
      <c r="AA153" s="121"/>
      <c r="AB153" s="133"/>
    </row>
    <row r="154" spans="1:28" ht="15.75" customHeight="1" x14ac:dyDescent="0.25">
      <c r="A154" s="141"/>
      <c r="B154" s="137"/>
      <c r="C154" s="112"/>
      <c r="D154" s="106"/>
      <c r="E154" s="106"/>
      <c r="F154" s="106"/>
      <c r="G154" s="109"/>
      <c r="H154" s="103"/>
      <c r="I154" s="97"/>
      <c r="J154" s="97"/>
      <c r="K154" s="97"/>
      <c r="L154" s="100"/>
      <c r="M154" s="103"/>
      <c r="N154" s="97"/>
      <c r="O154" s="97"/>
      <c r="P154" s="97"/>
      <c r="Q154" s="100"/>
      <c r="R154" s="103"/>
      <c r="S154" s="97"/>
      <c r="T154" s="97"/>
      <c r="U154" s="97"/>
      <c r="V154" s="100"/>
      <c r="W154" s="103"/>
      <c r="X154" s="97"/>
      <c r="Y154" s="97"/>
      <c r="Z154" s="97"/>
      <c r="AA154" s="100"/>
      <c r="AB154" s="134"/>
    </row>
    <row r="155" spans="1:28" ht="15.75" customHeight="1" thickBot="1" x14ac:dyDescent="0.3">
      <c r="A155" s="142"/>
      <c r="B155" s="138"/>
      <c r="C155" s="113"/>
      <c r="D155" s="107"/>
      <c r="E155" s="107"/>
      <c r="F155" s="107"/>
      <c r="G155" s="110"/>
      <c r="H155" s="104"/>
      <c r="I155" s="98"/>
      <c r="J155" s="98"/>
      <c r="K155" s="98"/>
      <c r="L155" s="101"/>
      <c r="M155" s="104"/>
      <c r="N155" s="98"/>
      <c r="O155" s="98"/>
      <c r="P155" s="98"/>
      <c r="Q155" s="101"/>
      <c r="R155" s="104"/>
      <c r="S155" s="98"/>
      <c r="T155" s="98"/>
      <c r="U155" s="98"/>
      <c r="V155" s="101"/>
      <c r="W155" s="104"/>
      <c r="X155" s="98"/>
      <c r="Y155" s="98"/>
      <c r="Z155" s="98"/>
      <c r="AA155" s="101"/>
      <c r="AB155" s="135"/>
    </row>
    <row r="156" spans="1:28" ht="15" x14ac:dyDescent="0.25">
      <c r="A156" s="28"/>
    </row>
    <row r="157" spans="1:28" ht="15" x14ac:dyDescent="0.25">
      <c r="A157" s="28"/>
      <c r="B157" s="26" t="s">
        <v>35</v>
      </c>
      <c r="E157" s="21" t="s">
        <v>41</v>
      </c>
      <c r="I157" s="21" t="s">
        <v>42</v>
      </c>
      <c r="M157" s="21" t="s">
        <v>43</v>
      </c>
      <c r="Q157" s="21" t="s">
        <v>44</v>
      </c>
      <c r="U157" s="21" t="s">
        <v>45</v>
      </c>
      <c r="Y157" s="21" t="s">
        <v>46</v>
      </c>
    </row>
    <row r="158" spans="1:28" ht="15" x14ac:dyDescent="0.25">
      <c r="A158" s="28"/>
    </row>
    <row r="160" spans="1:28" ht="10.5" customHeight="1" x14ac:dyDescent="0.25"/>
    <row r="162" spans="1:32" ht="24.6" x14ac:dyDescent="0.25">
      <c r="A162" s="144" t="str">
        <f>'INSCRIPCION '!A$1</f>
        <v>TIRADA</v>
      </c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</row>
    <row r="163" spans="1:32" ht="19.5" customHeight="1" x14ac:dyDescent="0.4">
      <c r="A163" s="23"/>
      <c r="B163" s="23"/>
    </row>
    <row r="164" spans="1:32" ht="22.5" customHeight="1" x14ac:dyDescent="0.25">
      <c r="A164" s="132" t="str">
        <f>'INSCRIPCION '!A$2</f>
        <v>CAMPO DE TIRO LA ISLA</v>
      </c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</row>
    <row r="165" spans="1:32" ht="19.5" customHeight="1" x14ac:dyDescent="0.25">
      <c r="A165" s="143" t="str">
        <f>'INSCRIPCION '!A$3</f>
        <v>XXX PLATOS</v>
      </c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</row>
    <row r="166" spans="1:32" ht="22.8" x14ac:dyDescent="0.4">
      <c r="A166" s="24"/>
      <c r="B166" s="24"/>
    </row>
    <row r="167" spans="1:32" ht="17.399999999999999" x14ac:dyDescent="0.3">
      <c r="A167" s="25" t="s">
        <v>14</v>
      </c>
      <c r="B167" s="25"/>
      <c r="J167" s="9" t="s">
        <v>6</v>
      </c>
      <c r="K167" s="9"/>
      <c r="L167" s="9"/>
      <c r="M167" s="9"/>
      <c r="N167" s="9"/>
      <c r="O167" s="22">
        <v>3</v>
      </c>
      <c r="P167" s="22"/>
      <c r="Q167" s="8"/>
      <c r="R167" s="8"/>
      <c r="S167" s="7"/>
      <c r="T167" s="8"/>
      <c r="U167" s="8"/>
      <c r="V167" s="9" t="s">
        <v>7</v>
      </c>
      <c r="W167" s="9"/>
      <c r="X167" s="9"/>
      <c r="Y167" s="9"/>
      <c r="Z167" s="22">
        <v>2</v>
      </c>
      <c r="AA167" s="22"/>
    </row>
    <row r="168" spans="1:32" ht="13.8" thickBot="1" x14ac:dyDescent="0.3"/>
    <row r="169" spans="1:32" ht="15.6" thickBot="1" x14ac:dyDescent="0.3">
      <c r="A169" s="27" t="s">
        <v>0</v>
      </c>
      <c r="B169" s="27" t="s">
        <v>8</v>
      </c>
      <c r="C169" s="47">
        <v>1</v>
      </c>
      <c r="D169" s="48">
        <v>2</v>
      </c>
      <c r="E169" s="48">
        <v>3</v>
      </c>
      <c r="F169" s="48">
        <v>4</v>
      </c>
      <c r="G169" s="49">
        <v>5</v>
      </c>
      <c r="H169" s="47">
        <v>6</v>
      </c>
      <c r="I169" s="48">
        <v>7</v>
      </c>
      <c r="J169" s="48">
        <v>8</v>
      </c>
      <c r="K169" s="48">
        <v>9</v>
      </c>
      <c r="L169" s="49">
        <v>10</v>
      </c>
      <c r="M169" s="47">
        <v>11</v>
      </c>
      <c r="N169" s="48">
        <v>12</v>
      </c>
      <c r="O169" s="48">
        <v>13</v>
      </c>
      <c r="P169" s="48">
        <v>14</v>
      </c>
      <c r="Q169" s="49">
        <v>15</v>
      </c>
      <c r="R169" s="47">
        <v>16</v>
      </c>
      <c r="S169" s="48">
        <v>17</v>
      </c>
      <c r="T169" s="48">
        <v>18</v>
      </c>
      <c r="U169" s="48">
        <v>19</v>
      </c>
      <c r="V169" s="49">
        <v>20</v>
      </c>
      <c r="W169" s="47">
        <v>21</v>
      </c>
      <c r="X169" s="48">
        <v>22</v>
      </c>
      <c r="Y169" s="48">
        <v>23</v>
      </c>
      <c r="Z169" s="48">
        <v>24</v>
      </c>
      <c r="AA169" s="49">
        <v>25</v>
      </c>
      <c r="AB169" s="30" t="s">
        <v>1</v>
      </c>
    </row>
    <row r="170" spans="1:32" ht="15.75" customHeight="1" thickTop="1" thickBot="1" x14ac:dyDescent="0.3">
      <c r="A170" s="139">
        <f>ESCUADRAS!B37</f>
        <v>31</v>
      </c>
      <c r="B170" s="136">
        <f>ESCUADRAS!C42</f>
        <v>0</v>
      </c>
      <c r="C170" s="129"/>
      <c r="D170" s="114"/>
      <c r="E170" s="114"/>
      <c r="F170" s="114"/>
      <c r="G170" s="117"/>
      <c r="H170" s="111"/>
      <c r="I170" s="105"/>
      <c r="J170" s="105"/>
      <c r="K170" s="105"/>
      <c r="L170" s="108"/>
      <c r="M170" s="111"/>
      <c r="N170" s="105"/>
      <c r="O170" s="105"/>
      <c r="P170" s="105"/>
      <c r="Q170" s="108"/>
      <c r="R170" s="111"/>
      <c r="S170" s="105"/>
      <c r="T170" s="105"/>
      <c r="U170" s="105"/>
      <c r="V170" s="108"/>
      <c r="W170" s="111"/>
      <c r="X170" s="105"/>
      <c r="Y170" s="105"/>
      <c r="Z170" s="105"/>
      <c r="AA170" s="108"/>
      <c r="AB170" s="133"/>
    </row>
    <row r="171" spans="1:32" ht="15.75" customHeight="1" thickTop="1" thickBot="1" x14ac:dyDescent="0.3">
      <c r="A171" s="139"/>
      <c r="B171" s="137"/>
      <c r="C171" s="130"/>
      <c r="D171" s="115"/>
      <c r="E171" s="115"/>
      <c r="F171" s="115"/>
      <c r="G171" s="118"/>
      <c r="H171" s="112"/>
      <c r="I171" s="106"/>
      <c r="J171" s="106"/>
      <c r="K171" s="106"/>
      <c r="L171" s="109"/>
      <c r="M171" s="112"/>
      <c r="N171" s="106"/>
      <c r="O171" s="106"/>
      <c r="P171" s="106"/>
      <c r="Q171" s="109"/>
      <c r="R171" s="112"/>
      <c r="S171" s="106"/>
      <c r="T171" s="106"/>
      <c r="U171" s="106"/>
      <c r="V171" s="109"/>
      <c r="W171" s="112"/>
      <c r="X171" s="106"/>
      <c r="Y171" s="106"/>
      <c r="Z171" s="106"/>
      <c r="AA171" s="109"/>
      <c r="AB171" s="134"/>
    </row>
    <row r="172" spans="1:32" ht="15.75" customHeight="1" thickTop="1" thickBot="1" x14ac:dyDescent="0.3">
      <c r="A172" s="139"/>
      <c r="B172" s="138"/>
      <c r="C172" s="131"/>
      <c r="D172" s="116"/>
      <c r="E172" s="116"/>
      <c r="F172" s="116"/>
      <c r="G172" s="119"/>
      <c r="H172" s="113"/>
      <c r="I172" s="107"/>
      <c r="J172" s="107"/>
      <c r="K172" s="107"/>
      <c r="L172" s="110"/>
      <c r="M172" s="113"/>
      <c r="N172" s="107"/>
      <c r="O172" s="107"/>
      <c r="P172" s="107"/>
      <c r="Q172" s="110"/>
      <c r="R172" s="113"/>
      <c r="S172" s="107"/>
      <c r="T172" s="107"/>
      <c r="U172" s="107"/>
      <c r="V172" s="110"/>
      <c r="W172" s="113"/>
      <c r="X172" s="107"/>
      <c r="Y172" s="107"/>
      <c r="Z172" s="107"/>
      <c r="AA172" s="110"/>
      <c r="AB172" s="135"/>
    </row>
    <row r="173" spans="1:32" ht="15.75" customHeight="1" thickTop="1" x14ac:dyDescent="0.25">
      <c r="A173" s="140">
        <f>ESCUADRAS!B38</f>
        <v>32</v>
      </c>
      <c r="B173" s="136">
        <f>ESCUADRAS!C37</f>
        <v>0</v>
      </c>
      <c r="C173" s="93"/>
      <c r="D173" s="123"/>
      <c r="E173" s="123"/>
      <c r="F173" s="123"/>
      <c r="G173" s="126"/>
      <c r="H173" s="102"/>
      <c r="I173" s="96"/>
      <c r="J173" s="96"/>
      <c r="K173" s="96"/>
      <c r="L173" s="99"/>
      <c r="M173" s="102"/>
      <c r="N173" s="96"/>
      <c r="O173" s="96"/>
      <c r="P173" s="96"/>
      <c r="Q173" s="99"/>
      <c r="R173" s="102"/>
      <c r="S173" s="96"/>
      <c r="T173" s="96"/>
      <c r="U173" s="96"/>
      <c r="V173" s="99"/>
      <c r="W173" s="111"/>
      <c r="X173" s="105"/>
      <c r="Y173" s="105"/>
      <c r="Z173" s="105"/>
      <c r="AA173" s="108"/>
      <c r="AB173" s="133"/>
    </row>
    <row r="174" spans="1:32" ht="15.75" customHeight="1" x14ac:dyDescent="0.25">
      <c r="A174" s="141"/>
      <c r="B174" s="137"/>
      <c r="C174" s="94"/>
      <c r="D174" s="124"/>
      <c r="E174" s="124"/>
      <c r="F174" s="124"/>
      <c r="G174" s="127"/>
      <c r="H174" s="103"/>
      <c r="I174" s="97"/>
      <c r="J174" s="97"/>
      <c r="K174" s="97"/>
      <c r="L174" s="100"/>
      <c r="M174" s="103"/>
      <c r="N174" s="97"/>
      <c r="O174" s="97"/>
      <c r="P174" s="97"/>
      <c r="Q174" s="100"/>
      <c r="R174" s="103"/>
      <c r="S174" s="97"/>
      <c r="T174" s="97"/>
      <c r="U174" s="97"/>
      <c r="V174" s="100"/>
      <c r="W174" s="112"/>
      <c r="X174" s="106"/>
      <c r="Y174" s="106"/>
      <c r="Z174" s="106"/>
      <c r="AA174" s="109"/>
      <c r="AB174" s="134"/>
    </row>
    <row r="175" spans="1:32" ht="15.75" customHeight="1" thickBot="1" x14ac:dyDescent="0.3">
      <c r="A175" s="142"/>
      <c r="B175" s="138"/>
      <c r="C175" s="95"/>
      <c r="D175" s="125"/>
      <c r="E175" s="125"/>
      <c r="F175" s="125"/>
      <c r="G175" s="128"/>
      <c r="H175" s="104"/>
      <c r="I175" s="98"/>
      <c r="J175" s="98"/>
      <c r="K175" s="98"/>
      <c r="L175" s="101"/>
      <c r="M175" s="104"/>
      <c r="N175" s="98"/>
      <c r="O175" s="98"/>
      <c r="P175" s="98"/>
      <c r="Q175" s="101"/>
      <c r="R175" s="104"/>
      <c r="S175" s="98"/>
      <c r="T175" s="98"/>
      <c r="U175" s="98"/>
      <c r="V175" s="101"/>
      <c r="W175" s="113"/>
      <c r="X175" s="107"/>
      <c r="Y175" s="107"/>
      <c r="Z175" s="107"/>
      <c r="AA175" s="110"/>
      <c r="AB175" s="135"/>
    </row>
    <row r="176" spans="1:32" ht="15.75" customHeight="1" thickTop="1" thickBot="1" x14ac:dyDescent="0.3">
      <c r="A176" s="139">
        <f>ESCUADRAS!B39</f>
        <v>33</v>
      </c>
      <c r="B176" s="136">
        <f>ESCUADRAS!C38</f>
        <v>0</v>
      </c>
      <c r="C176" s="93"/>
      <c r="D176" s="123"/>
      <c r="E176" s="123"/>
      <c r="F176" s="123"/>
      <c r="G176" s="126"/>
      <c r="H176" s="102"/>
      <c r="I176" s="96"/>
      <c r="J176" s="96"/>
      <c r="K176" s="96"/>
      <c r="L176" s="99"/>
      <c r="M176" s="102"/>
      <c r="N176" s="96"/>
      <c r="O176" s="96"/>
      <c r="P176" s="96"/>
      <c r="Q176" s="99"/>
      <c r="R176" s="111"/>
      <c r="S176" s="105"/>
      <c r="T176" s="105"/>
      <c r="U176" s="105"/>
      <c r="V176" s="108"/>
      <c r="W176" s="102"/>
      <c r="X176" s="96"/>
      <c r="Y176" s="96"/>
      <c r="Z176" s="96"/>
      <c r="AA176" s="99"/>
      <c r="AB176" s="133"/>
    </row>
    <row r="177" spans="1:28" ht="15.75" customHeight="1" thickTop="1" thickBot="1" x14ac:dyDescent="0.3">
      <c r="A177" s="139"/>
      <c r="B177" s="137"/>
      <c r="C177" s="94"/>
      <c r="D177" s="124"/>
      <c r="E177" s="124"/>
      <c r="F177" s="124"/>
      <c r="G177" s="127"/>
      <c r="H177" s="103"/>
      <c r="I177" s="97"/>
      <c r="J177" s="97"/>
      <c r="K177" s="97"/>
      <c r="L177" s="100"/>
      <c r="M177" s="103"/>
      <c r="N177" s="97"/>
      <c r="O177" s="97"/>
      <c r="P177" s="97"/>
      <c r="Q177" s="100"/>
      <c r="R177" s="112"/>
      <c r="S177" s="106"/>
      <c r="T177" s="106"/>
      <c r="U177" s="106"/>
      <c r="V177" s="109"/>
      <c r="W177" s="103"/>
      <c r="X177" s="97"/>
      <c r="Y177" s="97"/>
      <c r="Z177" s="97"/>
      <c r="AA177" s="100"/>
      <c r="AB177" s="134"/>
    </row>
    <row r="178" spans="1:28" ht="15.75" customHeight="1" thickTop="1" thickBot="1" x14ac:dyDescent="0.3">
      <c r="A178" s="139"/>
      <c r="B178" s="138"/>
      <c r="C178" s="95"/>
      <c r="D178" s="125"/>
      <c r="E178" s="125"/>
      <c r="F178" s="125"/>
      <c r="G178" s="128"/>
      <c r="H178" s="104"/>
      <c r="I178" s="98"/>
      <c r="J178" s="98"/>
      <c r="K178" s="98"/>
      <c r="L178" s="101"/>
      <c r="M178" s="104"/>
      <c r="N178" s="98"/>
      <c r="O178" s="98"/>
      <c r="P178" s="98"/>
      <c r="Q178" s="101"/>
      <c r="R178" s="113"/>
      <c r="S178" s="107"/>
      <c r="T178" s="107"/>
      <c r="U178" s="107"/>
      <c r="V178" s="110"/>
      <c r="W178" s="104"/>
      <c r="X178" s="98"/>
      <c r="Y178" s="98"/>
      <c r="Z178" s="98"/>
      <c r="AA178" s="101"/>
      <c r="AB178" s="135"/>
    </row>
    <row r="179" spans="1:28" ht="15.75" customHeight="1" thickTop="1" x14ac:dyDescent="0.25">
      <c r="A179" s="140">
        <f>ESCUADRAS!B40</f>
        <v>34</v>
      </c>
      <c r="B179" s="136">
        <f>ESCUADRAS!C39</f>
        <v>0</v>
      </c>
      <c r="C179" s="93"/>
      <c r="D179" s="123"/>
      <c r="E179" s="123"/>
      <c r="F179" s="123"/>
      <c r="G179" s="126"/>
      <c r="H179" s="102"/>
      <c r="I179" s="96"/>
      <c r="J179" s="96"/>
      <c r="K179" s="96"/>
      <c r="L179" s="99"/>
      <c r="M179" s="111"/>
      <c r="N179" s="105"/>
      <c r="O179" s="105"/>
      <c r="P179" s="105"/>
      <c r="Q179" s="108"/>
      <c r="R179" s="102"/>
      <c r="S179" s="96"/>
      <c r="T179" s="96"/>
      <c r="U179" s="96"/>
      <c r="V179" s="99"/>
      <c r="W179" s="102"/>
      <c r="X179" s="96"/>
      <c r="Y179" s="96"/>
      <c r="Z179" s="96"/>
      <c r="AA179" s="99"/>
      <c r="AB179" s="133"/>
    </row>
    <row r="180" spans="1:28" ht="15.75" customHeight="1" x14ac:dyDescent="0.25">
      <c r="A180" s="141"/>
      <c r="B180" s="137"/>
      <c r="C180" s="94"/>
      <c r="D180" s="124"/>
      <c r="E180" s="124"/>
      <c r="F180" s="124"/>
      <c r="G180" s="127"/>
      <c r="H180" s="103"/>
      <c r="I180" s="97"/>
      <c r="J180" s="97"/>
      <c r="K180" s="97"/>
      <c r="L180" s="100"/>
      <c r="M180" s="112"/>
      <c r="N180" s="106"/>
      <c r="O180" s="106"/>
      <c r="P180" s="106"/>
      <c r="Q180" s="109"/>
      <c r="R180" s="103"/>
      <c r="S180" s="97"/>
      <c r="T180" s="97"/>
      <c r="U180" s="97"/>
      <c r="V180" s="100"/>
      <c r="W180" s="103"/>
      <c r="X180" s="97"/>
      <c r="Y180" s="97"/>
      <c r="Z180" s="97"/>
      <c r="AA180" s="100"/>
      <c r="AB180" s="134"/>
    </row>
    <row r="181" spans="1:28" ht="15.75" customHeight="1" thickBot="1" x14ac:dyDescent="0.3">
      <c r="A181" s="142"/>
      <c r="B181" s="138"/>
      <c r="C181" s="95"/>
      <c r="D181" s="125"/>
      <c r="E181" s="125"/>
      <c r="F181" s="125"/>
      <c r="G181" s="128"/>
      <c r="H181" s="104"/>
      <c r="I181" s="98"/>
      <c r="J181" s="98"/>
      <c r="K181" s="98"/>
      <c r="L181" s="101"/>
      <c r="M181" s="113"/>
      <c r="N181" s="107"/>
      <c r="O181" s="107"/>
      <c r="P181" s="107"/>
      <c r="Q181" s="110"/>
      <c r="R181" s="104"/>
      <c r="S181" s="98"/>
      <c r="T181" s="98"/>
      <c r="U181" s="98"/>
      <c r="V181" s="101"/>
      <c r="W181" s="104"/>
      <c r="X181" s="98"/>
      <c r="Y181" s="98"/>
      <c r="Z181" s="98"/>
      <c r="AA181" s="101"/>
      <c r="AB181" s="135"/>
    </row>
    <row r="182" spans="1:28" ht="15.75" customHeight="1" thickTop="1" thickBot="1" x14ac:dyDescent="0.3">
      <c r="A182" s="139">
        <f>ESCUADRAS!B41</f>
        <v>35</v>
      </c>
      <c r="B182" s="136">
        <f>ESCUADRAS!C40</f>
        <v>0</v>
      </c>
      <c r="C182" s="93"/>
      <c r="D182" s="123"/>
      <c r="E182" s="123"/>
      <c r="F182" s="123"/>
      <c r="G182" s="126"/>
      <c r="H182" s="111"/>
      <c r="I182" s="105"/>
      <c r="J182" s="105"/>
      <c r="K182" s="105"/>
      <c r="L182" s="108"/>
      <c r="M182" s="102"/>
      <c r="N182" s="96"/>
      <c r="O182" s="96"/>
      <c r="P182" s="96"/>
      <c r="Q182" s="99"/>
      <c r="R182" s="102"/>
      <c r="S182" s="96"/>
      <c r="T182" s="96"/>
      <c r="U182" s="96"/>
      <c r="V182" s="99"/>
      <c r="W182" s="102"/>
      <c r="X182" s="96"/>
      <c r="Y182" s="96"/>
      <c r="Z182" s="96"/>
      <c r="AA182" s="99"/>
      <c r="AB182" s="133"/>
    </row>
    <row r="183" spans="1:28" ht="15.75" customHeight="1" thickTop="1" thickBot="1" x14ac:dyDescent="0.3">
      <c r="A183" s="139"/>
      <c r="B183" s="137"/>
      <c r="C183" s="94"/>
      <c r="D183" s="124"/>
      <c r="E183" s="124"/>
      <c r="F183" s="124"/>
      <c r="G183" s="127"/>
      <c r="H183" s="112"/>
      <c r="I183" s="106"/>
      <c r="J183" s="106"/>
      <c r="K183" s="106"/>
      <c r="L183" s="109"/>
      <c r="M183" s="103"/>
      <c r="N183" s="97"/>
      <c r="O183" s="97"/>
      <c r="P183" s="97"/>
      <c r="Q183" s="100"/>
      <c r="R183" s="103"/>
      <c r="S183" s="97"/>
      <c r="T183" s="97"/>
      <c r="U183" s="97"/>
      <c r="V183" s="100"/>
      <c r="W183" s="103"/>
      <c r="X183" s="97"/>
      <c r="Y183" s="97"/>
      <c r="Z183" s="97"/>
      <c r="AA183" s="100"/>
      <c r="AB183" s="134"/>
    </row>
    <row r="184" spans="1:28" ht="15.75" customHeight="1" thickTop="1" thickBot="1" x14ac:dyDescent="0.3">
      <c r="A184" s="139"/>
      <c r="B184" s="138"/>
      <c r="C184" s="95"/>
      <c r="D184" s="125"/>
      <c r="E184" s="125"/>
      <c r="F184" s="125"/>
      <c r="G184" s="128"/>
      <c r="H184" s="113"/>
      <c r="I184" s="107"/>
      <c r="J184" s="107"/>
      <c r="K184" s="107"/>
      <c r="L184" s="110"/>
      <c r="M184" s="104"/>
      <c r="N184" s="98"/>
      <c r="O184" s="98"/>
      <c r="P184" s="98"/>
      <c r="Q184" s="101"/>
      <c r="R184" s="104"/>
      <c r="S184" s="98"/>
      <c r="T184" s="98"/>
      <c r="U184" s="98"/>
      <c r="V184" s="101"/>
      <c r="W184" s="104"/>
      <c r="X184" s="98"/>
      <c r="Y184" s="98"/>
      <c r="Z184" s="98"/>
      <c r="AA184" s="101"/>
      <c r="AB184" s="135"/>
    </row>
    <row r="185" spans="1:28" ht="15.75" customHeight="1" thickTop="1" x14ac:dyDescent="0.25">
      <c r="A185" s="140">
        <f>ESCUADRAS!B42</f>
        <v>36</v>
      </c>
      <c r="B185" s="136">
        <f>ESCUADRAS!C41</f>
        <v>0</v>
      </c>
      <c r="C185" s="111"/>
      <c r="D185" s="105"/>
      <c r="E185" s="105"/>
      <c r="F185" s="105"/>
      <c r="G185" s="108"/>
      <c r="H185" s="122"/>
      <c r="I185" s="120"/>
      <c r="J185" s="120"/>
      <c r="K185" s="120"/>
      <c r="L185" s="121"/>
      <c r="M185" s="122"/>
      <c r="N185" s="120"/>
      <c r="O185" s="120"/>
      <c r="P185" s="120"/>
      <c r="Q185" s="121"/>
      <c r="R185" s="122"/>
      <c r="S185" s="120"/>
      <c r="T185" s="120"/>
      <c r="U185" s="120"/>
      <c r="V185" s="121"/>
      <c r="W185" s="122"/>
      <c r="X185" s="120"/>
      <c r="Y185" s="120"/>
      <c r="Z185" s="120"/>
      <c r="AA185" s="121"/>
      <c r="AB185" s="133"/>
    </row>
    <row r="186" spans="1:28" ht="15.75" customHeight="1" x14ac:dyDescent="0.25">
      <c r="A186" s="141"/>
      <c r="B186" s="137"/>
      <c r="C186" s="112"/>
      <c r="D186" s="106"/>
      <c r="E186" s="106"/>
      <c r="F186" s="106"/>
      <c r="G186" s="109"/>
      <c r="H186" s="103"/>
      <c r="I186" s="97"/>
      <c r="J186" s="97"/>
      <c r="K186" s="97"/>
      <c r="L186" s="100"/>
      <c r="M186" s="103"/>
      <c r="N186" s="97"/>
      <c r="O186" s="97"/>
      <c r="P186" s="97"/>
      <c r="Q186" s="100"/>
      <c r="R186" s="103"/>
      <c r="S186" s="97"/>
      <c r="T186" s="97"/>
      <c r="U186" s="97"/>
      <c r="V186" s="100"/>
      <c r="W186" s="103"/>
      <c r="X186" s="97"/>
      <c r="Y186" s="97"/>
      <c r="Z186" s="97"/>
      <c r="AA186" s="100"/>
      <c r="AB186" s="134"/>
    </row>
    <row r="187" spans="1:28" ht="15.75" customHeight="1" thickBot="1" x14ac:dyDescent="0.3">
      <c r="A187" s="142"/>
      <c r="B187" s="138"/>
      <c r="C187" s="113"/>
      <c r="D187" s="107"/>
      <c r="E187" s="107"/>
      <c r="F187" s="107"/>
      <c r="G187" s="110"/>
      <c r="H187" s="104"/>
      <c r="I187" s="98"/>
      <c r="J187" s="98"/>
      <c r="K187" s="98"/>
      <c r="L187" s="101"/>
      <c r="M187" s="104"/>
      <c r="N187" s="98"/>
      <c r="O187" s="98"/>
      <c r="P187" s="98"/>
      <c r="Q187" s="101"/>
      <c r="R187" s="104"/>
      <c r="S187" s="98"/>
      <c r="T187" s="98"/>
      <c r="U187" s="98"/>
      <c r="V187" s="101"/>
      <c r="W187" s="104"/>
      <c r="X187" s="98"/>
      <c r="Y187" s="98"/>
      <c r="Z187" s="98"/>
      <c r="AA187" s="101"/>
      <c r="AB187" s="135"/>
    </row>
    <row r="188" spans="1:28" ht="15" x14ac:dyDescent="0.25">
      <c r="A188" s="28"/>
    </row>
    <row r="189" spans="1:28" ht="15" x14ac:dyDescent="0.25">
      <c r="A189" s="28"/>
      <c r="B189" s="26" t="s">
        <v>35</v>
      </c>
      <c r="E189" s="21" t="s">
        <v>41</v>
      </c>
      <c r="I189" s="21" t="s">
        <v>42</v>
      </c>
      <c r="M189" s="21" t="s">
        <v>43</v>
      </c>
      <c r="Q189" s="21" t="s">
        <v>44</v>
      </c>
      <c r="U189" s="21" t="s">
        <v>45</v>
      </c>
      <c r="Y189" s="21" t="s">
        <v>46</v>
      </c>
    </row>
    <row r="190" spans="1:28" ht="15" x14ac:dyDescent="0.25">
      <c r="A190" s="28"/>
    </row>
    <row r="194" spans="1:32" ht="24.6" x14ac:dyDescent="0.25">
      <c r="A194" s="144" t="str">
        <f>'INSCRIPCION '!A$1</f>
        <v>TIRADA</v>
      </c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</row>
    <row r="195" spans="1:32" ht="19.5" customHeight="1" x14ac:dyDescent="0.4">
      <c r="A195" s="23"/>
      <c r="B195" s="23"/>
    </row>
    <row r="196" spans="1:32" ht="22.5" customHeight="1" x14ac:dyDescent="0.25">
      <c r="A196" s="132" t="str">
        <f>'INSCRIPCION '!A$2</f>
        <v>CAMPO DE TIRO LA ISLA</v>
      </c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</row>
    <row r="197" spans="1:32" ht="19.5" customHeight="1" x14ac:dyDescent="0.25">
      <c r="A197" s="143" t="str">
        <f>'INSCRIPCION '!A$3</f>
        <v>XXX PLATOS</v>
      </c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</row>
    <row r="198" spans="1:32" ht="22.8" x14ac:dyDescent="0.4">
      <c r="A198" s="24"/>
      <c r="B198" s="24"/>
    </row>
    <row r="199" spans="1:32" ht="17.399999999999999" x14ac:dyDescent="0.3">
      <c r="A199" s="25" t="s">
        <v>15</v>
      </c>
      <c r="B199" s="25"/>
      <c r="J199" s="9" t="s">
        <v>6</v>
      </c>
      <c r="K199" s="9"/>
      <c r="L199" s="9"/>
      <c r="M199" s="9"/>
      <c r="N199" s="9"/>
      <c r="O199" s="22">
        <v>4</v>
      </c>
      <c r="P199" s="22"/>
      <c r="Q199" s="8"/>
      <c r="R199" s="8"/>
      <c r="S199" s="7"/>
      <c r="T199" s="8"/>
      <c r="U199" s="8"/>
      <c r="V199" s="9" t="s">
        <v>7</v>
      </c>
      <c r="W199" s="9"/>
      <c r="X199" s="9"/>
      <c r="Y199" s="9"/>
      <c r="Z199" s="22">
        <v>2</v>
      </c>
      <c r="AA199" s="22"/>
    </row>
    <row r="200" spans="1:32" ht="13.8" thickBot="1" x14ac:dyDescent="0.3"/>
    <row r="201" spans="1:32" ht="15.6" thickBot="1" x14ac:dyDescent="0.3">
      <c r="A201" s="27" t="s">
        <v>0</v>
      </c>
      <c r="B201" s="27" t="s">
        <v>8</v>
      </c>
      <c r="C201" s="47">
        <v>1</v>
      </c>
      <c r="D201" s="48">
        <v>2</v>
      </c>
      <c r="E201" s="48">
        <v>3</v>
      </c>
      <c r="F201" s="48">
        <v>4</v>
      </c>
      <c r="G201" s="49">
        <v>5</v>
      </c>
      <c r="H201" s="47">
        <v>6</v>
      </c>
      <c r="I201" s="48">
        <v>7</v>
      </c>
      <c r="J201" s="48">
        <v>8</v>
      </c>
      <c r="K201" s="48">
        <v>9</v>
      </c>
      <c r="L201" s="49">
        <v>10</v>
      </c>
      <c r="M201" s="47">
        <v>11</v>
      </c>
      <c r="N201" s="48">
        <v>12</v>
      </c>
      <c r="O201" s="48">
        <v>13</v>
      </c>
      <c r="P201" s="48">
        <v>14</v>
      </c>
      <c r="Q201" s="49">
        <v>15</v>
      </c>
      <c r="R201" s="47">
        <v>16</v>
      </c>
      <c r="S201" s="48">
        <v>17</v>
      </c>
      <c r="T201" s="48">
        <v>18</v>
      </c>
      <c r="U201" s="48">
        <v>19</v>
      </c>
      <c r="V201" s="49">
        <v>20</v>
      </c>
      <c r="W201" s="47">
        <v>21</v>
      </c>
      <c r="X201" s="48">
        <v>22</v>
      </c>
      <c r="Y201" s="48">
        <v>23</v>
      </c>
      <c r="Z201" s="48">
        <v>24</v>
      </c>
      <c r="AA201" s="49">
        <v>25</v>
      </c>
      <c r="AB201" s="30" t="s">
        <v>1</v>
      </c>
    </row>
    <row r="202" spans="1:32" ht="15.75" customHeight="1" thickTop="1" thickBot="1" x14ac:dyDescent="0.3">
      <c r="A202" s="139">
        <f>ESCUADRAS!B43</f>
        <v>37</v>
      </c>
      <c r="B202" s="136">
        <f>ESCUADRAS!C48</f>
        <v>0</v>
      </c>
      <c r="C202" s="129"/>
      <c r="D202" s="114"/>
      <c r="E202" s="114"/>
      <c r="F202" s="114"/>
      <c r="G202" s="117"/>
      <c r="H202" s="111"/>
      <c r="I202" s="105"/>
      <c r="J202" s="105"/>
      <c r="K202" s="105"/>
      <c r="L202" s="108"/>
      <c r="M202" s="111"/>
      <c r="N202" s="105"/>
      <c r="O202" s="105"/>
      <c r="P202" s="105"/>
      <c r="Q202" s="108"/>
      <c r="R202" s="111"/>
      <c r="S202" s="105"/>
      <c r="T202" s="105"/>
      <c r="U202" s="105"/>
      <c r="V202" s="108"/>
      <c r="W202" s="111"/>
      <c r="X202" s="105"/>
      <c r="Y202" s="105"/>
      <c r="Z202" s="105"/>
      <c r="AA202" s="108"/>
      <c r="AB202" s="133"/>
    </row>
    <row r="203" spans="1:32" ht="15.75" customHeight="1" thickTop="1" thickBot="1" x14ac:dyDescent="0.3">
      <c r="A203" s="139"/>
      <c r="B203" s="137"/>
      <c r="C203" s="130"/>
      <c r="D203" s="115"/>
      <c r="E203" s="115"/>
      <c r="F203" s="115"/>
      <c r="G203" s="118"/>
      <c r="H203" s="112"/>
      <c r="I203" s="106"/>
      <c r="J203" s="106"/>
      <c r="K203" s="106"/>
      <c r="L203" s="109"/>
      <c r="M203" s="112"/>
      <c r="N203" s="106"/>
      <c r="O203" s="106"/>
      <c r="P203" s="106"/>
      <c r="Q203" s="109"/>
      <c r="R203" s="112"/>
      <c r="S203" s="106"/>
      <c r="T203" s="106"/>
      <c r="U203" s="106"/>
      <c r="V203" s="109"/>
      <c r="W203" s="112"/>
      <c r="X203" s="106"/>
      <c r="Y203" s="106"/>
      <c r="Z203" s="106"/>
      <c r="AA203" s="109"/>
      <c r="AB203" s="134"/>
    </row>
    <row r="204" spans="1:32" ht="15.75" customHeight="1" thickTop="1" thickBot="1" x14ac:dyDescent="0.3">
      <c r="A204" s="139"/>
      <c r="B204" s="138"/>
      <c r="C204" s="131"/>
      <c r="D204" s="116"/>
      <c r="E204" s="116"/>
      <c r="F204" s="116"/>
      <c r="G204" s="119"/>
      <c r="H204" s="113"/>
      <c r="I204" s="107"/>
      <c r="J204" s="107"/>
      <c r="K204" s="107"/>
      <c r="L204" s="110"/>
      <c r="M204" s="113"/>
      <c r="N204" s="107"/>
      <c r="O204" s="107"/>
      <c r="P204" s="107"/>
      <c r="Q204" s="110"/>
      <c r="R204" s="113"/>
      <c r="S204" s="107"/>
      <c r="T204" s="107"/>
      <c r="U204" s="107"/>
      <c r="V204" s="110"/>
      <c r="W204" s="113"/>
      <c r="X204" s="107"/>
      <c r="Y204" s="107"/>
      <c r="Z204" s="107"/>
      <c r="AA204" s="110"/>
      <c r="AB204" s="135"/>
    </row>
    <row r="205" spans="1:32" ht="15.75" customHeight="1" thickTop="1" x14ac:dyDescent="0.25">
      <c r="A205" s="140">
        <f>ESCUADRAS!B44</f>
        <v>38</v>
      </c>
      <c r="B205" s="136">
        <f>ESCUADRAS!C43</f>
        <v>0</v>
      </c>
      <c r="C205" s="93"/>
      <c r="D205" s="123"/>
      <c r="E205" s="123"/>
      <c r="F205" s="123"/>
      <c r="G205" s="126"/>
      <c r="H205" s="102"/>
      <c r="I205" s="96"/>
      <c r="J205" s="96"/>
      <c r="K205" s="96"/>
      <c r="L205" s="99"/>
      <c r="M205" s="102"/>
      <c r="N205" s="96"/>
      <c r="O205" s="96"/>
      <c r="P205" s="96"/>
      <c r="Q205" s="99"/>
      <c r="R205" s="102"/>
      <c r="S205" s="96"/>
      <c r="T205" s="96"/>
      <c r="U205" s="96"/>
      <c r="V205" s="99"/>
      <c r="W205" s="111"/>
      <c r="X205" s="105"/>
      <c r="Y205" s="105"/>
      <c r="Z205" s="105"/>
      <c r="AA205" s="108"/>
      <c r="AB205" s="133"/>
    </row>
    <row r="206" spans="1:32" ht="15.75" customHeight="1" x14ac:dyDescent="0.25">
      <c r="A206" s="141"/>
      <c r="B206" s="137"/>
      <c r="C206" s="94"/>
      <c r="D206" s="124"/>
      <c r="E206" s="124"/>
      <c r="F206" s="124"/>
      <c r="G206" s="127"/>
      <c r="H206" s="103"/>
      <c r="I206" s="97"/>
      <c r="J206" s="97"/>
      <c r="K206" s="97"/>
      <c r="L206" s="100"/>
      <c r="M206" s="103"/>
      <c r="N206" s="97"/>
      <c r="O206" s="97"/>
      <c r="P206" s="97"/>
      <c r="Q206" s="100"/>
      <c r="R206" s="103"/>
      <c r="S206" s="97"/>
      <c r="T206" s="97"/>
      <c r="U206" s="97"/>
      <c r="V206" s="100"/>
      <c r="W206" s="112"/>
      <c r="X206" s="106"/>
      <c r="Y206" s="106"/>
      <c r="Z206" s="106"/>
      <c r="AA206" s="109"/>
      <c r="AB206" s="134"/>
    </row>
    <row r="207" spans="1:32" ht="15.75" customHeight="1" thickBot="1" x14ac:dyDescent="0.3">
      <c r="A207" s="142"/>
      <c r="B207" s="138"/>
      <c r="C207" s="95"/>
      <c r="D207" s="125"/>
      <c r="E207" s="125"/>
      <c r="F207" s="125"/>
      <c r="G207" s="128"/>
      <c r="H207" s="104"/>
      <c r="I207" s="98"/>
      <c r="J207" s="98"/>
      <c r="K207" s="98"/>
      <c r="L207" s="101"/>
      <c r="M207" s="104"/>
      <c r="N207" s="98"/>
      <c r="O207" s="98"/>
      <c r="P207" s="98"/>
      <c r="Q207" s="101"/>
      <c r="R207" s="104"/>
      <c r="S207" s="98"/>
      <c r="T207" s="98"/>
      <c r="U207" s="98"/>
      <c r="V207" s="101"/>
      <c r="W207" s="113"/>
      <c r="X207" s="107"/>
      <c r="Y207" s="107"/>
      <c r="Z207" s="107"/>
      <c r="AA207" s="110"/>
      <c r="AB207" s="135"/>
    </row>
    <row r="208" spans="1:32" ht="15.75" customHeight="1" thickTop="1" thickBot="1" x14ac:dyDescent="0.3">
      <c r="A208" s="139">
        <f>ESCUADRAS!B45</f>
        <v>39</v>
      </c>
      <c r="B208" s="136">
        <f>ESCUADRAS!C44</f>
        <v>0</v>
      </c>
      <c r="C208" s="93"/>
      <c r="D208" s="123"/>
      <c r="E208" s="123"/>
      <c r="F208" s="123"/>
      <c r="G208" s="126"/>
      <c r="H208" s="102"/>
      <c r="I208" s="96"/>
      <c r="J208" s="96"/>
      <c r="K208" s="96"/>
      <c r="L208" s="99"/>
      <c r="M208" s="102"/>
      <c r="N208" s="96"/>
      <c r="O208" s="96"/>
      <c r="P208" s="96"/>
      <c r="Q208" s="99"/>
      <c r="R208" s="111"/>
      <c r="S208" s="105"/>
      <c r="T208" s="105"/>
      <c r="U208" s="105"/>
      <c r="V208" s="108"/>
      <c r="W208" s="102"/>
      <c r="X208" s="96"/>
      <c r="Y208" s="96"/>
      <c r="Z208" s="96"/>
      <c r="AA208" s="99"/>
      <c r="AB208" s="133"/>
    </row>
    <row r="209" spans="1:28" ht="15.75" customHeight="1" thickTop="1" thickBot="1" x14ac:dyDescent="0.3">
      <c r="A209" s="139"/>
      <c r="B209" s="137"/>
      <c r="C209" s="94"/>
      <c r="D209" s="124"/>
      <c r="E209" s="124"/>
      <c r="F209" s="124"/>
      <c r="G209" s="127"/>
      <c r="H209" s="103"/>
      <c r="I209" s="97"/>
      <c r="J209" s="97"/>
      <c r="K209" s="97"/>
      <c r="L209" s="100"/>
      <c r="M209" s="103"/>
      <c r="N209" s="97"/>
      <c r="O209" s="97"/>
      <c r="P209" s="97"/>
      <c r="Q209" s="100"/>
      <c r="R209" s="112"/>
      <c r="S209" s="106"/>
      <c r="T209" s="106"/>
      <c r="U209" s="106"/>
      <c r="V209" s="109"/>
      <c r="W209" s="103"/>
      <c r="X209" s="97"/>
      <c r="Y209" s="97"/>
      <c r="Z209" s="97"/>
      <c r="AA209" s="100"/>
      <c r="AB209" s="134"/>
    </row>
    <row r="210" spans="1:28" ht="15.75" customHeight="1" thickTop="1" thickBot="1" x14ac:dyDescent="0.3">
      <c r="A210" s="139"/>
      <c r="B210" s="138"/>
      <c r="C210" s="95"/>
      <c r="D210" s="125"/>
      <c r="E210" s="125"/>
      <c r="F210" s="125"/>
      <c r="G210" s="128"/>
      <c r="H210" s="104"/>
      <c r="I210" s="98"/>
      <c r="J210" s="98"/>
      <c r="K210" s="98"/>
      <c r="L210" s="101"/>
      <c r="M210" s="104"/>
      <c r="N210" s="98"/>
      <c r="O210" s="98"/>
      <c r="P210" s="98"/>
      <c r="Q210" s="101"/>
      <c r="R210" s="113"/>
      <c r="S210" s="107"/>
      <c r="T210" s="107"/>
      <c r="U210" s="107"/>
      <c r="V210" s="110"/>
      <c r="W210" s="104"/>
      <c r="X210" s="98"/>
      <c r="Y210" s="98"/>
      <c r="Z210" s="98"/>
      <c r="AA210" s="101"/>
      <c r="AB210" s="135"/>
    </row>
    <row r="211" spans="1:28" ht="15.75" customHeight="1" thickTop="1" x14ac:dyDescent="0.25">
      <c r="A211" s="140">
        <f>ESCUADRAS!B46</f>
        <v>40</v>
      </c>
      <c r="B211" s="136">
        <f>ESCUADRAS!C45</f>
        <v>0</v>
      </c>
      <c r="C211" s="93"/>
      <c r="D211" s="123"/>
      <c r="E211" s="123"/>
      <c r="F211" s="123"/>
      <c r="G211" s="126"/>
      <c r="H211" s="102"/>
      <c r="I211" s="96"/>
      <c r="J211" s="96"/>
      <c r="K211" s="96"/>
      <c r="L211" s="99"/>
      <c r="M211" s="111"/>
      <c r="N211" s="105"/>
      <c r="O211" s="105"/>
      <c r="P211" s="105"/>
      <c r="Q211" s="108"/>
      <c r="R211" s="102"/>
      <c r="S211" s="96"/>
      <c r="T211" s="96"/>
      <c r="U211" s="96"/>
      <c r="V211" s="99"/>
      <c r="W211" s="102"/>
      <c r="X211" s="96"/>
      <c r="Y211" s="96"/>
      <c r="Z211" s="96"/>
      <c r="AA211" s="99"/>
      <c r="AB211" s="133"/>
    </row>
    <row r="212" spans="1:28" ht="15.75" customHeight="1" x14ac:dyDescent="0.25">
      <c r="A212" s="141"/>
      <c r="B212" s="137"/>
      <c r="C212" s="94"/>
      <c r="D212" s="124"/>
      <c r="E212" s="124"/>
      <c r="F212" s="124"/>
      <c r="G212" s="127"/>
      <c r="H212" s="103"/>
      <c r="I212" s="97"/>
      <c r="J212" s="97"/>
      <c r="K212" s="97"/>
      <c r="L212" s="100"/>
      <c r="M212" s="112"/>
      <c r="N212" s="106"/>
      <c r="O212" s="106"/>
      <c r="P212" s="106"/>
      <c r="Q212" s="109"/>
      <c r="R212" s="103"/>
      <c r="S212" s="97"/>
      <c r="T212" s="97"/>
      <c r="U212" s="97"/>
      <c r="V212" s="100"/>
      <c r="W212" s="103"/>
      <c r="X212" s="97"/>
      <c r="Y212" s="97"/>
      <c r="Z212" s="97"/>
      <c r="AA212" s="100"/>
      <c r="AB212" s="134"/>
    </row>
    <row r="213" spans="1:28" ht="15.75" customHeight="1" thickBot="1" x14ac:dyDescent="0.3">
      <c r="A213" s="142"/>
      <c r="B213" s="138"/>
      <c r="C213" s="95"/>
      <c r="D213" s="125"/>
      <c r="E213" s="125"/>
      <c r="F213" s="125"/>
      <c r="G213" s="128"/>
      <c r="H213" s="104"/>
      <c r="I213" s="98"/>
      <c r="J213" s="98"/>
      <c r="K213" s="98"/>
      <c r="L213" s="101"/>
      <c r="M213" s="113"/>
      <c r="N213" s="107"/>
      <c r="O213" s="107"/>
      <c r="P213" s="107"/>
      <c r="Q213" s="110"/>
      <c r="R213" s="104"/>
      <c r="S213" s="98"/>
      <c r="T213" s="98"/>
      <c r="U213" s="98"/>
      <c r="V213" s="101"/>
      <c r="W213" s="104"/>
      <c r="X213" s="98"/>
      <c r="Y213" s="98"/>
      <c r="Z213" s="98"/>
      <c r="AA213" s="101"/>
      <c r="AB213" s="135"/>
    </row>
    <row r="214" spans="1:28" ht="15.75" customHeight="1" thickTop="1" thickBot="1" x14ac:dyDescent="0.3">
      <c r="A214" s="139">
        <f>ESCUADRAS!B47</f>
        <v>41</v>
      </c>
      <c r="B214" s="136">
        <f>ESCUADRAS!C46</f>
        <v>0</v>
      </c>
      <c r="C214" s="93"/>
      <c r="D214" s="123"/>
      <c r="E214" s="123"/>
      <c r="F214" s="123"/>
      <c r="G214" s="126"/>
      <c r="H214" s="111"/>
      <c r="I214" s="105"/>
      <c r="J214" s="105"/>
      <c r="K214" s="105"/>
      <c r="L214" s="108"/>
      <c r="M214" s="102"/>
      <c r="N214" s="96"/>
      <c r="O214" s="96"/>
      <c r="P214" s="96"/>
      <c r="Q214" s="99"/>
      <c r="R214" s="102"/>
      <c r="S214" s="96"/>
      <c r="T214" s="96"/>
      <c r="U214" s="96"/>
      <c r="V214" s="99"/>
      <c r="W214" s="102"/>
      <c r="X214" s="96"/>
      <c r="Y214" s="96"/>
      <c r="Z214" s="96"/>
      <c r="AA214" s="99"/>
      <c r="AB214" s="133"/>
    </row>
    <row r="215" spans="1:28" ht="15.75" customHeight="1" thickTop="1" thickBot="1" x14ac:dyDescent="0.3">
      <c r="A215" s="139"/>
      <c r="B215" s="137"/>
      <c r="C215" s="94"/>
      <c r="D215" s="124"/>
      <c r="E215" s="124"/>
      <c r="F215" s="124"/>
      <c r="G215" s="127"/>
      <c r="H215" s="112"/>
      <c r="I215" s="106"/>
      <c r="J215" s="106"/>
      <c r="K215" s="106"/>
      <c r="L215" s="109"/>
      <c r="M215" s="103"/>
      <c r="N215" s="97"/>
      <c r="O215" s="97"/>
      <c r="P215" s="97"/>
      <c r="Q215" s="100"/>
      <c r="R215" s="103"/>
      <c r="S215" s="97"/>
      <c r="T215" s="97"/>
      <c r="U215" s="97"/>
      <c r="V215" s="100"/>
      <c r="W215" s="103"/>
      <c r="X215" s="97"/>
      <c r="Y215" s="97"/>
      <c r="Z215" s="97"/>
      <c r="AA215" s="100"/>
      <c r="AB215" s="134"/>
    </row>
    <row r="216" spans="1:28" ht="15.75" customHeight="1" thickTop="1" thickBot="1" x14ac:dyDescent="0.3">
      <c r="A216" s="139"/>
      <c r="B216" s="138"/>
      <c r="C216" s="95"/>
      <c r="D216" s="125"/>
      <c r="E216" s="125"/>
      <c r="F216" s="125"/>
      <c r="G216" s="128"/>
      <c r="H216" s="113"/>
      <c r="I216" s="107"/>
      <c r="J216" s="107"/>
      <c r="K216" s="107"/>
      <c r="L216" s="110"/>
      <c r="M216" s="104"/>
      <c r="N216" s="98"/>
      <c r="O216" s="98"/>
      <c r="P216" s="98"/>
      <c r="Q216" s="101"/>
      <c r="R216" s="104"/>
      <c r="S216" s="98"/>
      <c r="T216" s="98"/>
      <c r="U216" s="98"/>
      <c r="V216" s="101"/>
      <c r="W216" s="104"/>
      <c r="X216" s="98"/>
      <c r="Y216" s="98"/>
      <c r="Z216" s="98"/>
      <c r="AA216" s="101"/>
      <c r="AB216" s="135"/>
    </row>
    <row r="217" spans="1:28" ht="15.75" customHeight="1" thickTop="1" x14ac:dyDescent="0.25">
      <c r="A217" s="140">
        <f>ESCUADRAS!B48</f>
        <v>42</v>
      </c>
      <c r="B217" s="136">
        <f>ESCUADRAS!C47</f>
        <v>0</v>
      </c>
      <c r="C217" s="111"/>
      <c r="D217" s="105"/>
      <c r="E217" s="105"/>
      <c r="F217" s="105"/>
      <c r="G217" s="108"/>
      <c r="H217" s="122"/>
      <c r="I217" s="120"/>
      <c r="J217" s="120"/>
      <c r="K217" s="120"/>
      <c r="L217" s="121"/>
      <c r="M217" s="122"/>
      <c r="N217" s="120"/>
      <c r="O217" s="120"/>
      <c r="P217" s="120"/>
      <c r="Q217" s="121"/>
      <c r="R217" s="122"/>
      <c r="S217" s="120"/>
      <c r="T217" s="120"/>
      <c r="U217" s="120"/>
      <c r="V217" s="121"/>
      <c r="W217" s="122"/>
      <c r="X217" s="120"/>
      <c r="Y217" s="120"/>
      <c r="Z217" s="120"/>
      <c r="AA217" s="121"/>
      <c r="AB217" s="133"/>
    </row>
    <row r="218" spans="1:28" ht="15.75" customHeight="1" x14ac:dyDescent="0.25">
      <c r="A218" s="141"/>
      <c r="B218" s="137"/>
      <c r="C218" s="112"/>
      <c r="D218" s="106"/>
      <c r="E218" s="106"/>
      <c r="F218" s="106"/>
      <c r="G218" s="109"/>
      <c r="H218" s="103"/>
      <c r="I218" s="97"/>
      <c r="J218" s="97"/>
      <c r="K218" s="97"/>
      <c r="L218" s="100"/>
      <c r="M218" s="103"/>
      <c r="N218" s="97"/>
      <c r="O218" s="97"/>
      <c r="P218" s="97"/>
      <c r="Q218" s="100"/>
      <c r="R218" s="103"/>
      <c r="S218" s="97"/>
      <c r="T218" s="97"/>
      <c r="U218" s="97"/>
      <c r="V218" s="100"/>
      <c r="W218" s="103"/>
      <c r="X218" s="97"/>
      <c r="Y218" s="97"/>
      <c r="Z218" s="97"/>
      <c r="AA218" s="100"/>
      <c r="AB218" s="134"/>
    </row>
    <row r="219" spans="1:28" ht="15.75" customHeight="1" thickBot="1" x14ac:dyDescent="0.3">
      <c r="A219" s="142"/>
      <c r="B219" s="138"/>
      <c r="C219" s="113"/>
      <c r="D219" s="107"/>
      <c r="E219" s="107"/>
      <c r="F219" s="107"/>
      <c r="G219" s="110"/>
      <c r="H219" s="104"/>
      <c r="I219" s="98"/>
      <c r="J219" s="98"/>
      <c r="K219" s="98"/>
      <c r="L219" s="101"/>
      <c r="M219" s="104"/>
      <c r="N219" s="98"/>
      <c r="O219" s="98"/>
      <c r="P219" s="98"/>
      <c r="Q219" s="101"/>
      <c r="R219" s="104"/>
      <c r="S219" s="98"/>
      <c r="T219" s="98"/>
      <c r="U219" s="98"/>
      <c r="V219" s="101"/>
      <c r="W219" s="104"/>
      <c r="X219" s="98"/>
      <c r="Y219" s="98"/>
      <c r="Z219" s="98"/>
      <c r="AA219" s="101"/>
      <c r="AB219" s="135"/>
    </row>
    <row r="220" spans="1:28" ht="15" x14ac:dyDescent="0.25">
      <c r="A220" s="28"/>
    </row>
    <row r="221" spans="1:28" ht="15" x14ac:dyDescent="0.25">
      <c r="A221" s="28"/>
      <c r="B221" s="26" t="s">
        <v>35</v>
      </c>
      <c r="E221" s="21" t="s">
        <v>41</v>
      </c>
      <c r="I221" s="21" t="s">
        <v>42</v>
      </c>
      <c r="M221" s="21" t="s">
        <v>43</v>
      </c>
      <c r="Q221" s="21" t="s">
        <v>44</v>
      </c>
      <c r="U221" s="21" t="s">
        <v>45</v>
      </c>
      <c r="Y221" s="21" t="s">
        <v>46</v>
      </c>
    </row>
    <row r="222" spans="1:28" ht="15" x14ac:dyDescent="0.25">
      <c r="A222" s="28"/>
    </row>
    <row r="226" spans="1:32" ht="24.6" x14ac:dyDescent="0.25">
      <c r="A226" s="144" t="str">
        <f>'INSCRIPCION '!A$1</f>
        <v>TIRADA</v>
      </c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</row>
    <row r="227" spans="1:32" ht="19.5" customHeight="1" x14ac:dyDescent="0.4">
      <c r="A227" s="23"/>
      <c r="B227" s="23"/>
    </row>
    <row r="228" spans="1:32" ht="21.75" customHeight="1" x14ac:dyDescent="0.25">
      <c r="A228" s="132" t="str">
        <f>'INSCRIPCION '!A$2</f>
        <v>CAMPO DE TIRO LA ISLA</v>
      </c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</row>
    <row r="229" spans="1:32" ht="19.5" customHeight="1" x14ac:dyDescent="0.25">
      <c r="A229" s="143" t="str">
        <f>'INSCRIPCION '!A$3</f>
        <v>XXX PLATOS</v>
      </c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</row>
    <row r="230" spans="1:32" ht="22.8" x14ac:dyDescent="0.4">
      <c r="A230" s="24"/>
      <c r="B230" s="24"/>
    </row>
    <row r="231" spans="1:32" ht="17.399999999999999" x14ac:dyDescent="0.3">
      <c r="A231" s="25" t="s">
        <v>16</v>
      </c>
      <c r="B231" s="25"/>
      <c r="J231" s="9" t="s">
        <v>6</v>
      </c>
      <c r="K231" s="9"/>
      <c r="L231" s="9"/>
      <c r="M231" s="9"/>
      <c r="N231" s="9"/>
      <c r="O231" s="22">
        <v>1</v>
      </c>
      <c r="P231" s="22"/>
      <c r="Q231" s="8"/>
      <c r="R231" s="8"/>
      <c r="S231" s="7"/>
      <c r="T231" s="8"/>
      <c r="U231" s="8"/>
      <c r="V231" s="9" t="s">
        <v>7</v>
      </c>
      <c r="W231" s="9"/>
      <c r="X231" s="9"/>
      <c r="Y231" s="9"/>
      <c r="Z231" s="22">
        <v>2</v>
      </c>
      <c r="AA231" s="22"/>
    </row>
    <row r="232" spans="1:32" ht="13.8" thickBot="1" x14ac:dyDescent="0.3"/>
    <row r="233" spans="1:32" ht="15.6" thickBot="1" x14ac:dyDescent="0.3">
      <c r="A233" s="27" t="s">
        <v>0</v>
      </c>
      <c r="B233" s="27" t="s">
        <v>8</v>
      </c>
      <c r="C233" s="47">
        <v>1</v>
      </c>
      <c r="D233" s="48">
        <v>2</v>
      </c>
      <c r="E233" s="48">
        <v>3</v>
      </c>
      <c r="F233" s="48">
        <v>4</v>
      </c>
      <c r="G233" s="49">
        <v>5</v>
      </c>
      <c r="H233" s="47">
        <v>6</v>
      </c>
      <c r="I233" s="48">
        <v>7</v>
      </c>
      <c r="J233" s="48">
        <v>8</v>
      </c>
      <c r="K233" s="48">
        <v>9</v>
      </c>
      <c r="L233" s="49">
        <v>10</v>
      </c>
      <c r="M233" s="47">
        <v>11</v>
      </c>
      <c r="N233" s="48">
        <v>12</v>
      </c>
      <c r="O233" s="48">
        <v>13</v>
      </c>
      <c r="P233" s="48">
        <v>14</v>
      </c>
      <c r="Q233" s="49">
        <v>15</v>
      </c>
      <c r="R233" s="47">
        <v>16</v>
      </c>
      <c r="S233" s="48">
        <v>17</v>
      </c>
      <c r="T233" s="48">
        <v>18</v>
      </c>
      <c r="U233" s="48">
        <v>19</v>
      </c>
      <c r="V233" s="49">
        <v>20</v>
      </c>
      <c r="W233" s="47">
        <v>21</v>
      </c>
      <c r="X233" s="48">
        <v>22</v>
      </c>
      <c r="Y233" s="48">
        <v>23</v>
      </c>
      <c r="Z233" s="48">
        <v>24</v>
      </c>
      <c r="AA233" s="49">
        <v>25</v>
      </c>
      <c r="AB233" s="30" t="s">
        <v>1</v>
      </c>
    </row>
    <row r="234" spans="1:32" ht="15.75" customHeight="1" thickTop="1" thickBot="1" x14ac:dyDescent="0.3">
      <c r="A234" s="139">
        <f>ESCUADRAS!B49</f>
        <v>43</v>
      </c>
      <c r="B234" s="136">
        <f>ESCUADRAS!C54</f>
        <v>0</v>
      </c>
      <c r="C234" s="129"/>
      <c r="D234" s="114"/>
      <c r="E234" s="114"/>
      <c r="F234" s="114"/>
      <c r="G234" s="117"/>
      <c r="H234" s="111"/>
      <c r="I234" s="105"/>
      <c r="J234" s="105"/>
      <c r="K234" s="105"/>
      <c r="L234" s="108"/>
      <c r="M234" s="111"/>
      <c r="N234" s="105"/>
      <c r="O234" s="105"/>
      <c r="P234" s="105"/>
      <c r="Q234" s="108"/>
      <c r="R234" s="111"/>
      <c r="S234" s="105"/>
      <c r="T234" s="105"/>
      <c r="U234" s="105"/>
      <c r="V234" s="108"/>
      <c r="W234" s="111"/>
      <c r="X234" s="105"/>
      <c r="Y234" s="105"/>
      <c r="Z234" s="105"/>
      <c r="AA234" s="108"/>
      <c r="AB234" s="133"/>
    </row>
    <row r="235" spans="1:32" ht="15.75" customHeight="1" thickTop="1" thickBot="1" x14ac:dyDescent="0.3">
      <c r="A235" s="139"/>
      <c r="B235" s="137"/>
      <c r="C235" s="130"/>
      <c r="D235" s="115"/>
      <c r="E235" s="115"/>
      <c r="F235" s="115"/>
      <c r="G235" s="118"/>
      <c r="H235" s="112"/>
      <c r="I235" s="106"/>
      <c r="J235" s="106"/>
      <c r="K235" s="106"/>
      <c r="L235" s="109"/>
      <c r="M235" s="112"/>
      <c r="N235" s="106"/>
      <c r="O235" s="106"/>
      <c r="P235" s="106"/>
      <c r="Q235" s="109"/>
      <c r="R235" s="112"/>
      <c r="S235" s="106"/>
      <c r="T235" s="106"/>
      <c r="U235" s="106"/>
      <c r="V235" s="109"/>
      <c r="W235" s="112"/>
      <c r="X235" s="106"/>
      <c r="Y235" s="106"/>
      <c r="Z235" s="106"/>
      <c r="AA235" s="109"/>
      <c r="AB235" s="134"/>
    </row>
    <row r="236" spans="1:32" ht="15.75" customHeight="1" thickTop="1" thickBot="1" x14ac:dyDescent="0.3">
      <c r="A236" s="139"/>
      <c r="B236" s="138"/>
      <c r="C236" s="131"/>
      <c r="D236" s="116"/>
      <c r="E236" s="116"/>
      <c r="F236" s="116"/>
      <c r="G236" s="119"/>
      <c r="H236" s="113"/>
      <c r="I236" s="107"/>
      <c r="J236" s="107"/>
      <c r="K236" s="107"/>
      <c r="L236" s="110"/>
      <c r="M236" s="113"/>
      <c r="N236" s="107"/>
      <c r="O236" s="107"/>
      <c r="P236" s="107"/>
      <c r="Q236" s="110"/>
      <c r="R236" s="113"/>
      <c r="S236" s="107"/>
      <c r="T236" s="107"/>
      <c r="U236" s="107"/>
      <c r="V236" s="110"/>
      <c r="W236" s="113"/>
      <c r="X236" s="107"/>
      <c r="Y236" s="107"/>
      <c r="Z236" s="107"/>
      <c r="AA236" s="110"/>
      <c r="AB236" s="135"/>
    </row>
    <row r="237" spans="1:32" ht="15.75" customHeight="1" thickTop="1" x14ac:dyDescent="0.25">
      <c r="A237" s="140">
        <f>ESCUADRAS!B50</f>
        <v>44</v>
      </c>
      <c r="B237" s="136">
        <f>ESCUADRAS!C49</f>
        <v>0</v>
      </c>
      <c r="C237" s="93"/>
      <c r="D237" s="123"/>
      <c r="E237" s="123"/>
      <c r="F237" s="123"/>
      <c r="G237" s="126"/>
      <c r="H237" s="102"/>
      <c r="I237" s="96"/>
      <c r="J237" s="96"/>
      <c r="K237" s="96"/>
      <c r="L237" s="99"/>
      <c r="M237" s="102"/>
      <c r="N237" s="96"/>
      <c r="O237" s="96"/>
      <c r="P237" s="96"/>
      <c r="Q237" s="99"/>
      <c r="R237" s="102"/>
      <c r="S237" s="96"/>
      <c r="T237" s="96"/>
      <c r="U237" s="96"/>
      <c r="V237" s="99"/>
      <c r="W237" s="111"/>
      <c r="X237" s="105"/>
      <c r="Y237" s="105"/>
      <c r="Z237" s="105"/>
      <c r="AA237" s="108"/>
      <c r="AB237" s="133"/>
    </row>
    <row r="238" spans="1:32" ht="15.75" customHeight="1" x14ac:dyDescent="0.25">
      <c r="A238" s="141"/>
      <c r="B238" s="137"/>
      <c r="C238" s="94"/>
      <c r="D238" s="124"/>
      <c r="E238" s="124"/>
      <c r="F238" s="124"/>
      <c r="G238" s="127"/>
      <c r="H238" s="103"/>
      <c r="I238" s="97"/>
      <c r="J238" s="97"/>
      <c r="K238" s="97"/>
      <c r="L238" s="100"/>
      <c r="M238" s="103"/>
      <c r="N238" s="97"/>
      <c r="O238" s="97"/>
      <c r="P238" s="97"/>
      <c r="Q238" s="100"/>
      <c r="R238" s="103"/>
      <c r="S238" s="97"/>
      <c r="T238" s="97"/>
      <c r="U238" s="97"/>
      <c r="V238" s="100"/>
      <c r="W238" s="112"/>
      <c r="X238" s="106"/>
      <c r="Y238" s="106"/>
      <c r="Z238" s="106"/>
      <c r="AA238" s="109"/>
      <c r="AB238" s="134"/>
    </row>
    <row r="239" spans="1:32" ht="15.75" customHeight="1" thickBot="1" x14ac:dyDescent="0.3">
      <c r="A239" s="142"/>
      <c r="B239" s="138"/>
      <c r="C239" s="95"/>
      <c r="D239" s="125"/>
      <c r="E239" s="125"/>
      <c r="F239" s="125"/>
      <c r="G239" s="128"/>
      <c r="H239" s="104"/>
      <c r="I239" s="98"/>
      <c r="J239" s="98"/>
      <c r="K239" s="98"/>
      <c r="L239" s="101"/>
      <c r="M239" s="104"/>
      <c r="N239" s="98"/>
      <c r="O239" s="98"/>
      <c r="P239" s="98"/>
      <c r="Q239" s="101"/>
      <c r="R239" s="104"/>
      <c r="S239" s="98"/>
      <c r="T239" s="98"/>
      <c r="U239" s="98"/>
      <c r="V239" s="101"/>
      <c r="W239" s="113"/>
      <c r="X239" s="107"/>
      <c r="Y239" s="107"/>
      <c r="Z239" s="107"/>
      <c r="AA239" s="110"/>
      <c r="AB239" s="135"/>
    </row>
    <row r="240" spans="1:32" ht="15.75" customHeight="1" thickTop="1" thickBot="1" x14ac:dyDescent="0.3">
      <c r="A240" s="139">
        <f>ESCUADRAS!B51</f>
        <v>45</v>
      </c>
      <c r="B240" s="136">
        <f>ESCUADRAS!C50</f>
        <v>0</v>
      </c>
      <c r="C240" s="93"/>
      <c r="D240" s="123"/>
      <c r="E240" s="123"/>
      <c r="F240" s="123"/>
      <c r="G240" s="126"/>
      <c r="H240" s="102"/>
      <c r="I240" s="96"/>
      <c r="J240" s="96"/>
      <c r="K240" s="96"/>
      <c r="L240" s="99"/>
      <c r="M240" s="102"/>
      <c r="N240" s="96"/>
      <c r="O240" s="96"/>
      <c r="P240" s="96"/>
      <c r="Q240" s="99"/>
      <c r="R240" s="111"/>
      <c r="S240" s="105"/>
      <c r="T240" s="105"/>
      <c r="U240" s="105"/>
      <c r="V240" s="108"/>
      <c r="W240" s="102"/>
      <c r="X240" s="96"/>
      <c r="Y240" s="96"/>
      <c r="Z240" s="96"/>
      <c r="AA240" s="99"/>
      <c r="AB240" s="133"/>
    </row>
    <row r="241" spans="1:28" ht="15.75" customHeight="1" thickTop="1" thickBot="1" x14ac:dyDescent="0.3">
      <c r="A241" s="139"/>
      <c r="B241" s="137"/>
      <c r="C241" s="94"/>
      <c r="D241" s="124"/>
      <c r="E241" s="124"/>
      <c r="F241" s="124"/>
      <c r="G241" s="127"/>
      <c r="H241" s="103"/>
      <c r="I241" s="97"/>
      <c r="J241" s="97"/>
      <c r="K241" s="97"/>
      <c r="L241" s="100"/>
      <c r="M241" s="103"/>
      <c r="N241" s="97"/>
      <c r="O241" s="97"/>
      <c r="P241" s="97"/>
      <c r="Q241" s="100"/>
      <c r="R241" s="112"/>
      <c r="S241" s="106"/>
      <c r="T241" s="106"/>
      <c r="U241" s="106"/>
      <c r="V241" s="109"/>
      <c r="W241" s="103"/>
      <c r="X241" s="97"/>
      <c r="Y241" s="97"/>
      <c r="Z241" s="97"/>
      <c r="AA241" s="100"/>
      <c r="AB241" s="134"/>
    </row>
    <row r="242" spans="1:28" ht="15.75" customHeight="1" thickTop="1" thickBot="1" x14ac:dyDescent="0.3">
      <c r="A242" s="139"/>
      <c r="B242" s="138"/>
      <c r="C242" s="95"/>
      <c r="D242" s="125"/>
      <c r="E242" s="125"/>
      <c r="F242" s="125"/>
      <c r="G242" s="128"/>
      <c r="H242" s="104"/>
      <c r="I242" s="98"/>
      <c r="J242" s="98"/>
      <c r="K242" s="98"/>
      <c r="L242" s="101"/>
      <c r="M242" s="104"/>
      <c r="N242" s="98"/>
      <c r="O242" s="98"/>
      <c r="P242" s="98"/>
      <c r="Q242" s="101"/>
      <c r="R242" s="113"/>
      <c r="S242" s="107"/>
      <c r="T242" s="107"/>
      <c r="U242" s="107"/>
      <c r="V242" s="110"/>
      <c r="W242" s="104"/>
      <c r="X242" s="98"/>
      <c r="Y242" s="98"/>
      <c r="Z242" s="98"/>
      <c r="AA242" s="101"/>
      <c r="AB242" s="135"/>
    </row>
    <row r="243" spans="1:28" ht="15.75" customHeight="1" thickTop="1" x14ac:dyDescent="0.25">
      <c r="A243" s="140">
        <f>ESCUADRAS!B52</f>
        <v>46</v>
      </c>
      <c r="B243" s="136">
        <f>ESCUADRAS!C51</f>
        <v>0</v>
      </c>
      <c r="C243" s="93"/>
      <c r="D243" s="123"/>
      <c r="E243" s="123"/>
      <c r="F243" s="123"/>
      <c r="G243" s="126"/>
      <c r="H243" s="102"/>
      <c r="I243" s="96"/>
      <c r="J243" s="96"/>
      <c r="K243" s="96"/>
      <c r="L243" s="99"/>
      <c r="M243" s="111"/>
      <c r="N243" s="105"/>
      <c r="O243" s="105"/>
      <c r="P243" s="105"/>
      <c r="Q243" s="108"/>
      <c r="R243" s="102"/>
      <c r="S243" s="96"/>
      <c r="T243" s="96"/>
      <c r="U243" s="96"/>
      <c r="V243" s="99"/>
      <c r="W243" s="102"/>
      <c r="X243" s="96"/>
      <c r="Y243" s="96"/>
      <c r="Z243" s="96"/>
      <c r="AA243" s="99"/>
      <c r="AB243" s="133"/>
    </row>
    <row r="244" spans="1:28" ht="15.75" customHeight="1" x14ac:dyDescent="0.25">
      <c r="A244" s="141"/>
      <c r="B244" s="137"/>
      <c r="C244" s="94"/>
      <c r="D244" s="124"/>
      <c r="E244" s="124"/>
      <c r="F244" s="124"/>
      <c r="G244" s="127"/>
      <c r="H244" s="103"/>
      <c r="I244" s="97"/>
      <c r="J244" s="97"/>
      <c r="K244" s="97"/>
      <c r="L244" s="100"/>
      <c r="M244" s="112"/>
      <c r="N244" s="106"/>
      <c r="O244" s="106"/>
      <c r="P244" s="106"/>
      <c r="Q244" s="109"/>
      <c r="R244" s="103"/>
      <c r="S244" s="97"/>
      <c r="T244" s="97"/>
      <c r="U244" s="97"/>
      <c r="V244" s="100"/>
      <c r="W244" s="103"/>
      <c r="X244" s="97"/>
      <c r="Y244" s="97"/>
      <c r="Z244" s="97"/>
      <c r="AA244" s="100"/>
      <c r="AB244" s="134"/>
    </row>
    <row r="245" spans="1:28" ht="15.75" customHeight="1" thickBot="1" x14ac:dyDescent="0.3">
      <c r="A245" s="142"/>
      <c r="B245" s="138"/>
      <c r="C245" s="95"/>
      <c r="D245" s="125"/>
      <c r="E245" s="125"/>
      <c r="F245" s="125"/>
      <c r="G245" s="128"/>
      <c r="H245" s="104"/>
      <c r="I245" s="98"/>
      <c r="J245" s="98"/>
      <c r="K245" s="98"/>
      <c r="L245" s="101"/>
      <c r="M245" s="113"/>
      <c r="N245" s="107"/>
      <c r="O245" s="107"/>
      <c r="P245" s="107"/>
      <c r="Q245" s="110"/>
      <c r="R245" s="104"/>
      <c r="S245" s="98"/>
      <c r="T245" s="98"/>
      <c r="U245" s="98"/>
      <c r="V245" s="101"/>
      <c r="W245" s="104"/>
      <c r="X245" s="98"/>
      <c r="Y245" s="98"/>
      <c r="Z245" s="98"/>
      <c r="AA245" s="101"/>
      <c r="AB245" s="135"/>
    </row>
    <row r="246" spans="1:28" ht="15.75" customHeight="1" thickTop="1" thickBot="1" x14ac:dyDescent="0.3">
      <c r="A246" s="139">
        <f>ESCUADRAS!B53</f>
        <v>47</v>
      </c>
      <c r="B246" s="136">
        <f>ESCUADRAS!C52</f>
        <v>0</v>
      </c>
      <c r="C246" s="93"/>
      <c r="D246" s="123"/>
      <c r="E246" s="123"/>
      <c r="F246" s="123"/>
      <c r="G246" s="126"/>
      <c r="H246" s="111"/>
      <c r="I246" s="105"/>
      <c r="J246" s="105"/>
      <c r="K246" s="105"/>
      <c r="L246" s="108"/>
      <c r="M246" s="102"/>
      <c r="N246" s="96"/>
      <c r="O246" s="96"/>
      <c r="P246" s="96"/>
      <c r="Q246" s="99"/>
      <c r="R246" s="102"/>
      <c r="S246" s="96"/>
      <c r="T246" s="96"/>
      <c r="U246" s="96"/>
      <c r="V246" s="99"/>
      <c r="W246" s="102"/>
      <c r="X246" s="96"/>
      <c r="Y246" s="96"/>
      <c r="Z246" s="96"/>
      <c r="AA246" s="99"/>
      <c r="AB246" s="133"/>
    </row>
    <row r="247" spans="1:28" ht="15.75" customHeight="1" thickTop="1" thickBot="1" x14ac:dyDescent="0.3">
      <c r="A247" s="139"/>
      <c r="B247" s="137"/>
      <c r="C247" s="94"/>
      <c r="D247" s="124"/>
      <c r="E247" s="124"/>
      <c r="F247" s="124"/>
      <c r="G247" s="127"/>
      <c r="H247" s="112"/>
      <c r="I247" s="106"/>
      <c r="J247" s="106"/>
      <c r="K247" s="106"/>
      <c r="L247" s="109"/>
      <c r="M247" s="103"/>
      <c r="N247" s="97"/>
      <c r="O247" s="97"/>
      <c r="P247" s="97"/>
      <c r="Q247" s="100"/>
      <c r="R247" s="103"/>
      <c r="S247" s="97"/>
      <c r="T247" s="97"/>
      <c r="U247" s="97"/>
      <c r="V247" s="100"/>
      <c r="W247" s="103"/>
      <c r="X247" s="97"/>
      <c r="Y247" s="97"/>
      <c r="Z247" s="97"/>
      <c r="AA247" s="100"/>
      <c r="AB247" s="134"/>
    </row>
    <row r="248" spans="1:28" ht="15.75" customHeight="1" thickTop="1" thickBot="1" x14ac:dyDescent="0.3">
      <c r="A248" s="139"/>
      <c r="B248" s="138"/>
      <c r="C248" s="95"/>
      <c r="D248" s="125"/>
      <c r="E248" s="125"/>
      <c r="F248" s="125"/>
      <c r="G248" s="128"/>
      <c r="H248" s="113"/>
      <c r="I248" s="107"/>
      <c r="J248" s="107"/>
      <c r="K248" s="107"/>
      <c r="L248" s="110"/>
      <c r="M248" s="104"/>
      <c r="N248" s="98"/>
      <c r="O248" s="98"/>
      <c r="P248" s="98"/>
      <c r="Q248" s="101"/>
      <c r="R248" s="104"/>
      <c r="S248" s="98"/>
      <c r="T248" s="98"/>
      <c r="U248" s="98"/>
      <c r="V248" s="101"/>
      <c r="W248" s="104"/>
      <c r="X248" s="98"/>
      <c r="Y248" s="98"/>
      <c r="Z248" s="98"/>
      <c r="AA248" s="101"/>
      <c r="AB248" s="135"/>
    </row>
    <row r="249" spans="1:28" ht="15.75" customHeight="1" thickTop="1" x14ac:dyDescent="0.25">
      <c r="A249" s="140">
        <f>ESCUADRAS!B54</f>
        <v>48</v>
      </c>
      <c r="B249" s="136">
        <f>ESCUADRAS!C53</f>
        <v>0</v>
      </c>
      <c r="C249" s="111"/>
      <c r="D249" s="105"/>
      <c r="E249" s="105"/>
      <c r="F249" s="105"/>
      <c r="G249" s="108"/>
      <c r="H249" s="122"/>
      <c r="I249" s="120"/>
      <c r="J249" s="120"/>
      <c r="K249" s="120"/>
      <c r="L249" s="121"/>
      <c r="M249" s="122"/>
      <c r="N249" s="120"/>
      <c r="O249" s="120"/>
      <c r="P249" s="120"/>
      <c r="Q249" s="121"/>
      <c r="R249" s="122"/>
      <c r="S249" s="120"/>
      <c r="T249" s="120"/>
      <c r="U249" s="120"/>
      <c r="V249" s="121"/>
      <c r="W249" s="122"/>
      <c r="X249" s="120"/>
      <c r="Y249" s="120"/>
      <c r="Z249" s="120"/>
      <c r="AA249" s="121"/>
      <c r="AB249" s="133"/>
    </row>
    <row r="250" spans="1:28" ht="15.75" customHeight="1" x14ac:dyDescent="0.25">
      <c r="A250" s="141"/>
      <c r="B250" s="137"/>
      <c r="C250" s="112"/>
      <c r="D250" s="106"/>
      <c r="E250" s="106"/>
      <c r="F250" s="106"/>
      <c r="G250" s="109"/>
      <c r="H250" s="103"/>
      <c r="I250" s="97"/>
      <c r="J250" s="97"/>
      <c r="K250" s="97"/>
      <c r="L250" s="100"/>
      <c r="M250" s="103"/>
      <c r="N250" s="97"/>
      <c r="O250" s="97"/>
      <c r="P250" s="97"/>
      <c r="Q250" s="100"/>
      <c r="R250" s="103"/>
      <c r="S250" s="97"/>
      <c r="T250" s="97"/>
      <c r="U250" s="97"/>
      <c r="V250" s="100"/>
      <c r="W250" s="103"/>
      <c r="X250" s="97"/>
      <c r="Y250" s="97"/>
      <c r="Z250" s="97"/>
      <c r="AA250" s="100"/>
      <c r="AB250" s="134"/>
    </row>
    <row r="251" spans="1:28" ht="15.75" customHeight="1" thickBot="1" x14ac:dyDescent="0.3">
      <c r="A251" s="142"/>
      <c r="B251" s="138"/>
      <c r="C251" s="113"/>
      <c r="D251" s="107"/>
      <c r="E251" s="107"/>
      <c r="F251" s="107"/>
      <c r="G251" s="110"/>
      <c r="H251" s="104"/>
      <c r="I251" s="98"/>
      <c r="J251" s="98"/>
      <c r="K251" s="98"/>
      <c r="L251" s="101"/>
      <c r="M251" s="104"/>
      <c r="N251" s="98"/>
      <c r="O251" s="98"/>
      <c r="P251" s="98"/>
      <c r="Q251" s="101"/>
      <c r="R251" s="104"/>
      <c r="S251" s="98"/>
      <c r="T251" s="98"/>
      <c r="U251" s="98"/>
      <c r="V251" s="101"/>
      <c r="W251" s="104"/>
      <c r="X251" s="98"/>
      <c r="Y251" s="98"/>
      <c r="Z251" s="98"/>
      <c r="AA251" s="101"/>
      <c r="AB251" s="135"/>
    </row>
    <row r="252" spans="1:28" ht="15" x14ac:dyDescent="0.25">
      <c r="A252" s="28"/>
    </row>
    <row r="253" spans="1:28" ht="15" x14ac:dyDescent="0.25">
      <c r="A253" s="28"/>
      <c r="B253" s="26" t="s">
        <v>35</v>
      </c>
      <c r="E253" s="21" t="s">
        <v>41</v>
      </c>
      <c r="I253" s="21" t="s">
        <v>42</v>
      </c>
      <c r="M253" s="21" t="s">
        <v>43</v>
      </c>
      <c r="Q253" s="21" t="s">
        <v>44</v>
      </c>
      <c r="U253" s="21" t="s">
        <v>45</v>
      </c>
      <c r="Y253" s="21" t="s">
        <v>46</v>
      </c>
    </row>
    <row r="254" spans="1:28" ht="15" x14ac:dyDescent="0.25">
      <c r="A254" s="28"/>
    </row>
    <row r="258" spans="1:32" ht="24.6" x14ac:dyDescent="0.25">
      <c r="A258" s="144" t="str">
        <f>'INSCRIPCION '!A$1</f>
        <v>TIRADA</v>
      </c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</row>
    <row r="259" spans="1:32" ht="19.5" customHeight="1" x14ac:dyDescent="0.4">
      <c r="A259" s="23"/>
      <c r="B259" s="23"/>
    </row>
    <row r="260" spans="1:32" ht="22.5" customHeight="1" x14ac:dyDescent="0.25">
      <c r="A260" s="132" t="str">
        <f>'INSCRIPCION '!A$2</f>
        <v>CAMPO DE TIRO LA ISLA</v>
      </c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</row>
    <row r="261" spans="1:32" ht="19.5" customHeight="1" x14ac:dyDescent="0.25">
      <c r="A261" s="143" t="str">
        <f>'INSCRIPCION '!A$3</f>
        <v>XXX PLATOS</v>
      </c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</row>
    <row r="262" spans="1:32" ht="22.8" x14ac:dyDescent="0.4">
      <c r="A262" s="24"/>
      <c r="B262" s="24"/>
    </row>
    <row r="263" spans="1:32" ht="17.399999999999999" x14ac:dyDescent="0.3">
      <c r="A263" s="25" t="s">
        <v>17</v>
      </c>
      <c r="B263" s="25"/>
      <c r="J263" s="9" t="s">
        <v>6</v>
      </c>
      <c r="K263" s="9"/>
      <c r="L263" s="9"/>
      <c r="M263" s="9"/>
      <c r="N263" s="9"/>
      <c r="O263" s="22">
        <v>2</v>
      </c>
      <c r="P263" s="22"/>
      <c r="Q263" s="8"/>
      <c r="R263" s="8"/>
      <c r="S263" s="7"/>
      <c r="T263" s="8"/>
      <c r="U263" s="8"/>
      <c r="V263" s="9" t="s">
        <v>7</v>
      </c>
      <c r="W263" s="9"/>
      <c r="X263" s="9"/>
      <c r="Y263" s="9"/>
      <c r="Z263" s="22">
        <v>2</v>
      </c>
      <c r="AA263" s="22"/>
    </row>
    <row r="264" spans="1:32" ht="13.8" thickBot="1" x14ac:dyDescent="0.3"/>
    <row r="265" spans="1:32" ht="15.6" thickBot="1" x14ac:dyDescent="0.3">
      <c r="A265" s="27" t="s">
        <v>0</v>
      </c>
      <c r="B265" s="27" t="s">
        <v>8</v>
      </c>
      <c r="C265" s="47">
        <v>1</v>
      </c>
      <c r="D265" s="48">
        <v>2</v>
      </c>
      <c r="E265" s="48">
        <v>3</v>
      </c>
      <c r="F265" s="48">
        <v>4</v>
      </c>
      <c r="G265" s="49">
        <v>5</v>
      </c>
      <c r="H265" s="47">
        <v>6</v>
      </c>
      <c r="I265" s="48">
        <v>7</v>
      </c>
      <c r="J265" s="48">
        <v>8</v>
      </c>
      <c r="K265" s="48">
        <v>9</v>
      </c>
      <c r="L265" s="49">
        <v>10</v>
      </c>
      <c r="M265" s="47">
        <v>11</v>
      </c>
      <c r="N265" s="48">
        <v>12</v>
      </c>
      <c r="O265" s="48">
        <v>13</v>
      </c>
      <c r="P265" s="48">
        <v>14</v>
      </c>
      <c r="Q265" s="49">
        <v>15</v>
      </c>
      <c r="R265" s="47">
        <v>16</v>
      </c>
      <c r="S265" s="48">
        <v>17</v>
      </c>
      <c r="T265" s="48">
        <v>18</v>
      </c>
      <c r="U265" s="48">
        <v>19</v>
      </c>
      <c r="V265" s="49">
        <v>20</v>
      </c>
      <c r="W265" s="47">
        <v>21</v>
      </c>
      <c r="X265" s="48">
        <v>22</v>
      </c>
      <c r="Y265" s="48">
        <v>23</v>
      </c>
      <c r="Z265" s="48">
        <v>24</v>
      </c>
      <c r="AA265" s="49">
        <v>25</v>
      </c>
      <c r="AB265" s="30" t="s">
        <v>1</v>
      </c>
    </row>
    <row r="266" spans="1:32" ht="15.75" customHeight="1" thickTop="1" thickBot="1" x14ac:dyDescent="0.3">
      <c r="A266" s="139">
        <f>ESCUADRAS!B55</f>
        <v>49</v>
      </c>
      <c r="B266" s="136">
        <f>ESCUADRAS!C60</f>
        <v>0</v>
      </c>
      <c r="C266" s="129"/>
      <c r="D266" s="114"/>
      <c r="E266" s="114"/>
      <c r="F266" s="114"/>
      <c r="G266" s="117"/>
      <c r="H266" s="111"/>
      <c r="I266" s="105"/>
      <c r="J266" s="105"/>
      <c r="K266" s="105"/>
      <c r="L266" s="108"/>
      <c r="M266" s="111"/>
      <c r="N266" s="105"/>
      <c r="O266" s="105"/>
      <c r="P266" s="105"/>
      <c r="Q266" s="108"/>
      <c r="R266" s="111"/>
      <c r="S266" s="105"/>
      <c r="T266" s="105"/>
      <c r="U266" s="105"/>
      <c r="V266" s="108"/>
      <c r="W266" s="111"/>
      <c r="X266" s="105"/>
      <c r="Y266" s="105"/>
      <c r="Z266" s="105"/>
      <c r="AA266" s="108"/>
      <c r="AB266" s="133"/>
    </row>
    <row r="267" spans="1:32" ht="15.75" customHeight="1" thickTop="1" thickBot="1" x14ac:dyDescent="0.3">
      <c r="A267" s="139"/>
      <c r="B267" s="137"/>
      <c r="C267" s="130"/>
      <c r="D267" s="115"/>
      <c r="E267" s="115"/>
      <c r="F267" s="115"/>
      <c r="G267" s="118"/>
      <c r="H267" s="112"/>
      <c r="I267" s="106"/>
      <c r="J267" s="106"/>
      <c r="K267" s="106"/>
      <c r="L267" s="109"/>
      <c r="M267" s="112"/>
      <c r="N267" s="106"/>
      <c r="O267" s="106"/>
      <c r="P267" s="106"/>
      <c r="Q267" s="109"/>
      <c r="R267" s="112"/>
      <c r="S267" s="106"/>
      <c r="T267" s="106"/>
      <c r="U267" s="106"/>
      <c r="V267" s="109"/>
      <c r="W267" s="112"/>
      <c r="X267" s="106"/>
      <c r="Y267" s="106"/>
      <c r="Z267" s="106"/>
      <c r="AA267" s="109"/>
      <c r="AB267" s="134"/>
    </row>
    <row r="268" spans="1:32" ht="15.75" customHeight="1" thickTop="1" thickBot="1" x14ac:dyDescent="0.3">
      <c r="A268" s="139"/>
      <c r="B268" s="138"/>
      <c r="C268" s="131"/>
      <c r="D268" s="116"/>
      <c r="E268" s="116"/>
      <c r="F268" s="116"/>
      <c r="G268" s="119"/>
      <c r="H268" s="113"/>
      <c r="I268" s="107"/>
      <c r="J268" s="107"/>
      <c r="K268" s="107"/>
      <c r="L268" s="110"/>
      <c r="M268" s="113"/>
      <c r="N268" s="107"/>
      <c r="O268" s="107"/>
      <c r="P268" s="107"/>
      <c r="Q268" s="110"/>
      <c r="R268" s="113"/>
      <c r="S268" s="107"/>
      <c r="T268" s="107"/>
      <c r="U268" s="107"/>
      <c r="V268" s="110"/>
      <c r="W268" s="113"/>
      <c r="X268" s="107"/>
      <c r="Y268" s="107"/>
      <c r="Z268" s="107"/>
      <c r="AA268" s="110"/>
      <c r="AB268" s="135"/>
    </row>
    <row r="269" spans="1:32" ht="15.75" customHeight="1" thickTop="1" x14ac:dyDescent="0.25">
      <c r="A269" s="140">
        <f>ESCUADRAS!B56</f>
        <v>50</v>
      </c>
      <c r="B269" s="136">
        <f>ESCUADRAS!C55</f>
        <v>0</v>
      </c>
      <c r="C269" s="93"/>
      <c r="D269" s="123"/>
      <c r="E269" s="123"/>
      <c r="F269" s="123"/>
      <c r="G269" s="126"/>
      <c r="H269" s="102"/>
      <c r="I269" s="96"/>
      <c r="J269" s="96"/>
      <c r="K269" s="96"/>
      <c r="L269" s="99"/>
      <c r="M269" s="102"/>
      <c r="N269" s="96"/>
      <c r="O269" s="96"/>
      <c r="P269" s="96"/>
      <c r="Q269" s="99"/>
      <c r="R269" s="102"/>
      <c r="S269" s="96"/>
      <c r="T269" s="96"/>
      <c r="U269" s="96"/>
      <c r="V269" s="99"/>
      <c r="W269" s="111"/>
      <c r="X269" s="105"/>
      <c r="Y269" s="105"/>
      <c r="Z269" s="105"/>
      <c r="AA269" s="108"/>
      <c r="AB269" s="133"/>
    </row>
    <row r="270" spans="1:32" ht="15.75" customHeight="1" x14ac:dyDescent="0.25">
      <c r="A270" s="141"/>
      <c r="B270" s="137"/>
      <c r="C270" s="94"/>
      <c r="D270" s="124"/>
      <c r="E270" s="124"/>
      <c r="F270" s="124"/>
      <c r="G270" s="127"/>
      <c r="H270" s="103"/>
      <c r="I270" s="97"/>
      <c r="J270" s="97"/>
      <c r="K270" s="97"/>
      <c r="L270" s="100"/>
      <c r="M270" s="103"/>
      <c r="N270" s="97"/>
      <c r="O270" s="97"/>
      <c r="P270" s="97"/>
      <c r="Q270" s="100"/>
      <c r="R270" s="103"/>
      <c r="S270" s="97"/>
      <c r="T270" s="97"/>
      <c r="U270" s="97"/>
      <c r="V270" s="100"/>
      <c r="W270" s="112"/>
      <c r="X270" s="106"/>
      <c r="Y270" s="106"/>
      <c r="Z270" s="106"/>
      <c r="AA270" s="109"/>
      <c r="AB270" s="134"/>
    </row>
    <row r="271" spans="1:32" ht="15.75" customHeight="1" thickBot="1" x14ac:dyDescent="0.3">
      <c r="A271" s="142"/>
      <c r="B271" s="138"/>
      <c r="C271" s="95"/>
      <c r="D271" s="125"/>
      <c r="E271" s="125"/>
      <c r="F271" s="125"/>
      <c r="G271" s="128"/>
      <c r="H271" s="104"/>
      <c r="I271" s="98"/>
      <c r="J271" s="98"/>
      <c r="K271" s="98"/>
      <c r="L271" s="101"/>
      <c r="M271" s="104"/>
      <c r="N271" s="98"/>
      <c r="O271" s="98"/>
      <c r="P271" s="98"/>
      <c r="Q271" s="101"/>
      <c r="R271" s="104"/>
      <c r="S271" s="98"/>
      <c r="T271" s="98"/>
      <c r="U271" s="98"/>
      <c r="V271" s="101"/>
      <c r="W271" s="113"/>
      <c r="X271" s="107"/>
      <c r="Y271" s="107"/>
      <c r="Z271" s="107"/>
      <c r="AA271" s="110"/>
      <c r="AB271" s="135"/>
    </row>
    <row r="272" spans="1:32" ht="15.75" customHeight="1" thickTop="1" thickBot="1" x14ac:dyDescent="0.3">
      <c r="A272" s="139">
        <f>ESCUADRAS!B57</f>
        <v>51</v>
      </c>
      <c r="B272" s="136">
        <f>ESCUADRAS!C56</f>
        <v>0</v>
      </c>
      <c r="C272" s="93"/>
      <c r="D272" s="123"/>
      <c r="E272" s="123"/>
      <c r="F272" s="123"/>
      <c r="G272" s="126"/>
      <c r="H272" s="102"/>
      <c r="I272" s="96"/>
      <c r="J272" s="96"/>
      <c r="K272" s="96"/>
      <c r="L272" s="99"/>
      <c r="M272" s="102"/>
      <c r="N272" s="96"/>
      <c r="O272" s="96"/>
      <c r="P272" s="96"/>
      <c r="Q272" s="99"/>
      <c r="R272" s="111"/>
      <c r="S272" s="105"/>
      <c r="T272" s="105"/>
      <c r="U272" s="105"/>
      <c r="V272" s="108"/>
      <c r="W272" s="102"/>
      <c r="X272" s="96"/>
      <c r="Y272" s="96"/>
      <c r="Z272" s="96"/>
      <c r="AA272" s="99"/>
      <c r="AB272" s="133"/>
    </row>
    <row r="273" spans="1:28" ht="15.75" customHeight="1" thickTop="1" thickBot="1" x14ac:dyDescent="0.3">
      <c r="A273" s="139"/>
      <c r="B273" s="137"/>
      <c r="C273" s="94"/>
      <c r="D273" s="124"/>
      <c r="E273" s="124"/>
      <c r="F273" s="124"/>
      <c r="G273" s="127"/>
      <c r="H273" s="103"/>
      <c r="I273" s="97"/>
      <c r="J273" s="97"/>
      <c r="K273" s="97"/>
      <c r="L273" s="100"/>
      <c r="M273" s="103"/>
      <c r="N273" s="97"/>
      <c r="O273" s="97"/>
      <c r="P273" s="97"/>
      <c r="Q273" s="100"/>
      <c r="R273" s="112"/>
      <c r="S273" s="106"/>
      <c r="T273" s="106"/>
      <c r="U273" s="106"/>
      <c r="V273" s="109"/>
      <c r="W273" s="103"/>
      <c r="X273" s="97"/>
      <c r="Y273" s="97"/>
      <c r="Z273" s="97"/>
      <c r="AA273" s="100"/>
      <c r="AB273" s="134"/>
    </row>
    <row r="274" spans="1:28" ht="15.75" customHeight="1" thickTop="1" thickBot="1" x14ac:dyDescent="0.3">
      <c r="A274" s="139"/>
      <c r="B274" s="138"/>
      <c r="C274" s="95"/>
      <c r="D274" s="125"/>
      <c r="E274" s="125"/>
      <c r="F274" s="125"/>
      <c r="G274" s="128"/>
      <c r="H274" s="104"/>
      <c r="I274" s="98"/>
      <c r="J274" s="98"/>
      <c r="K274" s="98"/>
      <c r="L274" s="101"/>
      <c r="M274" s="104"/>
      <c r="N274" s="98"/>
      <c r="O274" s="98"/>
      <c r="P274" s="98"/>
      <c r="Q274" s="101"/>
      <c r="R274" s="113"/>
      <c r="S274" s="107"/>
      <c r="T274" s="107"/>
      <c r="U274" s="107"/>
      <c r="V274" s="110"/>
      <c r="W274" s="104"/>
      <c r="X274" s="98"/>
      <c r="Y274" s="98"/>
      <c r="Z274" s="98"/>
      <c r="AA274" s="101"/>
      <c r="AB274" s="135"/>
    </row>
    <row r="275" spans="1:28" ht="15.75" customHeight="1" thickTop="1" x14ac:dyDescent="0.25">
      <c r="A275" s="140">
        <f>ESCUADRAS!B58</f>
        <v>52</v>
      </c>
      <c r="B275" s="136">
        <f>ESCUADRAS!C57</f>
        <v>0</v>
      </c>
      <c r="C275" s="93"/>
      <c r="D275" s="123"/>
      <c r="E275" s="123"/>
      <c r="F275" s="123"/>
      <c r="G275" s="126"/>
      <c r="H275" s="102"/>
      <c r="I275" s="96"/>
      <c r="J275" s="96"/>
      <c r="K275" s="96"/>
      <c r="L275" s="99"/>
      <c r="M275" s="111"/>
      <c r="N275" s="105"/>
      <c r="O275" s="105"/>
      <c r="P275" s="105"/>
      <c r="Q275" s="108"/>
      <c r="R275" s="102"/>
      <c r="S275" s="96"/>
      <c r="T275" s="96"/>
      <c r="U275" s="96"/>
      <c r="V275" s="99"/>
      <c r="W275" s="102"/>
      <c r="X275" s="96"/>
      <c r="Y275" s="96"/>
      <c r="Z275" s="96"/>
      <c r="AA275" s="99"/>
      <c r="AB275" s="133"/>
    </row>
    <row r="276" spans="1:28" ht="15.75" customHeight="1" x14ac:dyDescent="0.25">
      <c r="A276" s="141"/>
      <c r="B276" s="137"/>
      <c r="C276" s="94"/>
      <c r="D276" s="124"/>
      <c r="E276" s="124"/>
      <c r="F276" s="124"/>
      <c r="G276" s="127"/>
      <c r="H276" s="103"/>
      <c r="I276" s="97"/>
      <c r="J276" s="97"/>
      <c r="K276" s="97"/>
      <c r="L276" s="100"/>
      <c r="M276" s="112"/>
      <c r="N276" s="106"/>
      <c r="O276" s="106"/>
      <c r="P276" s="106"/>
      <c r="Q276" s="109"/>
      <c r="R276" s="103"/>
      <c r="S276" s="97"/>
      <c r="T276" s="97"/>
      <c r="U276" s="97"/>
      <c r="V276" s="100"/>
      <c r="W276" s="103"/>
      <c r="X276" s="97"/>
      <c r="Y276" s="97"/>
      <c r="Z276" s="97"/>
      <c r="AA276" s="100"/>
      <c r="AB276" s="134"/>
    </row>
    <row r="277" spans="1:28" ht="15.75" customHeight="1" thickBot="1" x14ac:dyDescent="0.3">
      <c r="A277" s="142"/>
      <c r="B277" s="138"/>
      <c r="C277" s="95"/>
      <c r="D277" s="125"/>
      <c r="E277" s="125"/>
      <c r="F277" s="125"/>
      <c r="G277" s="128"/>
      <c r="H277" s="104"/>
      <c r="I277" s="98"/>
      <c r="J277" s="98"/>
      <c r="K277" s="98"/>
      <c r="L277" s="101"/>
      <c r="M277" s="113"/>
      <c r="N277" s="107"/>
      <c r="O277" s="107"/>
      <c r="P277" s="107"/>
      <c r="Q277" s="110"/>
      <c r="R277" s="104"/>
      <c r="S277" s="98"/>
      <c r="T277" s="98"/>
      <c r="U277" s="98"/>
      <c r="V277" s="101"/>
      <c r="W277" s="104"/>
      <c r="X277" s="98"/>
      <c r="Y277" s="98"/>
      <c r="Z277" s="98"/>
      <c r="AA277" s="101"/>
      <c r="AB277" s="135"/>
    </row>
    <row r="278" spans="1:28" ht="15.75" customHeight="1" thickTop="1" thickBot="1" x14ac:dyDescent="0.3">
      <c r="A278" s="139">
        <f>ESCUADRAS!B59</f>
        <v>53</v>
      </c>
      <c r="B278" s="136">
        <f>ESCUADRAS!C58</f>
        <v>0</v>
      </c>
      <c r="C278" s="93"/>
      <c r="D278" s="123"/>
      <c r="E278" s="123"/>
      <c r="F278" s="123"/>
      <c r="G278" s="126"/>
      <c r="H278" s="111"/>
      <c r="I278" s="105"/>
      <c r="J278" s="105"/>
      <c r="K278" s="105"/>
      <c r="L278" s="108"/>
      <c r="M278" s="102"/>
      <c r="N278" s="96"/>
      <c r="O278" s="96"/>
      <c r="P278" s="96"/>
      <c r="Q278" s="99"/>
      <c r="R278" s="102"/>
      <c r="S278" s="96"/>
      <c r="T278" s="96"/>
      <c r="U278" s="96"/>
      <c r="V278" s="99"/>
      <c r="W278" s="102"/>
      <c r="X278" s="96"/>
      <c r="Y278" s="96"/>
      <c r="Z278" s="96"/>
      <c r="AA278" s="99"/>
      <c r="AB278" s="133"/>
    </row>
    <row r="279" spans="1:28" ht="15.75" customHeight="1" thickTop="1" thickBot="1" x14ac:dyDescent="0.3">
      <c r="A279" s="139"/>
      <c r="B279" s="137"/>
      <c r="C279" s="94"/>
      <c r="D279" s="124"/>
      <c r="E279" s="124"/>
      <c r="F279" s="124"/>
      <c r="G279" s="127"/>
      <c r="H279" s="112"/>
      <c r="I279" s="106"/>
      <c r="J279" s="106"/>
      <c r="K279" s="106"/>
      <c r="L279" s="109"/>
      <c r="M279" s="103"/>
      <c r="N279" s="97"/>
      <c r="O279" s="97"/>
      <c r="P279" s="97"/>
      <c r="Q279" s="100"/>
      <c r="R279" s="103"/>
      <c r="S279" s="97"/>
      <c r="T279" s="97"/>
      <c r="U279" s="97"/>
      <c r="V279" s="100"/>
      <c r="W279" s="103"/>
      <c r="X279" s="97"/>
      <c r="Y279" s="97"/>
      <c r="Z279" s="97"/>
      <c r="AA279" s="100"/>
      <c r="AB279" s="134"/>
    </row>
    <row r="280" spans="1:28" ht="15.75" customHeight="1" thickTop="1" thickBot="1" x14ac:dyDescent="0.3">
      <c r="A280" s="139"/>
      <c r="B280" s="138"/>
      <c r="C280" s="95"/>
      <c r="D280" s="125"/>
      <c r="E280" s="125"/>
      <c r="F280" s="125"/>
      <c r="G280" s="128"/>
      <c r="H280" s="113"/>
      <c r="I280" s="107"/>
      <c r="J280" s="107"/>
      <c r="K280" s="107"/>
      <c r="L280" s="110"/>
      <c r="M280" s="104"/>
      <c r="N280" s="98"/>
      <c r="O280" s="98"/>
      <c r="P280" s="98"/>
      <c r="Q280" s="101"/>
      <c r="R280" s="104"/>
      <c r="S280" s="98"/>
      <c r="T280" s="98"/>
      <c r="U280" s="98"/>
      <c r="V280" s="101"/>
      <c r="W280" s="104"/>
      <c r="X280" s="98"/>
      <c r="Y280" s="98"/>
      <c r="Z280" s="98"/>
      <c r="AA280" s="101"/>
      <c r="AB280" s="135"/>
    </row>
    <row r="281" spans="1:28" ht="15.75" customHeight="1" thickTop="1" x14ac:dyDescent="0.25">
      <c r="A281" s="140">
        <f>ESCUADRAS!B60</f>
        <v>54</v>
      </c>
      <c r="B281" s="136">
        <f>ESCUADRAS!C59</f>
        <v>0</v>
      </c>
      <c r="C281" s="111"/>
      <c r="D281" s="105"/>
      <c r="E281" s="105"/>
      <c r="F281" s="105"/>
      <c r="G281" s="108"/>
      <c r="H281" s="122"/>
      <c r="I281" s="120"/>
      <c r="J281" s="120"/>
      <c r="K281" s="120"/>
      <c r="L281" s="121"/>
      <c r="M281" s="122"/>
      <c r="N281" s="120"/>
      <c r="O281" s="120"/>
      <c r="P281" s="120"/>
      <c r="Q281" s="121"/>
      <c r="R281" s="122"/>
      <c r="S281" s="120"/>
      <c r="T281" s="120"/>
      <c r="U281" s="120"/>
      <c r="V281" s="121"/>
      <c r="W281" s="122"/>
      <c r="X281" s="120"/>
      <c r="Y281" s="120"/>
      <c r="Z281" s="120"/>
      <c r="AA281" s="121"/>
      <c r="AB281" s="133"/>
    </row>
    <row r="282" spans="1:28" ht="15.75" customHeight="1" x14ac:dyDescent="0.25">
      <c r="A282" s="141"/>
      <c r="B282" s="137"/>
      <c r="C282" s="112"/>
      <c r="D282" s="106"/>
      <c r="E282" s="106"/>
      <c r="F282" s="106"/>
      <c r="G282" s="109"/>
      <c r="H282" s="103"/>
      <c r="I282" s="97"/>
      <c r="J282" s="97"/>
      <c r="K282" s="97"/>
      <c r="L282" s="100"/>
      <c r="M282" s="103"/>
      <c r="N282" s="97"/>
      <c r="O282" s="97"/>
      <c r="P282" s="97"/>
      <c r="Q282" s="100"/>
      <c r="R282" s="103"/>
      <c r="S282" s="97"/>
      <c r="T282" s="97"/>
      <c r="U282" s="97"/>
      <c r="V282" s="100"/>
      <c r="W282" s="103"/>
      <c r="X282" s="97"/>
      <c r="Y282" s="97"/>
      <c r="Z282" s="97"/>
      <c r="AA282" s="100"/>
      <c r="AB282" s="134"/>
    </row>
    <row r="283" spans="1:28" ht="15.75" customHeight="1" thickBot="1" x14ac:dyDescent="0.3">
      <c r="A283" s="142"/>
      <c r="B283" s="138"/>
      <c r="C283" s="113"/>
      <c r="D283" s="107"/>
      <c r="E283" s="107"/>
      <c r="F283" s="107"/>
      <c r="G283" s="110"/>
      <c r="H283" s="104"/>
      <c r="I283" s="98"/>
      <c r="J283" s="98"/>
      <c r="K283" s="98"/>
      <c r="L283" s="101"/>
      <c r="M283" s="104"/>
      <c r="N283" s="98"/>
      <c r="O283" s="98"/>
      <c r="P283" s="98"/>
      <c r="Q283" s="101"/>
      <c r="R283" s="104"/>
      <c r="S283" s="98"/>
      <c r="T283" s="98"/>
      <c r="U283" s="98"/>
      <c r="V283" s="101"/>
      <c r="W283" s="104"/>
      <c r="X283" s="98"/>
      <c r="Y283" s="98"/>
      <c r="Z283" s="98"/>
      <c r="AA283" s="101"/>
      <c r="AB283" s="135"/>
    </row>
    <row r="284" spans="1:28" ht="15" x14ac:dyDescent="0.25">
      <c r="A284" s="28"/>
    </row>
    <row r="285" spans="1:28" ht="15" x14ac:dyDescent="0.25">
      <c r="A285" s="28"/>
      <c r="B285" s="26" t="s">
        <v>35</v>
      </c>
      <c r="E285" s="21" t="s">
        <v>41</v>
      </c>
      <c r="I285" s="21" t="s">
        <v>42</v>
      </c>
      <c r="M285" s="21" t="s">
        <v>43</v>
      </c>
      <c r="Q285" s="21" t="s">
        <v>44</v>
      </c>
      <c r="U285" s="21" t="s">
        <v>45</v>
      </c>
      <c r="Y285" s="21" t="s">
        <v>46</v>
      </c>
    </row>
    <row r="286" spans="1:28" ht="15" x14ac:dyDescent="0.25">
      <c r="A286" s="28"/>
    </row>
    <row r="290" spans="1:32" ht="24.6" x14ac:dyDescent="0.25">
      <c r="A290" s="144" t="str">
        <f>'INSCRIPCION '!A$1</f>
        <v>TIRADA</v>
      </c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</row>
    <row r="291" spans="1:32" ht="19.5" customHeight="1" x14ac:dyDescent="0.4">
      <c r="A291" s="23"/>
      <c r="B291" s="23"/>
    </row>
    <row r="292" spans="1:32" ht="22.5" customHeight="1" x14ac:dyDescent="0.25">
      <c r="A292" s="132" t="str">
        <f>'INSCRIPCION '!A$2</f>
        <v>CAMPO DE TIRO LA ISLA</v>
      </c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</row>
    <row r="293" spans="1:32" ht="19.5" customHeight="1" x14ac:dyDescent="0.25">
      <c r="A293" s="143" t="str">
        <f>'INSCRIPCION '!A$3</f>
        <v>XXX PLATOS</v>
      </c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</row>
    <row r="294" spans="1:32" ht="22.8" x14ac:dyDescent="0.4">
      <c r="A294" s="24"/>
      <c r="B294" s="24"/>
    </row>
    <row r="295" spans="1:32" ht="17.399999999999999" x14ac:dyDescent="0.3">
      <c r="A295" s="25" t="s">
        <v>18</v>
      </c>
      <c r="B295" s="25"/>
      <c r="J295" s="9" t="s">
        <v>6</v>
      </c>
      <c r="K295" s="9"/>
      <c r="L295" s="9"/>
      <c r="M295" s="9"/>
      <c r="N295" s="9"/>
      <c r="O295" s="22">
        <v>3</v>
      </c>
      <c r="P295" s="22"/>
      <c r="Q295" s="8"/>
      <c r="R295" s="8"/>
      <c r="S295" s="7"/>
      <c r="T295" s="8"/>
      <c r="U295" s="8"/>
      <c r="V295" s="9" t="s">
        <v>7</v>
      </c>
      <c r="W295" s="9"/>
      <c r="X295" s="9"/>
      <c r="Y295" s="9"/>
      <c r="Z295" s="22">
        <v>2</v>
      </c>
      <c r="AA295" s="22"/>
    </row>
    <row r="296" spans="1:32" ht="13.8" thickBot="1" x14ac:dyDescent="0.3"/>
    <row r="297" spans="1:32" ht="15.6" thickBot="1" x14ac:dyDescent="0.3">
      <c r="A297" s="27" t="s">
        <v>0</v>
      </c>
      <c r="B297" s="27" t="s">
        <v>8</v>
      </c>
      <c r="C297" s="47">
        <v>1</v>
      </c>
      <c r="D297" s="48">
        <v>2</v>
      </c>
      <c r="E297" s="48">
        <v>3</v>
      </c>
      <c r="F297" s="48">
        <v>4</v>
      </c>
      <c r="G297" s="49">
        <v>5</v>
      </c>
      <c r="H297" s="47">
        <v>6</v>
      </c>
      <c r="I297" s="48">
        <v>7</v>
      </c>
      <c r="J297" s="48">
        <v>8</v>
      </c>
      <c r="K297" s="48">
        <v>9</v>
      </c>
      <c r="L297" s="49">
        <v>10</v>
      </c>
      <c r="M297" s="47">
        <v>11</v>
      </c>
      <c r="N297" s="48">
        <v>12</v>
      </c>
      <c r="O297" s="48">
        <v>13</v>
      </c>
      <c r="P297" s="48">
        <v>14</v>
      </c>
      <c r="Q297" s="49">
        <v>15</v>
      </c>
      <c r="R297" s="47">
        <v>16</v>
      </c>
      <c r="S297" s="48">
        <v>17</v>
      </c>
      <c r="T297" s="48">
        <v>18</v>
      </c>
      <c r="U297" s="48">
        <v>19</v>
      </c>
      <c r="V297" s="49">
        <v>20</v>
      </c>
      <c r="W297" s="47">
        <v>21</v>
      </c>
      <c r="X297" s="48">
        <v>22</v>
      </c>
      <c r="Y297" s="48">
        <v>23</v>
      </c>
      <c r="Z297" s="48">
        <v>24</v>
      </c>
      <c r="AA297" s="49">
        <v>25</v>
      </c>
      <c r="AB297" s="30" t="s">
        <v>1</v>
      </c>
    </row>
    <row r="298" spans="1:32" ht="15.75" customHeight="1" thickTop="1" thickBot="1" x14ac:dyDescent="0.3">
      <c r="A298" s="139">
        <f>ESCUADRAS!B61</f>
        <v>55</v>
      </c>
      <c r="B298" s="136">
        <f>ESCUADRAS!C66</f>
        <v>0</v>
      </c>
      <c r="C298" s="129"/>
      <c r="D298" s="114"/>
      <c r="E298" s="114"/>
      <c r="F298" s="114"/>
      <c r="G298" s="117"/>
      <c r="H298" s="111"/>
      <c r="I298" s="105"/>
      <c r="J298" s="105"/>
      <c r="K298" s="105"/>
      <c r="L298" s="108"/>
      <c r="M298" s="111"/>
      <c r="N298" s="105"/>
      <c r="O298" s="105"/>
      <c r="P298" s="105"/>
      <c r="Q298" s="108"/>
      <c r="R298" s="111"/>
      <c r="S298" s="105"/>
      <c r="T298" s="105"/>
      <c r="U298" s="105"/>
      <c r="V298" s="108"/>
      <c r="W298" s="111"/>
      <c r="X298" s="105"/>
      <c r="Y298" s="105"/>
      <c r="Z298" s="105"/>
      <c r="AA298" s="108"/>
      <c r="AB298" s="133"/>
    </row>
    <row r="299" spans="1:32" ht="15.75" customHeight="1" thickTop="1" thickBot="1" x14ac:dyDescent="0.3">
      <c r="A299" s="139"/>
      <c r="B299" s="137"/>
      <c r="C299" s="130"/>
      <c r="D299" s="115"/>
      <c r="E299" s="115"/>
      <c r="F299" s="115"/>
      <c r="G299" s="118"/>
      <c r="H299" s="112"/>
      <c r="I299" s="106"/>
      <c r="J299" s="106"/>
      <c r="K299" s="106"/>
      <c r="L299" s="109"/>
      <c r="M299" s="112"/>
      <c r="N299" s="106"/>
      <c r="O299" s="106"/>
      <c r="P299" s="106"/>
      <c r="Q299" s="109"/>
      <c r="R299" s="112"/>
      <c r="S299" s="106"/>
      <c r="T299" s="106"/>
      <c r="U299" s="106"/>
      <c r="V299" s="109"/>
      <c r="W299" s="112"/>
      <c r="X299" s="106"/>
      <c r="Y299" s="106"/>
      <c r="Z299" s="106"/>
      <c r="AA299" s="109"/>
      <c r="AB299" s="134"/>
    </row>
    <row r="300" spans="1:32" ht="15.75" customHeight="1" thickTop="1" thickBot="1" x14ac:dyDescent="0.3">
      <c r="A300" s="139"/>
      <c r="B300" s="138"/>
      <c r="C300" s="131"/>
      <c r="D300" s="116"/>
      <c r="E300" s="116"/>
      <c r="F300" s="116"/>
      <c r="G300" s="119"/>
      <c r="H300" s="113"/>
      <c r="I300" s="107"/>
      <c r="J300" s="107"/>
      <c r="K300" s="107"/>
      <c r="L300" s="110"/>
      <c r="M300" s="113"/>
      <c r="N300" s="107"/>
      <c r="O300" s="107"/>
      <c r="P300" s="107"/>
      <c r="Q300" s="110"/>
      <c r="R300" s="113"/>
      <c r="S300" s="107"/>
      <c r="T300" s="107"/>
      <c r="U300" s="107"/>
      <c r="V300" s="110"/>
      <c r="W300" s="113"/>
      <c r="X300" s="107"/>
      <c r="Y300" s="107"/>
      <c r="Z300" s="107"/>
      <c r="AA300" s="110"/>
      <c r="AB300" s="135"/>
    </row>
    <row r="301" spans="1:32" ht="15.75" customHeight="1" thickTop="1" x14ac:dyDescent="0.25">
      <c r="A301" s="140">
        <f>ESCUADRAS!B62</f>
        <v>56</v>
      </c>
      <c r="B301" s="136">
        <f>ESCUADRAS!C61</f>
        <v>0</v>
      </c>
      <c r="C301" s="93"/>
      <c r="D301" s="123"/>
      <c r="E301" s="123"/>
      <c r="F301" s="123"/>
      <c r="G301" s="126"/>
      <c r="H301" s="102"/>
      <c r="I301" s="96"/>
      <c r="J301" s="96"/>
      <c r="K301" s="96"/>
      <c r="L301" s="99"/>
      <c r="M301" s="102"/>
      <c r="N301" s="96"/>
      <c r="O301" s="96"/>
      <c r="P301" s="96"/>
      <c r="Q301" s="99"/>
      <c r="R301" s="102"/>
      <c r="S301" s="96"/>
      <c r="T301" s="96"/>
      <c r="U301" s="96"/>
      <c r="V301" s="99"/>
      <c r="W301" s="111"/>
      <c r="X301" s="105"/>
      <c r="Y301" s="105"/>
      <c r="Z301" s="105"/>
      <c r="AA301" s="108"/>
      <c r="AB301" s="133"/>
    </row>
    <row r="302" spans="1:32" ht="15.75" customHeight="1" x14ac:dyDescent="0.25">
      <c r="A302" s="141"/>
      <c r="B302" s="137"/>
      <c r="C302" s="94"/>
      <c r="D302" s="124"/>
      <c r="E302" s="124"/>
      <c r="F302" s="124"/>
      <c r="G302" s="127"/>
      <c r="H302" s="103"/>
      <c r="I302" s="97"/>
      <c r="J302" s="97"/>
      <c r="K302" s="97"/>
      <c r="L302" s="100"/>
      <c r="M302" s="103"/>
      <c r="N302" s="97"/>
      <c r="O302" s="97"/>
      <c r="P302" s="97"/>
      <c r="Q302" s="100"/>
      <c r="R302" s="103"/>
      <c r="S302" s="97"/>
      <c r="T302" s="97"/>
      <c r="U302" s="97"/>
      <c r="V302" s="100"/>
      <c r="W302" s="112"/>
      <c r="X302" s="106"/>
      <c r="Y302" s="106"/>
      <c r="Z302" s="106"/>
      <c r="AA302" s="109"/>
      <c r="AB302" s="134"/>
    </row>
    <row r="303" spans="1:32" ht="15.75" customHeight="1" thickBot="1" x14ac:dyDescent="0.3">
      <c r="A303" s="142"/>
      <c r="B303" s="138"/>
      <c r="C303" s="95"/>
      <c r="D303" s="125"/>
      <c r="E303" s="125"/>
      <c r="F303" s="125"/>
      <c r="G303" s="128"/>
      <c r="H303" s="104"/>
      <c r="I303" s="98"/>
      <c r="J303" s="98"/>
      <c r="K303" s="98"/>
      <c r="L303" s="101"/>
      <c r="M303" s="104"/>
      <c r="N303" s="98"/>
      <c r="O303" s="98"/>
      <c r="P303" s="98"/>
      <c r="Q303" s="101"/>
      <c r="R303" s="104"/>
      <c r="S303" s="98"/>
      <c r="T303" s="98"/>
      <c r="U303" s="98"/>
      <c r="V303" s="101"/>
      <c r="W303" s="113"/>
      <c r="X303" s="107"/>
      <c r="Y303" s="107"/>
      <c r="Z303" s="107"/>
      <c r="AA303" s="110"/>
      <c r="AB303" s="135"/>
    </row>
    <row r="304" spans="1:32" ht="15.75" customHeight="1" thickTop="1" thickBot="1" x14ac:dyDescent="0.3">
      <c r="A304" s="139">
        <f>ESCUADRAS!B63</f>
        <v>57</v>
      </c>
      <c r="B304" s="136">
        <f>ESCUADRAS!C62</f>
        <v>0</v>
      </c>
      <c r="C304" s="93"/>
      <c r="D304" s="123"/>
      <c r="E304" s="123"/>
      <c r="F304" s="123"/>
      <c r="G304" s="126"/>
      <c r="H304" s="102"/>
      <c r="I304" s="96"/>
      <c r="J304" s="96"/>
      <c r="K304" s="96"/>
      <c r="L304" s="99"/>
      <c r="M304" s="102"/>
      <c r="N304" s="96"/>
      <c r="O304" s="96"/>
      <c r="P304" s="96"/>
      <c r="Q304" s="99"/>
      <c r="R304" s="111"/>
      <c r="S304" s="105"/>
      <c r="T304" s="105"/>
      <c r="U304" s="105"/>
      <c r="V304" s="108"/>
      <c r="W304" s="102"/>
      <c r="X304" s="96"/>
      <c r="Y304" s="96"/>
      <c r="Z304" s="96"/>
      <c r="AA304" s="99"/>
      <c r="AB304" s="133"/>
    </row>
    <row r="305" spans="1:28" ht="15.75" customHeight="1" thickTop="1" thickBot="1" x14ac:dyDescent="0.3">
      <c r="A305" s="139"/>
      <c r="B305" s="137"/>
      <c r="C305" s="94"/>
      <c r="D305" s="124"/>
      <c r="E305" s="124"/>
      <c r="F305" s="124"/>
      <c r="G305" s="127"/>
      <c r="H305" s="103"/>
      <c r="I305" s="97"/>
      <c r="J305" s="97"/>
      <c r="K305" s="97"/>
      <c r="L305" s="100"/>
      <c r="M305" s="103"/>
      <c r="N305" s="97"/>
      <c r="O305" s="97"/>
      <c r="P305" s="97"/>
      <c r="Q305" s="100"/>
      <c r="R305" s="112"/>
      <c r="S305" s="106"/>
      <c r="T305" s="106"/>
      <c r="U305" s="106"/>
      <c r="V305" s="109"/>
      <c r="W305" s="103"/>
      <c r="X305" s="97"/>
      <c r="Y305" s="97"/>
      <c r="Z305" s="97"/>
      <c r="AA305" s="100"/>
      <c r="AB305" s="134"/>
    </row>
    <row r="306" spans="1:28" ht="15.75" customHeight="1" thickTop="1" thickBot="1" x14ac:dyDescent="0.3">
      <c r="A306" s="139"/>
      <c r="B306" s="138"/>
      <c r="C306" s="95"/>
      <c r="D306" s="125"/>
      <c r="E306" s="125"/>
      <c r="F306" s="125"/>
      <c r="G306" s="128"/>
      <c r="H306" s="104"/>
      <c r="I306" s="98"/>
      <c r="J306" s="98"/>
      <c r="K306" s="98"/>
      <c r="L306" s="101"/>
      <c r="M306" s="104"/>
      <c r="N306" s="98"/>
      <c r="O306" s="98"/>
      <c r="P306" s="98"/>
      <c r="Q306" s="101"/>
      <c r="R306" s="113"/>
      <c r="S306" s="107"/>
      <c r="T306" s="107"/>
      <c r="U306" s="107"/>
      <c r="V306" s="110"/>
      <c r="W306" s="104"/>
      <c r="X306" s="98"/>
      <c r="Y306" s="98"/>
      <c r="Z306" s="98"/>
      <c r="AA306" s="101"/>
      <c r="AB306" s="135"/>
    </row>
    <row r="307" spans="1:28" ht="15.75" customHeight="1" thickTop="1" x14ac:dyDescent="0.25">
      <c r="A307" s="140">
        <f>ESCUADRAS!B64</f>
        <v>58</v>
      </c>
      <c r="B307" s="136">
        <f>ESCUADRAS!C63</f>
        <v>0</v>
      </c>
      <c r="C307" s="93"/>
      <c r="D307" s="123"/>
      <c r="E307" s="123"/>
      <c r="F307" s="123"/>
      <c r="G307" s="126"/>
      <c r="H307" s="102"/>
      <c r="I307" s="96"/>
      <c r="J307" s="96"/>
      <c r="K307" s="96"/>
      <c r="L307" s="99"/>
      <c r="M307" s="111"/>
      <c r="N307" s="105"/>
      <c r="O307" s="105"/>
      <c r="P307" s="105"/>
      <c r="Q307" s="108"/>
      <c r="R307" s="102"/>
      <c r="S307" s="96"/>
      <c r="T307" s="96"/>
      <c r="U307" s="96"/>
      <c r="V307" s="99"/>
      <c r="W307" s="102"/>
      <c r="X307" s="96"/>
      <c r="Y307" s="96"/>
      <c r="Z307" s="96"/>
      <c r="AA307" s="99"/>
      <c r="AB307" s="133"/>
    </row>
    <row r="308" spans="1:28" ht="15.75" customHeight="1" x14ac:dyDescent="0.25">
      <c r="A308" s="141"/>
      <c r="B308" s="137"/>
      <c r="C308" s="94"/>
      <c r="D308" s="124"/>
      <c r="E308" s="124"/>
      <c r="F308" s="124"/>
      <c r="G308" s="127"/>
      <c r="H308" s="103"/>
      <c r="I308" s="97"/>
      <c r="J308" s="97"/>
      <c r="K308" s="97"/>
      <c r="L308" s="100"/>
      <c r="M308" s="112"/>
      <c r="N308" s="106"/>
      <c r="O308" s="106"/>
      <c r="P308" s="106"/>
      <c r="Q308" s="109"/>
      <c r="R308" s="103"/>
      <c r="S308" s="97"/>
      <c r="T308" s="97"/>
      <c r="U308" s="97"/>
      <c r="V308" s="100"/>
      <c r="W308" s="103"/>
      <c r="X308" s="97"/>
      <c r="Y308" s="97"/>
      <c r="Z308" s="97"/>
      <c r="AA308" s="100"/>
      <c r="AB308" s="134"/>
    </row>
    <row r="309" spans="1:28" ht="15.75" customHeight="1" thickBot="1" x14ac:dyDescent="0.3">
      <c r="A309" s="142"/>
      <c r="B309" s="138"/>
      <c r="C309" s="95"/>
      <c r="D309" s="125"/>
      <c r="E309" s="125"/>
      <c r="F309" s="125"/>
      <c r="G309" s="128"/>
      <c r="H309" s="104"/>
      <c r="I309" s="98"/>
      <c r="J309" s="98"/>
      <c r="K309" s="98"/>
      <c r="L309" s="101"/>
      <c r="M309" s="113"/>
      <c r="N309" s="107"/>
      <c r="O309" s="107"/>
      <c r="P309" s="107"/>
      <c r="Q309" s="110"/>
      <c r="R309" s="104"/>
      <c r="S309" s="98"/>
      <c r="T309" s="98"/>
      <c r="U309" s="98"/>
      <c r="V309" s="101"/>
      <c r="W309" s="104"/>
      <c r="X309" s="98"/>
      <c r="Y309" s="98"/>
      <c r="Z309" s="98"/>
      <c r="AA309" s="101"/>
      <c r="AB309" s="135"/>
    </row>
    <row r="310" spans="1:28" ht="15.75" customHeight="1" thickTop="1" thickBot="1" x14ac:dyDescent="0.3">
      <c r="A310" s="139">
        <f>ESCUADRAS!B65</f>
        <v>59</v>
      </c>
      <c r="B310" s="136">
        <f>ESCUADRAS!C64</f>
        <v>0</v>
      </c>
      <c r="C310" s="93"/>
      <c r="D310" s="123"/>
      <c r="E310" s="123"/>
      <c r="F310" s="123"/>
      <c r="G310" s="126"/>
      <c r="H310" s="111"/>
      <c r="I310" s="105"/>
      <c r="J310" s="105"/>
      <c r="K310" s="105"/>
      <c r="L310" s="108"/>
      <c r="M310" s="102"/>
      <c r="N310" s="96"/>
      <c r="O310" s="96"/>
      <c r="P310" s="96"/>
      <c r="Q310" s="99"/>
      <c r="R310" s="102"/>
      <c r="S310" s="96"/>
      <c r="T310" s="96"/>
      <c r="U310" s="96"/>
      <c r="V310" s="99"/>
      <c r="W310" s="102"/>
      <c r="X310" s="96"/>
      <c r="Y310" s="96"/>
      <c r="Z310" s="96"/>
      <c r="AA310" s="99"/>
      <c r="AB310" s="133"/>
    </row>
    <row r="311" spans="1:28" ht="15.75" customHeight="1" thickTop="1" thickBot="1" x14ac:dyDescent="0.3">
      <c r="A311" s="139"/>
      <c r="B311" s="137"/>
      <c r="C311" s="94"/>
      <c r="D311" s="124"/>
      <c r="E311" s="124"/>
      <c r="F311" s="124"/>
      <c r="G311" s="127"/>
      <c r="H311" s="112"/>
      <c r="I311" s="106"/>
      <c r="J311" s="106"/>
      <c r="K311" s="106"/>
      <c r="L311" s="109"/>
      <c r="M311" s="103"/>
      <c r="N311" s="97"/>
      <c r="O311" s="97"/>
      <c r="P311" s="97"/>
      <c r="Q311" s="100"/>
      <c r="R311" s="103"/>
      <c r="S311" s="97"/>
      <c r="T311" s="97"/>
      <c r="U311" s="97"/>
      <c r="V311" s="100"/>
      <c r="W311" s="103"/>
      <c r="X311" s="97"/>
      <c r="Y311" s="97"/>
      <c r="Z311" s="97"/>
      <c r="AA311" s="100"/>
      <c r="AB311" s="134"/>
    </row>
    <row r="312" spans="1:28" ht="15.75" customHeight="1" thickTop="1" thickBot="1" x14ac:dyDescent="0.3">
      <c r="A312" s="139"/>
      <c r="B312" s="138"/>
      <c r="C312" s="95"/>
      <c r="D312" s="125"/>
      <c r="E312" s="125"/>
      <c r="F312" s="125"/>
      <c r="G312" s="128"/>
      <c r="H312" s="113"/>
      <c r="I312" s="107"/>
      <c r="J312" s="107"/>
      <c r="K312" s="107"/>
      <c r="L312" s="110"/>
      <c r="M312" s="104"/>
      <c r="N312" s="98"/>
      <c r="O312" s="98"/>
      <c r="P312" s="98"/>
      <c r="Q312" s="101"/>
      <c r="R312" s="104"/>
      <c r="S312" s="98"/>
      <c r="T312" s="98"/>
      <c r="U312" s="98"/>
      <c r="V312" s="101"/>
      <c r="W312" s="104"/>
      <c r="X312" s="98"/>
      <c r="Y312" s="98"/>
      <c r="Z312" s="98"/>
      <c r="AA312" s="101"/>
      <c r="AB312" s="135"/>
    </row>
    <row r="313" spans="1:28" ht="15.75" customHeight="1" thickTop="1" x14ac:dyDescent="0.25">
      <c r="A313" s="140">
        <f>ESCUADRAS!B66</f>
        <v>60</v>
      </c>
      <c r="B313" s="136">
        <f>ESCUADRAS!C65</f>
        <v>0</v>
      </c>
      <c r="C313" s="111"/>
      <c r="D313" s="105"/>
      <c r="E313" s="105"/>
      <c r="F313" s="105"/>
      <c r="G313" s="108"/>
      <c r="H313" s="122"/>
      <c r="I313" s="120"/>
      <c r="J313" s="120"/>
      <c r="K313" s="120"/>
      <c r="L313" s="121"/>
      <c r="M313" s="122"/>
      <c r="N313" s="120"/>
      <c r="O313" s="120"/>
      <c r="P313" s="120"/>
      <c r="Q313" s="121"/>
      <c r="R313" s="122"/>
      <c r="S313" s="120"/>
      <c r="T313" s="120"/>
      <c r="U313" s="120"/>
      <c r="V313" s="121"/>
      <c r="W313" s="122"/>
      <c r="X313" s="120"/>
      <c r="Y313" s="120"/>
      <c r="Z313" s="120"/>
      <c r="AA313" s="121"/>
      <c r="AB313" s="133"/>
    </row>
    <row r="314" spans="1:28" ht="15.75" customHeight="1" x14ac:dyDescent="0.25">
      <c r="A314" s="141"/>
      <c r="B314" s="137"/>
      <c r="C314" s="112"/>
      <c r="D314" s="106"/>
      <c r="E314" s="106"/>
      <c r="F314" s="106"/>
      <c r="G314" s="109"/>
      <c r="H314" s="103"/>
      <c r="I314" s="97"/>
      <c r="J314" s="97"/>
      <c r="K314" s="97"/>
      <c r="L314" s="100"/>
      <c r="M314" s="103"/>
      <c r="N314" s="97"/>
      <c r="O314" s="97"/>
      <c r="P314" s="97"/>
      <c r="Q314" s="100"/>
      <c r="R314" s="103"/>
      <c r="S314" s="97"/>
      <c r="T314" s="97"/>
      <c r="U314" s="97"/>
      <c r="V314" s="100"/>
      <c r="W314" s="103"/>
      <c r="X314" s="97"/>
      <c r="Y314" s="97"/>
      <c r="Z314" s="97"/>
      <c r="AA314" s="100"/>
      <c r="AB314" s="134"/>
    </row>
    <row r="315" spans="1:28" ht="15.75" customHeight="1" thickBot="1" x14ac:dyDescent="0.3">
      <c r="A315" s="142"/>
      <c r="B315" s="138"/>
      <c r="C315" s="113"/>
      <c r="D315" s="107"/>
      <c r="E315" s="107"/>
      <c r="F315" s="107"/>
      <c r="G315" s="110"/>
      <c r="H315" s="104"/>
      <c r="I315" s="98"/>
      <c r="J315" s="98"/>
      <c r="K315" s="98"/>
      <c r="L315" s="101"/>
      <c r="M315" s="104"/>
      <c r="N315" s="98"/>
      <c r="O315" s="98"/>
      <c r="P315" s="98"/>
      <c r="Q315" s="101"/>
      <c r="R315" s="104"/>
      <c r="S315" s="98"/>
      <c r="T315" s="98"/>
      <c r="U315" s="98"/>
      <c r="V315" s="101"/>
      <c r="W315" s="104"/>
      <c r="X315" s="98"/>
      <c r="Y315" s="98"/>
      <c r="Z315" s="98"/>
      <c r="AA315" s="101"/>
      <c r="AB315" s="135"/>
    </row>
    <row r="316" spans="1:28" ht="15" x14ac:dyDescent="0.25">
      <c r="A316" s="28"/>
    </row>
    <row r="317" spans="1:28" ht="15" x14ac:dyDescent="0.25">
      <c r="A317" s="28"/>
      <c r="B317" s="26" t="s">
        <v>35</v>
      </c>
      <c r="E317" s="21" t="s">
        <v>41</v>
      </c>
      <c r="I317" s="21" t="s">
        <v>42</v>
      </c>
      <c r="M317" s="21" t="s">
        <v>43</v>
      </c>
      <c r="Q317" s="21" t="s">
        <v>44</v>
      </c>
      <c r="U317" s="21" t="s">
        <v>45</v>
      </c>
      <c r="Y317" s="21" t="s">
        <v>46</v>
      </c>
    </row>
    <row r="318" spans="1:28" ht="15" x14ac:dyDescent="0.25">
      <c r="A318" s="28"/>
    </row>
    <row r="322" spans="1:32" ht="24.6" x14ac:dyDescent="0.25">
      <c r="A322" s="144" t="str">
        <f>'INSCRIPCION '!A$1</f>
        <v>TIRADA</v>
      </c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</row>
    <row r="323" spans="1:32" ht="19.5" customHeight="1" x14ac:dyDescent="0.4">
      <c r="A323" s="23"/>
      <c r="B323" s="23"/>
    </row>
    <row r="324" spans="1:32" ht="22.5" customHeight="1" x14ac:dyDescent="0.25">
      <c r="A324" s="132" t="str">
        <f>'INSCRIPCION '!A$2</f>
        <v>CAMPO DE TIRO LA ISLA</v>
      </c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</row>
    <row r="325" spans="1:32" ht="19.5" customHeight="1" x14ac:dyDescent="0.25">
      <c r="A325" s="143" t="str">
        <f>'INSCRIPCION '!A$3</f>
        <v>XXX PLATOS</v>
      </c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</row>
    <row r="326" spans="1:32" ht="22.8" x14ac:dyDescent="0.4">
      <c r="A326" s="24"/>
      <c r="B326" s="24"/>
    </row>
    <row r="327" spans="1:32" ht="17.399999999999999" x14ac:dyDescent="0.3">
      <c r="A327" s="25" t="s">
        <v>19</v>
      </c>
      <c r="B327" s="25"/>
      <c r="J327" s="9" t="s">
        <v>6</v>
      </c>
      <c r="K327" s="9"/>
      <c r="L327" s="9"/>
      <c r="M327" s="9"/>
      <c r="N327" s="9"/>
      <c r="O327" s="22">
        <v>4</v>
      </c>
      <c r="P327" s="22"/>
      <c r="Q327" s="8"/>
      <c r="R327" s="8"/>
      <c r="S327" s="7"/>
      <c r="T327" s="8"/>
      <c r="U327" s="8"/>
      <c r="V327" s="9" t="s">
        <v>7</v>
      </c>
      <c r="W327" s="9"/>
      <c r="X327" s="9"/>
      <c r="Y327" s="9"/>
      <c r="Z327" s="22">
        <v>2</v>
      </c>
      <c r="AA327" s="22"/>
    </row>
    <row r="328" spans="1:32" ht="13.8" thickBot="1" x14ac:dyDescent="0.3"/>
    <row r="329" spans="1:32" ht="15.6" thickBot="1" x14ac:dyDescent="0.3">
      <c r="A329" s="27" t="s">
        <v>0</v>
      </c>
      <c r="B329" s="27" t="s">
        <v>8</v>
      </c>
      <c r="C329" s="47">
        <v>1</v>
      </c>
      <c r="D329" s="48">
        <v>2</v>
      </c>
      <c r="E329" s="48">
        <v>3</v>
      </c>
      <c r="F329" s="48">
        <v>4</v>
      </c>
      <c r="G329" s="49">
        <v>5</v>
      </c>
      <c r="H329" s="47">
        <v>6</v>
      </c>
      <c r="I329" s="48">
        <v>7</v>
      </c>
      <c r="J329" s="48">
        <v>8</v>
      </c>
      <c r="K329" s="48">
        <v>9</v>
      </c>
      <c r="L329" s="49">
        <v>10</v>
      </c>
      <c r="M329" s="47">
        <v>11</v>
      </c>
      <c r="N329" s="48">
        <v>12</v>
      </c>
      <c r="O329" s="48">
        <v>13</v>
      </c>
      <c r="P329" s="48">
        <v>14</v>
      </c>
      <c r="Q329" s="49">
        <v>15</v>
      </c>
      <c r="R329" s="47">
        <v>16</v>
      </c>
      <c r="S329" s="48">
        <v>17</v>
      </c>
      <c r="T329" s="48">
        <v>18</v>
      </c>
      <c r="U329" s="48">
        <v>19</v>
      </c>
      <c r="V329" s="49">
        <v>20</v>
      </c>
      <c r="W329" s="47">
        <v>21</v>
      </c>
      <c r="X329" s="48">
        <v>22</v>
      </c>
      <c r="Y329" s="48">
        <v>23</v>
      </c>
      <c r="Z329" s="48">
        <v>24</v>
      </c>
      <c r="AA329" s="49">
        <v>25</v>
      </c>
      <c r="AB329" s="30" t="s">
        <v>1</v>
      </c>
    </row>
    <row r="330" spans="1:32" ht="15.75" customHeight="1" thickTop="1" thickBot="1" x14ac:dyDescent="0.3">
      <c r="A330" s="139">
        <f>ESCUADRAS!B67</f>
        <v>61</v>
      </c>
      <c r="B330" s="136">
        <f>ESCUADRAS!C72</f>
        <v>0</v>
      </c>
      <c r="C330" s="129"/>
      <c r="D330" s="114"/>
      <c r="E330" s="114"/>
      <c r="F330" s="114"/>
      <c r="G330" s="117"/>
      <c r="H330" s="111"/>
      <c r="I330" s="105"/>
      <c r="J330" s="105"/>
      <c r="K330" s="105"/>
      <c r="L330" s="108"/>
      <c r="M330" s="111"/>
      <c r="N330" s="105"/>
      <c r="O330" s="105"/>
      <c r="P330" s="105"/>
      <c r="Q330" s="108"/>
      <c r="R330" s="111"/>
      <c r="S330" s="105"/>
      <c r="T330" s="105"/>
      <c r="U330" s="105"/>
      <c r="V330" s="108"/>
      <c r="W330" s="111"/>
      <c r="X330" s="105"/>
      <c r="Y330" s="105"/>
      <c r="Z330" s="105"/>
      <c r="AA330" s="108"/>
      <c r="AB330" s="133"/>
    </row>
    <row r="331" spans="1:32" ht="15.75" customHeight="1" thickTop="1" thickBot="1" x14ac:dyDescent="0.3">
      <c r="A331" s="139"/>
      <c r="B331" s="137"/>
      <c r="C331" s="130"/>
      <c r="D331" s="115"/>
      <c r="E331" s="115"/>
      <c r="F331" s="115"/>
      <c r="G331" s="118"/>
      <c r="H331" s="112"/>
      <c r="I331" s="106"/>
      <c r="J331" s="106"/>
      <c r="K331" s="106"/>
      <c r="L331" s="109"/>
      <c r="M331" s="112"/>
      <c r="N331" s="106"/>
      <c r="O331" s="106"/>
      <c r="P331" s="106"/>
      <c r="Q331" s="109"/>
      <c r="R331" s="112"/>
      <c r="S331" s="106"/>
      <c r="T331" s="106"/>
      <c r="U331" s="106"/>
      <c r="V331" s="109"/>
      <c r="W331" s="112"/>
      <c r="X331" s="106"/>
      <c r="Y331" s="106"/>
      <c r="Z331" s="106"/>
      <c r="AA331" s="109"/>
      <c r="AB331" s="134"/>
    </row>
    <row r="332" spans="1:32" ht="15.75" customHeight="1" thickTop="1" thickBot="1" x14ac:dyDescent="0.3">
      <c r="A332" s="139"/>
      <c r="B332" s="138"/>
      <c r="C332" s="131"/>
      <c r="D332" s="116"/>
      <c r="E332" s="116"/>
      <c r="F332" s="116"/>
      <c r="G332" s="119"/>
      <c r="H332" s="113"/>
      <c r="I332" s="107"/>
      <c r="J332" s="107"/>
      <c r="K332" s="107"/>
      <c r="L332" s="110"/>
      <c r="M332" s="113"/>
      <c r="N332" s="107"/>
      <c r="O332" s="107"/>
      <c r="P332" s="107"/>
      <c r="Q332" s="110"/>
      <c r="R332" s="113"/>
      <c r="S332" s="107"/>
      <c r="T332" s="107"/>
      <c r="U332" s="107"/>
      <c r="V332" s="110"/>
      <c r="W332" s="113"/>
      <c r="X332" s="107"/>
      <c r="Y332" s="107"/>
      <c r="Z332" s="107"/>
      <c r="AA332" s="110"/>
      <c r="AB332" s="135"/>
    </row>
    <row r="333" spans="1:32" ht="15.75" customHeight="1" thickTop="1" x14ac:dyDescent="0.25">
      <c r="A333" s="140">
        <f>ESCUADRAS!B68</f>
        <v>62</v>
      </c>
      <c r="B333" s="136">
        <f>ESCUADRAS!C67</f>
        <v>0</v>
      </c>
      <c r="C333" s="93"/>
      <c r="D333" s="123"/>
      <c r="E333" s="123"/>
      <c r="F333" s="123"/>
      <c r="G333" s="126"/>
      <c r="H333" s="102"/>
      <c r="I333" s="96"/>
      <c r="J333" s="96"/>
      <c r="K333" s="96"/>
      <c r="L333" s="99"/>
      <c r="M333" s="102"/>
      <c r="N333" s="96"/>
      <c r="O333" s="96"/>
      <c r="P333" s="96"/>
      <c r="Q333" s="99"/>
      <c r="R333" s="102"/>
      <c r="S333" s="96"/>
      <c r="T333" s="96"/>
      <c r="U333" s="96"/>
      <c r="V333" s="99"/>
      <c r="W333" s="111"/>
      <c r="X333" s="105"/>
      <c r="Y333" s="105"/>
      <c r="Z333" s="105"/>
      <c r="AA333" s="108"/>
      <c r="AB333" s="133"/>
    </row>
    <row r="334" spans="1:32" ht="15.75" customHeight="1" x14ac:dyDescent="0.25">
      <c r="A334" s="141"/>
      <c r="B334" s="137"/>
      <c r="C334" s="94"/>
      <c r="D334" s="124"/>
      <c r="E334" s="124"/>
      <c r="F334" s="124"/>
      <c r="G334" s="127"/>
      <c r="H334" s="103"/>
      <c r="I334" s="97"/>
      <c r="J334" s="97"/>
      <c r="K334" s="97"/>
      <c r="L334" s="100"/>
      <c r="M334" s="103"/>
      <c r="N334" s="97"/>
      <c r="O334" s="97"/>
      <c r="P334" s="97"/>
      <c r="Q334" s="100"/>
      <c r="R334" s="103"/>
      <c r="S334" s="97"/>
      <c r="T334" s="97"/>
      <c r="U334" s="97"/>
      <c r="V334" s="100"/>
      <c r="W334" s="112"/>
      <c r="X334" s="106"/>
      <c r="Y334" s="106"/>
      <c r="Z334" s="106"/>
      <c r="AA334" s="109"/>
      <c r="AB334" s="134"/>
    </row>
    <row r="335" spans="1:32" ht="15.75" customHeight="1" thickBot="1" x14ac:dyDescent="0.3">
      <c r="A335" s="142"/>
      <c r="B335" s="138"/>
      <c r="C335" s="95"/>
      <c r="D335" s="125"/>
      <c r="E335" s="125"/>
      <c r="F335" s="125"/>
      <c r="G335" s="128"/>
      <c r="H335" s="104"/>
      <c r="I335" s="98"/>
      <c r="J335" s="98"/>
      <c r="K335" s="98"/>
      <c r="L335" s="101"/>
      <c r="M335" s="104"/>
      <c r="N335" s="98"/>
      <c r="O335" s="98"/>
      <c r="P335" s="98"/>
      <c r="Q335" s="101"/>
      <c r="R335" s="104"/>
      <c r="S335" s="98"/>
      <c r="T335" s="98"/>
      <c r="U335" s="98"/>
      <c r="V335" s="101"/>
      <c r="W335" s="113"/>
      <c r="X335" s="107"/>
      <c r="Y335" s="107"/>
      <c r="Z335" s="107"/>
      <c r="AA335" s="110"/>
      <c r="AB335" s="135"/>
    </row>
    <row r="336" spans="1:32" ht="15.75" customHeight="1" thickTop="1" thickBot="1" x14ac:dyDescent="0.3">
      <c r="A336" s="139">
        <f>ESCUADRAS!B69</f>
        <v>63</v>
      </c>
      <c r="B336" s="136">
        <f>ESCUADRAS!C68</f>
        <v>0</v>
      </c>
      <c r="C336" s="93"/>
      <c r="D336" s="123"/>
      <c r="E336" s="123"/>
      <c r="F336" s="123"/>
      <c r="G336" s="126"/>
      <c r="H336" s="102"/>
      <c r="I336" s="96"/>
      <c r="J336" s="96"/>
      <c r="K336" s="96"/>
      <c r="L336" s="99"/>
      <c r="M336" s="102"/>
      <c r="N336" s="96"/>
      <c r="O336" s="96"/>
      <c r="P336" s="96"/>
      <c r="Q336" s="99"/>
      <c r="R336" s="111"/>
      <c r="S336" s="105"/>
      <c r="T336" s="105"/>
      <c r="U336" s="105"/>
      <c r="V336" s="108"/>
      <c r="W336" s="102"/>
      <c r="X336" s="96"/>
      <c r="Y336" s="96"/>
      <c r="Z336" s="96"/>
      <c r="AA336" s="99"/>
      <c r="AB336" s="133"/>
    </row>
    <row r="337" spans="1:28" ht="15.75" customHeight="1" thickTop="1" thickBot="1" x14ac:dyDescent="0.3">
      <c r="A337" s="139"/>
      <c r="B337" s="137"/>
      <c r="C337" s="94"/>
      <c r="D337" s="124"/>
      <c r="E337" s="124"/>
      <c r="F337" s="124"/>
      <c r="G337" s="127"/>
      <c r="H337" s="103"/>
      <c r="I337" s="97"/>
      <c r="J337" s="97"/>
      <c r="K337" s="97"/>
      <c r="L337" s="100"/>
      <c r="M337" s="103"/>
      <c r="N337" s="97"/>
      <c r="O337" s="97"/>
      <c r="P337" s="97"/>
      <c r="Q337" s="100"/>
      <c r="R337" s="112"/>
      <c r="S337" s="106"/>
      <c r="T337" s="106"/>
      <c r="U337" s="106"/>
      <c r="V337" s="109"/>
      <c r="W337" s="103"/>
      <c r="X337" s="97"/>
      <c r="Y337" s="97"/>
      <c r="Z337" s="97"/>
      <c r="AA337" s="100"/>
      <c r="AB337" s="134"/>
    </row>
    <row r="338" spans="1:28" ht="15.75" customHeight="1" thickTop="1" thickBot="1" x14ac:dyDescent="0.3">
      <c r="A338" s="139"/>
      <c r="B338" s="138"/>
      <c r="C338" s="95"/>
      <c r="D338" s="125"/>
      <c r="E338" s="125"/>
      <c r="F338" s="125"/>
      <c r="G338" s="128"/>
      <c r="H338" s="104"/>
      <c r="I338" s="98"/>
      <c r="J338" s="98"/>
      <c r="K338" s="98"/>
      <c r="L338" s="101"/>
      <c r="M338" s="104"/>
      <c r="N338" s="98"/>
      <c r="O338" s="98"/>
      <c r="P338" s="98"/>
      <c r="Q338" s="101"/>
      <c r="R338" s="113"/>
      <c r="S338" s="107"/>
      <c r="T338" s="107"/>
      <c r="U338" s="107"/>
      <c r="V338" s="110"/>
      <c r="W338" s="104"/>
      <c r="X338" s="98"/>
      <c r="Y338" s="98"/>
      <c r="Z338" s="98"/>
      <c r="AA338" s="101"/>
      <c r="AB338" s="135"/>
    </row>
    <row r="339" spans="1:28" ht="15.75" customHeight="1" thickTop="1" x14ac:dyDescent="0.25">
      <c r="A339" s="140">
        <f>ESCUADRAS!B70</f>
        <v>64</v>
      </c>
      <c r="B339" s="136">
        <f>ESCUADRAS!C69</f>
        <v>0</v>
      </c>
      <c r="C339" s="93"/>
      <c r="D339" s="123"/>
      <c r="E339" s="123"/>
      <c r="F339" s="123"/>
      <c r="G339" s="126"/>
      <c r="H339" s="102"/>
      <c r="I339" s="96"/>
      <c r="J339" s="96"/>
      <c r="K339" s="96"/>
      <c r="L339" s="99"/>
      <c r="M339" s="111"/>
      <c r="N339" s="105"/>
      <c r="O339" s="105"/>
      <c r="P339" s="105"/>
      <c r="Q339" s="108"/>
      <c r="R339" s="102"/>
      <c r="S339" s="96"/>
      <c r="T339" s="96"/>
      <c r="U339" s="96"/>
      <c r="V339" s="99"/>
      <c r="W339" s="102"/>
      <c r="X339" s="96"/>
      <c r="Y339" s="96"/>
      <c r="Z339" s="96"/>
      <c r="AA339" s="99"/>
      <c r="AB339" s="133"/>
    </row>
    <row r="340" spans="1:28" ht="15.75" customHeight="1" x14ac:dyDescent="0.25">
      <c r="A340" s="141"/>
      <c r="B340" s="137"/>
      <c r="C340" s="94"/>
      <c r="D340" s="124"/>
      <c r="E340" s="124"/>
      <c r="F340" s="124"/>
      <c r="G340" s="127"/>
      <c r="H340" s="103"/>
      <c r="I340" s="97"/>
      <c r="J340" s="97"/>
      <c r="K340" s="97"/>
      <c r="L340" s="100"/>
      <c r="M340" s="112"/>
      <c r="N340" s="106"/>
      <c r="O340" s="106"/>
      <c r="P340" s="106"/>
      <c r="Q340" s="109"/>
      <c r="R340" s="103"/>
      <c r="S340" s="97"/>
      <c r="T340" s="97"/>
      <c r="U340" s="97"/>
      <c r="V340" s="100"/>
      <c r="W340" s="103"/>
      <c r="X340" s="97"/>
      <c r="Y340" s="97"/>
      <c r="Z340" s="97"/>
      <c r="AA340" s="100"/>
      <c r="AB340" s="134"/>
    </row>
    <row r="341" spans="1:28" ht="15.75" customHeight="1" thickBot="1" x14ac:dyDescent="0.3">
      <c r="A341" s="142"/>
      <c r="B341" s="138"/>
      <c r="C341" s="95"/>
      <c r="D341" s="125"/>
      <c r="E341" s="125"/>
      <c r="F341" s="125"/>
      <c r="G341" s="128"/>
      <c r="H341" s="104"/>
      <c r="I341" s="98"/>
      <c r="J341" s="98"/>
      <c r="K341" s="98"/>
      <c r="L341" s="101"/>
      <c r="M341" s="113"/>
      <c r="N341" s="107"/>
      <c r="O341" s="107"/>
      <c r="P341" s="107"/>
      <c r="Q341" s="110"/>
      <c r="R341" s="104"/>
      <c r="S341" s="98"/>
      <c r="T341" s="98"/>
      <c r="U341" s="98"/>
      <c r="V341" s="101"/>
      <c r="W341" s="104"/>
      <c r="X341" s="98"/>
      <c r="Y341" s="98"/>
      <c r="Z341" s="98"/>
      <c r="AA341" s="101"/>
      <c r="AB341" s="135"/>
    </row>
    <row r="342" spans="1:28" ht="15.75" customHeight="1" thickTop="1" thickBot="1" x14ac:dyDescent="0.3">
      <c r="A342" s="139">
        <f>ESCUADRAS!B71</f>
        <v>65</v>
      </c>
      <c r="B342" s="136">
        <f>ESCUADRAS!C70</f>
        <v>0</v>
      </c>
      <c r="C342" s="93"/>
      <c r="D342" s="123"/>
      <c r="E342" s="123"/>
      <c r="F342" s="123"/>
      <c r="G342" s="126"/>
      <c r="H342" s="111"/>
      <c r="I342" s="105"/>
      <c r="J342" s="105"/>
      <c r="K342" s="105"/>
      <c r="L342" s="108"/>
      <c r="M342" s="102"/>
      <c r="N342" s="96"/>
      <c r="O342" s="96"/>
      <c r="P342" s="96"/>
      <c r="Q342" s="99"/>
      <c r="R342" s="102"/>
      <c r="S342" s="96"/>
      <c r="T342" s="96"/>
      <c r="U342" s="96"/>
      <c r="V342" s="99"/>
      <c r="W342" s="102"/>
      <c r="X342" s="96"/>
      <c r="Y342" s="96"/>
      <c r="Z342" s="96"/>
      <c r="AA342" s="99"/>
      <c r="AB342" s="133"/>
    </row>
    <row r="343" spans="1:28" ht="15.75" customHeight="1" thickTop="1" thickBot="1" x14ac:dyDescent="0.3">
      <c r="A343" s="139"/>
      <c r="B343" s="137"/>
      <c r="C343" s="94"/>
      <c r="D343" s="124"/>
      <c r="E343" s="124"/>
      <c r="F343" s="124"/>
      <c r="G343" s="127"/>
      <c r="H343" s="112"/>
      <c r="I343" s="106"/>
      <c r="J343" s="106"/>
      <c r="K343" s="106"/>
      <c r="L343" s="109"/>
      <c r="M343" s="103"/>
      <c r="N343" s="97"/>
      <c r="O343" s="97"/>
      <c r="P343" s="97"/>
      <c r="Q343" s="100"/>
      <c r="R343" s="103"/>
      <c r="S343" s="97"/>
      <c r="T343" s="97"/>
      <c r="U343" s="97"/>
      <c r="V343" s="100"/>
      <c r="W343" s="103"/>
      <c r="X343" s="97"/>
      <c r="Y343" s="97"/>
      <c r="Z343" s="97"/>
      <c r="AA343" s="100"/>
      <c r="AB343" s="134"/>
    </row>
    <row r="344" spans="1:28" ht="15.75" customHeight="1" thickTop="1" thickBot="1" x14ac:dyDescent="0.3">
      <c r="A344" s="139"/>
      <c r="B344" s="138"/>
      <c r="C344" s="95"/>
      <c r="D344" s="125"/>
      <c r="E344" s="125"/>
      <c r="F344" s="125"/>
      <c r="G344" s="128"/>
      <c r="H344" s="113"/>
      <c r="I344" s="107"/>
      <c r="J344" s="107"/>
      <c r="K344" s="107"/>
      <c r="L344" s="110"/>
      <c r="M344" s="104"/>
      <c r="N344" s="98"/>
      <c r="O344" s="98"/>
      <c r="P344" s="98"/>
      <c r="Q344" s="101"/>
      <c r="R344" s="104"/>
      <c r="S344" s="98"/>
      <c r="T344" s="98"/>
      <c r="U344" s="98"/>
      <c r="V344" s="101"/>
      <c r="W344" s="104"/>
      <c r="X344" s="98"/>
      <c r="Y344" s="98"/>
      <c r="Z344" s="98"/>
      <c r="AA344" s="101"/>
      <c r="AB344" s="135"/>
    </row>
    <row r="345" spans="1:28" ht="15.75" customHeight="1" thickTop="1" x14ac:dyDescent="0.25">
      <c r="A345" s="140">
        <f>ESCUADRAS!B72</f>
        <v>66</v>
      </c>
      <c r="B345" s="136">
        <f>ESCUADRAS!C71</f>
        <v>0</v>
      </c>
      <c r="C345" s="111"/>
      <c r="D345" s="105"/>
      <c r="E345" s="105"/>
      <c r="F345" s="105"/>
      <c r="G345" s="108"/>
      <c r="H345" s="122"/>
      <c r="I345" s="120"/>
      <c r="J345" s="120"/>
      <c r="K345" s="120"/>
      <c r="L345" s="121"/>
      <c r="M345" s="122"/>
      <c r="N345" s="120"/>
      <c r="O345" s="120"/>
      <c r="P345" s="120"/>
      <c r="Q345" s="121"/>
      <c r="R345" s="122"/>
      <c r="S345" s="120"/>
      <c r="T345" s="120"/>
      <c r="U345" s="120"/>
      <c r="V345" s="121"/>
      <c r="W345" s="122"/>
      <c r="X345" s="120"/>
      <c r="Y345" s="120"/>
      <c r="Z345" s="120"/>
      <c r="AA345" s="121"/>
      <c r="AB345" s="133"/>
    </row>
    <row r="346" spans="1:28" ht="15.75" customHeight="1" x14ac:dyDescent="0.25">
      <c r="A346" s="141"/>
      <c r="B346" s="137"/>
      <c r="C346" s="112"/>
      <c r="D346" s="106"/>
      <c r="E346" s="106"/>
      <c r="F346" s="106"/>
      <c r="G346" s="109"/>
      <c r="H346" s="103"/>
      <c r="I346" s="97"/>
      <c r="J346" s="97"/>
      <c r="K346" s="97"/>
      <c r="L346" s="100"/>
      <c r="M346" s="103"/>
      <c r="N346" s="97"/>
      <c r="O346" s="97"/>
      <c r="P346" s="97"/>
      <c r="Q346" s="100"/>
      <c r="R346" s="103"/>
      <c r="S346" s="97"/>
      <c r="T346" s="97"/>
      <c r="U346" s="97"/>
      <c r="V346" s="100"/>
      <c r="W346" s="103"/>
      <c r="X346" s="97"/>
      <c r="Y346" s="97"/>
      <c r="Z346" s="97"/>
      <c r="AA346" s="100"/>
      <c r="AB346" s="134"/>
    </row>
    <row r="347" spans="1:28" ht="15.75" customHeight="1" thickBot="1" x14ac:dyDescent="0.3">
      <c r="A347" s="142"/>
      <c r="B347" s="138"/>
      <c r="C347" s="113"/>
      <c r="D347" s="107"/>
      <c r="E347" s="107"/>
      <c r="F347" s="107"/>
      <c r="G347" s="110"/>
      <c r="H347" s="104"/>
      <c r="I347" s="98"/>
      <c r="J347" s="98"/>
      <c r="K347" s="98"/>
      <c r="L347" s="101"/>
      <c r="M347" s="104"/>
      <c r="N347" s="98"/>
      <c r="O347" s="98"/>
      <c r="P347" s="98"/>
      <c r="Q347" s="101"/>
      <c r="R347" s="104"/>
      <c r="S347" s="98"/>
      <c r="T347" s="98"/>
      <c r="U347" s="98"/>
      <c r="V347" s="101"/>
      <c r="W347" s="104"/>
      <c r="X347" s="98"/>
      <c r="Y347" s="98"/>
      <c r="Z347" s="98"/>
      <c r="AA347" s="101"/>
      <c r="AB347" s="135"/>
    </row>
    <row r="348" spans="1:28" ht="15" x14ac:dyDescent="0.25">
      <c r="A348" s="28"/>
    </row>
    <row r="349" spans="1:28" ht="15" x14ac:dyDescent="0.25">
      <c r="A349" s="28"/>
      <c r="B349" s="26" t="s">
        <v>35</v>
      </c>
      <c r="E349" s="21" t="s">
        <v>41</v>
      </c>
      <c r="I349" s="21" t="s">
        <v>42</v>
      </c>
      <c r="M349" s="21" t="s">
        <v>43</v>
      </c>
      <c r="Q349" s="21" t="s">
        <v>44</v>
      </c>
      <c r="U349" s="21" t="s">
        <v>45</v>
      </c>
      <c r="Y349" s="21" t="s">
        <v>46</v>
      </c>
    </row>
    <row r="350" spans="1:28" ht="15" x14ac:dyDescent="0.25">
      <c r="A350" s="28"/>
    </row>
    <row r="354" spans="1:32" ht="24.6" x14ac:dyDescent="0.25">
      <c r="A354" s="144" t="str">
        <f>'INSCRIPCION '!A$1</f>
        <v>TIRADA</v>
      </c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</row>
    <row r="355" spans="1:32" ht="19.5" customHeight="1" x14ac:dyDescent="0.4">
      <c r="A355" s="23"/>
      <c r="B355" s="23"/>
    </row>
    <row r="356" spans="1:32" ht="21.75" customHeight="1" x14ac:dyDescent="0.25">
      <c r="A356" s="132" t="str">
        <f>'INSCRIPCION '!A$2</f>
        <v>CAMPO DE TIRO LA ISLA</v>
      </c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</row>
    <row r="357" spans="1:32" ht="19.5" customHeight="1" x14ac:dyDescent="0.25">
      <c r="A357" s="143" t="str">
        <f>'INSCRIPCION '!A$3</f>
        <v>XXX PLATOS</v>
      </c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</row>
    <row r="358" spans="1:32" ht="22.8" x14ac:dyDescent="0.4">
      <c r="A358" s="24"/>
      <c r="B358" s="24"/>
    </row>
    <row r="359" spans="1:32" ht="17.399999999999999" x14ac:dyDescent="0.3">
      <c r="A359" s="25" t="s">
        <v>20</v>
      </c>
      <c r="B359" s="25"/>
      <c r="J359" s="9" t="s">
        <v>6</v>
      </c>
      <c r="K359" s="9"/>
      <c r="L359" s="9"/>
      <c r="M359" s="9"/>
      <c r="N359" s="9"/>
      <c r="O359" s="22">
        <v>1</v>
      </c>
      <c r="P359" s="22"/>
      <c r="Q359" s="8"/>
      <c r="R359" s="8"/>
      <c r="S359" s="7"/>
      <c r="T359" s="8"/>
      <c r="U359" s="8"/>
      <c r="V359" s="9" t="s">
        <v>7</v>
      </c>
      <c r="W359" s="9"/>
      <c r="X359" s="9"/>
      <c r="Y359" s="9"/>
      <c r="Z359" s="22">
        <v>2</v>
      </c>
      <c r="AA359" s="22"/>
    </row>
    <row r="360" spans="1:32" ht="13.8" thickBot="1" x14ac:dyDescent="0.3"/>
    <row r="361" spans="1:32" ht="15.6" thickBot="1" x14ac:dyDescent="0.3">
      <c r="A361" s="27" t="s">
        <v>0</v>
      </c>
      <c r="B361" s="27" t="s">
        <v>8</v>
      </c>
      <c r="C361" s="47">
        <v>1</v>
      </c>
      <c r="D361" s="48">
        <v>2</v>
      </c>
      <c r="E361" s="48">
        <v>3</v>
      </c>
      <c r="F361" s="48">
        <v>4</v>
      </c>
      <c r="G361" s="49">
        <v>5</v>
      </c>
      <c r="H361" s="47">
        <v>6</v>
      </c>
      <c r="I361" s="48">
        <v>7</v>
      </c>
      <c r="J361" s="48">
        <v>8</v>
      </c>
      <c r="K361" s="48">
        <v>9</v>
      </c>
      <c r="L361" s="49">
        <v>10</v>
      </c>
      <c r="M361" s="47">
        <v>11</v>
      </c>
      <c r="N361" s="48">
        <v>12</v>
      </c>
      <c r="O361" s="48">
        <v>13</v>
      </c>
      <c r="P361" s="48">
        <v>14</v>
      </c>
      <c r="Q361" s="49">
        <v>15</v>
      </c>
      <c r="R361" s="47">
        <v>16</v>
      </c>
      <c r="S361" s="48">
        <v>17</v>
      </c>
      <c r="T361" s="48">
        <v>18</v>
      </c>
      <c r="U361" s="48">
        <v>19</v>
      </c>
      <c r="V361" s="49">
        <v>20</v>
      </c>
      <c r="W361" s="47">
        <v>21</v>
      </c>
      <c r="X361" s="48">
        <v>22</v>
      </c>
      <c r="Y361" s="48">
        <v>23</v>
      </c>
      <c r="Z361" s="48">
        <v>24</v>
      </c>
      <c r="AA361" s="49">
        <v>25</v>
      </c>
      <c r="AB361" s="30" t="s">
        <v>1</v>
      </c>
    </row>
    <row r="362" spans="1:32" ht="15.75" customHeight="1" x14ac:dyDescent="0.25">
      <c r="A362" s="136">
        <f>ESCUADRAS!B78</f>
        <v>72</v>
      </c>
      <c r="B362" s="136">
        <f>ESCUADRAS!C78</f>
        <v>0</v>
      </c>
      <c r="C362" s="129"/>
      <c r="D362" s="114"/>
      <c r="E362" s="114"/>
      <c r="F362" s="114"/>
      <c r="G362" s="117"/>
      <c r="H362" s="111"/>
      <c r="I362" s="105"/>
      <c r="J362" s="105"/>
      <c r="K362" s="105"/>
      <c r="L362" s="108"/>
      <c r="M362" s="111"/>
      <c r="N362" s="105"/>
      <c r="O362" s="105"/>
      <c r="P362" s="105"/>
      <c r="Q362" s="108"/>
      <c r="R362" s="111"/>
      <c r="S362" s="105"/>
      <c r="T362" s="105"/>
      <c r="U362" s="105"/>
      <c r="V362" s="108"/>
      <c r="W362" s="111"/>
      <c r="X362" s="105"/>
      <c r="Y362" s="105"/>
      <c r="Z362" s="105"/>
      <c r="AA362" s="108"/>
      <c r="AB362" s="133"/>
    </row>
    <row r="363" spans="1:32" ht="15.75" customHeight="1" x14ac:dyDescent="0.25">
      <c r="A363" s="137"/>
      <c r="B363" s="137"/>
      <c r="C363" s="130"/>
      <c r="D363" s="115"/>
      <c r="E363" s="115"/>
      <c r="F363" s="115"/>
      <c r="G363" s="118"/>
      <c r="H363" s="112"/>
      <c r="I363" s="106"/>
      <c r="J363" s="106"/>
      <c r="K363" s="106"/>
      <c r="L363" s="109"/>
      <c r="M363" s="112"/>
      <c r="N363" s="106"/>
      <c r="O363" s="106"/>
      <c r="P363" s="106"/>
      <c r="Q363" s="109"/>
      <c r="R363" s="112"/>
      <c r="S363" s="106"/>
      <c r="T363" s="106"/>
      <c r="U363" s="106"/>
      <c r="V363" s="109"/>
      <c r="W363" s="112"/>
      <c r="X363" s="106"/>
      <c r="Y363" s="106"/>
      <c r="Z363" s="106"/>
      <c r="AA363" s="109"/>
      <c r="AB363" s="134"/>
    </row>
    <row r="364" spans="1:32" ht="15.75" customHeight="1" thickBot="1" x14ac:dyDescent="0.3">
      <c r="A364" s="138"/>
      <c r="B364" s="138"/>
      <c r="C364" s="131"/>
      <c r="D364" s="116"/>
      <c r="E364" s="116"/>
      <c r="F364" s="116"/>
      <c r="G364" s="119"/>
      <c r="H364" s="113"/>
      <c r="I364" s="107"/>
      <c r="J364" s="107"/>
      <c r="K364" s="107"/>
      <c r="L364" s="110"/>
      <c r="M364" s="113"/>
      <c r="N364" s="107"/>
      <c r="O364" s="107"/>
      <c r="P364" s="107"/>
      <c r="Q364" s="110"/>
      <c r="R364" s="113"/>
      <c r="S364" s="107"/>
      <c r="T364" s="107"/>
      <c r="U364" s="107"/>
      <c r="V364" s="110"/>
      <c r="W364" s="113"/>
      <c r="X364" s="107"/>
      <c r="Y364" s="107"/>
      <c r="Z364" s="107"/>
      <c r="AA364" s="110"/>
      <c r="AB364" s="135"/>
    </row>
    <row r="365" spans="1:32" ht="15.75" customHeight="1" x14ac:dyDescent="0.25">
      <c r="A365" s="136">
        <f>ESCUADRAS!B73</f>
        <v>67</v>
      </c>
      <c r="B365" s="136">
        <f>ESCUADRAS!C73</f>
        <v>0</v>
      </c>
      <c r="C365" s="93"/>
      <c r="D365" s="123"/>
      <c r="E365" s="123"/>
      <c r="F365" s="123"/>
      <c r="G365" s="126"/>
      <c r="H365" s="102"/>
      <c r="I365" s="96"/>
      <c r="J365" s="96"/>
      <c r="K365" s="96"/>
      <c r="L365" s="99"/>
      <c r="M365" s="102"/>
      <c r="N365" s="96"/>
      <c r="O365" s="96"/>
      <c r="P365" s="96"/>
      <c r="Q365" s="99"/>
      <c r="R365" s="102"/>
      <c r="S365" s="96"/>
      <c r="T365" s="96"/>
      <c r="U365" s="96"/>
      <c r="V365" s="99"/>
      <c r="W365" s="111"/>
      <c r="X365" s="105"/>
      <c r="Y365" s="105"/>
      <c r="Z365" s="105"/>
      <c r="AA365" s="108"/>
      <c r="AB365" s="133"/>
    </row>
    <row r="366" spans="1:32" ht="15.75" customHeight="1" x14ac:dyDescent="0.25">
      <c r="A366" s="137"/>
      <c r="B366" s="137"/>
      <c r="C366" s="94"/>
      <c r="D366" s="124"/>
      <c r="E366" s="124"/>
      <c r="F366" s="124"/>
      <c r="G366" s="127"/>
      <c r="H366" s="103"/>
      <c r="I366" s="97"/>
      <c r="J366" s="97"/>
      <c r="K366" s="97"/>
      <c r="L366" s="100"/>
      <c r="M366" s="103"/>
      <c r="N366" s="97"/>
      <c r="O366" s="97"/>
      <c r="P366" s="97"/>
      <c r="Q366" s="100"/>
      <c r="R366" s="103"/>
      <c r="S366" s="97"/>
      <c r="T366" s="97"/>
      <c r="U366" s="97"/>
      <c r="V366" s="100"/>
      <c r="W366" s="112"/>
      <c r="X366" s="106"/>
      <c r="Y366" s="106"/>
      <c r="Z366" s="106"/>
      <c r="AA366" s="109"/>
      <c r="AB366" s="134"/>
    </row>
    <row r="367" spans="1:32" ht="15.75" customHeight="1" thickBot="1" x14ac:dyDescent="0.3">
      <c r="A367" s="138"/>
      <c r="B367" s="138"/>
      <c r="C367" s="95"/>
      <c r="D367" s="125"/>
      <c r="E367" s="125"/>
      <c r="F367" s="125"/>
      <c r="G367" s="128"/>
      <c r="H367" s="104"/>
      <c r="I367" s="98"/>
      <c r="J367" s="98"/>
      <c r="K367" s="98"/>
      <c r="L367" s="101"/>
      <c r="M367" s="104"/>
      <c r="N367" s="98"/>
      <c r="O367" s="98"/>
      <c r="P367" s="98"/>
      <c r="Q367" s="101"/>
      <c r="R367" s="104"/>
      <c r="S367" s="98"/>
      <c r="T367" s="98"/>
      <c r="U367" s="98"/>
      <c r="V367" s="101"/>
      <c r="W367" s="113"/>
      <c r="X367" s="107"/>
      <c r="Y367" s="107"/>
      <c r="Z367" s="107"/>
      <c r="AA367" s="110"/>
      <c r="AB367" s="135"/>
    </row>
    <row r="368" spans="1:32" ht="15.75" customHeight="1" x14ac:dyDescent="0.25">
      <c r="A368" s="136">
        <f>ESCUADRAS!B74</f>
        <v>68</v>
      </c>
      <c r="B368" s="136">
        <f>ESCUADRAS!C74</f>
        <v>0</v>
      </c>
      <c r="C368" s="93"/>
      <c r="D368" s="123"/>
      <c r="E368" s="123"/>
      <c r="F368" s="123"/>
      <c r="G368" s="126"/>
      <c r="H368" s="102"/>
      <c r="I368" s="96"/>
      <c r="J368" s="96"/>
      <c r="K368" s="96"/>
      <c r="L368" s="99"/>
      <c r="M368" s="102"/>
      <c r="N368" s="96"/>
      <c r="O368" s="96"/>
      <c r="P368" s="96"/>
      <c r="Q368" s="99"/>
      <c r="R368" s="111"/>
      <c r="S368" s="105"/>
      <c r="T368" s="105"/>
      <c r="U368" s="105"/>
      <c r="V368" s="108"/>
      <c r="W368" s="102"/>
      <c r="X368" s="96"/>
      <c r="Y368" s="96"/>
      <c r="Z368" s="96"/>
      <c r="AA368" s="99"/>
      <c r="AB368" s="133"/>
    </row>
    <row r="369" spans="1:28" ht="15.75" customHeight="1" x14ac:dyDescent="0.25">
      <c r="A369" s="137"/>
      <c r="B369" s="137"/>
      <c r="C369" s="94"/>
      <c r="D369" s="124"/>
      <c r="E369" s="124"/>
      <c r="F369" s="124"/>
      <c r="G369" s="127"/>
      <c r="H369" s="103"/>
      <c r="I369" s="97"/>
      <c r="J369" s="97"/>
      <c r="K369" s="97"/>
      <c r="L369" s="100"/>
      <c r="M369" s="103"/>
      <c r="N369" s="97"/>
      <c r="O369" s="97"/>
      <c r="P369" s="97"/>
      <c r="Q369" s="100"/>
      <c r="R369" s="112"/>
      <c r="S369" s="106"/>
      <c r="T369" s="106"/>
      <c r="U369" s="106"/>
      <c r="V369" s="109"/>
      <c r="W369" s="103"/>
      <c r="X369" s="97"/>
      <c r="Y369" s="97"/>
      <c r="Z369" s="97"/>
      <c r="AA369" s="100"/>
      <c r="AB369" s="134"/>
    </row>
    <row r="370" spans="1:28" ht="15.75" customHeight="1" thickBot="1" x14ac:dyDescent="0.3">
      <c r="A370" s="138"/>
      <c r="B370" s="138"/>
      <c r="C370" s="95"/>
      <c r="D370" s="125"/>
      <c r="E370" s="125"/>
      <c r="F370" s="125"/>
      <c r="G370" s="128"/>
      <c r="H370" s="104"/>
      <c r="I370" s="98"/>
      <c r="J370" s="98"/>
      <c r="K370" s="98"/>
      <c r="L370" s="101"/>
      <c r="M370" s="104"/>
      <c r="N370" s="98"/>
      <c r="O370" s="98"/>
      <c r="P370" s="98"/>
      <c r="Q370" s="101"/>
      <c r="R370" s="113"/>
      <c r="S370" s="107"/>
      <c r="T370" s="107"/>
      <c r="U370" s="107"/>
      <c r="V370" s="110"/>
      <c r="W370" s="104"/>
      <c r="X370" s="98"/>
      <c r="Y370" s="98"/>
      <c r="Z370" s="98"/>
      <c r="AA370" s="101"/>
      <c r="AB370" s="135"/>
    </row>
    <row r="371" spans="1:28" ht="15.75" customHeight="1" x14ac:dyDescent="0.25">
      <c r="A371" s="136">
        <f>ESCUADRAS!B75</f>
        <v>69</v>
      </c>
      <c r="B371" s="136">
        <f>ESCUADRAS!C75</f>
        <v>0</v>
      </c>
      <c r="C371" s="93"/>
      <c r="D371" s="123"/>
      <c r="E371" s="123"/>
      <c r="F371" s="123"/>
      <c r="G371" s="126"/>
      <c r="H371" s="102"/>
      <c r="I371" s="96"/>
      <c r="J371" s="96"/>
      <c r="K371" s="96"/>
      <c r="L371" s="99"/>
      <c r="M371" s="111"/>
      <c r="N371" s="105"/>
      <c r="O371" s="105"/>
      <c r="P371" s="105"/>
      <c r="Q371" s="108"/>
      <c r="R371" s="102"/>
      <c r="S371" s="96"/>
      <c r="T371" s="96"/>
      <c r="U371" s="96"/>
      <c r="V371" s="99"/>
      <c r="W371" s="102"/>
      <c r="X371" s="96"/>
      <c r="Y371" s="96"/>
      <c r="Z371" s="96"/>
      <c r="AA371" s="99"/>
      <c r="AB371" s="133"/>
    </row>
    <row r="372" spans="1:28" ht="15.75" customHeight="1" x14ac:dyDescent="0.25">
      <c r="A372" s="137"/>
      <c r="B372" s="137"/>
      <c r="C372" s="94"/>
      <c r="D372" s="124"/>
      <c r="E372" s="124"/>
      <c r="F372" s="124"/>
      <c r="G372" s="127"/>
      <c r="H372" s="103"/>
      <c r="I372" s="97"/>
      <c r="J372" s="97"/>
      <c r="K372" s="97"/>
      <c r="L372" s="100"/>
      <c r="M372" s="112"/>
      <c r="N372" s="106"/>
      <c r="O372" s="106"/>
      <c r="P372" s="106"/>
      <c r="Q372" s="109"/>
      <c r="R372" s="103"/>
      <c r="S372" s="97"/>
      <c r="T372" s="97"/>
      <c r="U372" s="97"/>
      <c r="V372" s="100"/>
      <c r="W372" s="103"/>
      <c r="X372" s="97"/>
      <c r="Y372" s="97"/>
      <c r="Z372" s="97"/>
      <c r="AA372" s="100"/>
      <c r="AB372" s="134"/>
    </row>
    <row r="373" spans="1:28" ht="15.75" customHeight="1" thickBot="1" x14ac:dyDescent="0.3">
      <c r="A373" s="138"/>
      <c r="B373" s="138"/>
      <c r="C373" s="95"/>
      <c r="D373" s="125"/>
      <c r="E373" s="125"/>
      <c r="F373" s="125"/>
      <c r="G373" s="128"/>
      <c r="H373" s="104"/>
      <c r="I373" s="98"/>
      <c r="J373" s="98"/>
      <c r="K373" s="98"/>
      <c r="L373" s="101"/>
      <c r="M373" s="113"/>
      <c r="N373" s="107"/>
      <c r="O373" s="107"/>
      <c r="P373" s="107"/>
      <c r="Q373" s="110"/>
      <c r="R373" s="104"/>
      <c r="S373" s="98"/>
      <c r="T373" s="98"/>
      <c r="U373" s="98"/>
      <c r="V373" s="101"/>
      <c r="W373" s="104"/>
      <c r="X373" s="98"/>
      <c r="Y373" s="98"/>
      <c r="Z373" s="98"/>
      <c r="AA373" s="101"/>
      <c r="AB373" s="135"/>
    </row>
    <row r="374" spans="1:28" ht="15.75" customHeight="1" x14ac:dyDescent="0.25">
      <c r="A374" s="136">
        <f>ESCUADRAS!B76</f>
        <v>70</v>
      </c>
      <c r="B374" s="136">
        <f>ESCUADRAS!C76</f>
        <v>0</v>
      </c>
      <c r="C374" s="93"/>
      <c r="D374" s="123"/>
      <c r="E374" s="123"/>
      <c r="F374" s="123"/>
      <c r="G374" s="126"/>
      <c r="H374" s="111"/>
      <c r="I374" s="105"/>
      <c r="J374" s="105"/>
      <c r="K374" s="105"/>
      <c r="L374" s="108"/>
      <c r="M374" s="102"/>
      <c r="N374" s="96"/>
      <c r="O374" s="96"/>
      <c r="P374" s="96"/>
      <c r="Q374" s="99"/>
      <c r="R374" s="102"/>
      <c r="S374" s="96"/>
      <c r="T374" s="96"/>
      <c r="U374" s="96"/>
      <c r="V374" s="99"/>
      <c r="W374" s="102"/>
      <c r="X374" s="96"/>
      <c r="Y374" s="96"/>
      <c r="Z374" s="96"/>
      <c r="AA374" s="99"/>
      <c r="AB374" s="133"/>
    </row>
    <row r="375" spans="1:28" ht="15.75" customHeight="1" x14ac:dyDescent="0.25">
      <c r="A375" s="137"/>
      <c r="B375" s="137"/>
      <c r="C375" s="94"/>
      <c r="D375" s="124"/>
      <c r="E375" s="124"/>
      <c r="F375" s="124"/>
      <c r="G375" s="127"/>
      <c r="H375" s="112"/>
      <c r="I375" s="106"/>
      <c r="J375" s="106"/>
      <c r="K375" s="106"/>
      <c r="L375" s="109"/>
      <c r="M375" s="103"/>
      <c r="N375" s="97"/>
      <c r="O375" s="97"/>
      <c r="P375" s="97"/>
      <c r="Q375" s="100"/>
      <c r="R375" s="103"/>
      <c r="S375" s="97"/>
      <c r="T375" s="97"/>
      <c r="U375" s="97"/>
      <c r="V375" s="100"/>
      <c r="W375" s="103"/>
      <c r="X375" s="97"/>
      <c r="Y375" s="97"/>
      <c r="Z375" s="97"/>
      <c r="AA375" s="100"/>
      <c r="AB375" s="134"/>
    </row>
    <row r="376" spans="1:28" ht="15.75" customHeight="1" thickBot="1" x14ac:dyDescent="0.3">
      <c r="A376" s="138"/>
      <c r="B376" s="138"/>
      <c r="C376" s="95"/>
      <c r="D376" s="125"/>
      <c r="E376" s="125"/>
      <c r="F376" s="125"/>
      <c r="G376" s="128"/>
      <c r="H376" s="113"/>
      <c r="I376" s="107"/>
      <c r="J376" s="107"/>
      <c r="K376" s="107"/>
      <c r="L376" s="110"/>
      <c r="M376" s="104"/>
      <c r="N376" s="98"/>
      <c r="O376" s="98"/>
      <c r="P376" s="98"/>
      <c r="Q376" s="101"/>
      <c r="R376" s="104"/>
      <c r="S376" s="98"/>
      <c r="T376" s="98"/>
      <c r="U376" s="98"/>
      <c r="V376" s="101"/>
      <c r="W376" s="104"/>
      <c r="X376" s="98"/>
      <c r="Y376" s="98"/>
      <c r="Z376" s="98"/>
      <c r="AA376" s="101"/>
      <c r="AB376" s="135"/>
    </row>
    <row r="377" spans="1:28" ht="15.75" customHeight="1" x14ac:dyDescent="0.25">
      <c r="A377" s="136">
        <f>ESCUADRAS!B77</f>
        <v>71</v>
      </c>
      <c r="B377" s="136">
        <f>ESCUADRAS!C77</f>
        <v>0</v>
      </c>
      <c r="C377" s="111"/>
      <c r="D377" s="105"/>
      <c r="E377" s="105"/>
      <c r="F377" s="105"/>
      <c r="G377" s="108"/>
      <c r="H377" s="122"/>
      <c r="I377" s="120"/>
      <c r="J377" s="120"/>
      <c r="K377" s="120"/>
      <c r="L377" s="121"/>
      <c r="M377" s="122"/>
      <c r="N377" s="120"/>
      <c r="O377" s="120"/>
      <c r="P377" s="120"/>
      <c r="Q377" s="121"/>
      <c r="R377" s="122"/>
      <c r="S377" s="120"/>
      <c r="T377" s="120"/>
      <c r="U377" s="120"/>
      <c r="V377" s="121"/>
      <c r="W377" s="122"/>
      <c r="X377" s="120"/>
      <c r="Y377" s="120"/>
      <c r="Z377" s="120"/>
      <c r="AA377" s="121"/>
      <c r="AB377" s="133"/>
    </row>
    <row r="378" spans="1:28" ht="15.75" customHeight="1" x14ac:dyDescent="0.25">
      <c r="A378" s="137"/>
      <c r="B378" s="137"/>
      <c r="C378" s="112"/>
      <c r="D378" s="106"/>
      <c r="E378" s="106"/>
      <c r="F378" s="106"/>
      <c r="G378" s="109"/>
      <c r="H378" s="103"/>
      <c r="I378" s="97"/>
      <c r="J378" s="97"/>
      <c r="K378" s="97"/>
      <c r="L378" s="100"/>
      <c r="M378" s="103"/>
      <c r="N378" s="97"/>
      <c r="O378" s="97"/>
      <c r="P378" s="97"/>
      <c r="Q378" s="100"/>
      <c r="R378" s="103"/>
      <c r="S378" s="97"/>
      <c r="T378" s="97"/>
      <c r="U378" s="97"/>
      <c r="V378" s="100"/>
      <c r="W378" s="103"/>
      <c r="X378" s="97"/>
      <c r="Y378" s="97"/>
      <c r="Z378" s="97"/>
      <c r="AA378" s="100"/>
      <c r="AB378" s="134"/>
    </row>
    <row r="379" spans="1:28" ht="15.75" customHeight="1" thickBot="1" x14ac:dyDescent="0.3">
      <c r="A379" s="138"/>
      <c r="B379" s="138"/>
      <c r="C379" s="113"/>
      <c r="D379" s="107"/>
      <c r="E379" s="107"/>
      <c r="F379" s="107"/>
      <c r="G379" s="110"/>
      <c r="H379" s="104"/>
      <c r="I379" s="98"/>
      <c r="J379" s="98"/>
      <c r="K379" s="98"/>
      <c r="L379" s="101"/>
      <c r="M379" s="104"/>
      <c r="N379" s="98"/>
      <c r="O379" s="98"/>
      <c r="P379" s="98"/>
      <c r="Q379" s="101"/>
      <c r="R379" s="104"/>
      <c r="S379" s="98"/>
      <c r="T379" s="98"/>
      <c r="U379" s="98"/>
      <c r="V379" s="101"/>
      <c r="W379" s="104"/>
      <c r="X379" s="98"/>
      <c r="Y379" s="98"/>
      <c r="Z379" s="98"/>
      <c r="AA379" s="101"/>
      <c r="AB379" s="135"/>
    </row>
    <row r="380" spans="1:28" ht="15" x14ac:dyDescent="0.25">
      <c r="A380" s="28"/>
    </row>
    <row r="381" spans="1:28" ht="15" x14ac:dyDescent="0.25">
      <c r="A381" s="28"/>
      <c r="B381" s="26" t="s">
        <v>35</v>
      </c>
      <c r="E381" s="21" t="s">
        <v>41</v>
      </c>
      <c r="I381" s="21" t="s">
        <v>42</v>
      </c>
      <c r="M381" s="21" t="s">
        <v>43</v>
      </c>
      <c r="Q381" s="21" t="s">
        <v>44</v>
      </c>
      <c r="U381" s="21" t="s">
        <v>45</v>
      </c>
      <c r="Y381" s="21" t="s">
        <v>46</v>
      </c>
    </row>
    <row r="382" spans="1:28" ht="15" x14ac:dyDescent="0.25">
      <c r="A382" s="28"/>
    </row>
    <row r="386" spans="1:32" ht="24.6" x14ac:dyDescent="0.25">
      <c r="A386" s="144" t="str">
        <f>'INSCRIPCION '!A$1</f>
        <v>TIRADA</v>
      </c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</row>
    <row r="387" spans="1:32" ht="19.5" customHeight="1" x14ac:dyDescent="0.4">
      <c r="A387" s="23"/>
      <c r="B387" s="23"/>
    </row>
    <row r="388" spans="1:32" ht="21.75" customHeight="1" x14ac:dyDescent="0.25">
      <c r="A388" s="132" t="str">
        <f>'INSCRIPCION '!A$2</f>
        <v>CAMPO DE TIRO LA ISLA</v>
      </c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</row>
    <row r="389" spans="1:32" ht="19.5" customHeight="1" x14ac:dyDescent="0.25">
      <c r="A389" s="143" t="str">
        <f>'INSCRIPCION '!A$3</f>
        <v>XXX PLATOS</v>
      </c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</row>
    <row r="390" spans="1:32" ht="22.8" x14ac:dyDescent="0.4">
      <c r="A390" s="24"/>
      <c r="B390" s="24"/>
    </row>
    <row r="391" spans="1:32" ht="17.399999999999999" x14ac:dyDescent="0.3">
      <c r="A391" s="25" t="s">
        <v>21</v>
      </c>
      <c r="B391" s="25"/>
      <c r="J391" s="9" t="s">
        <v>6</v>
      </c>
      <c r="K391" s="9"/>
      <c r="L391" s="9"/>
      <c r="M391" s="9"/>
      <c r="N391" s="9"/>
      <c r="O391" s="22">
        <v>2</v>
      </c>
      <c r="P391" s="22"/>
      <c r="Q391" s="8"/>
      <c r="R391" s="8"/>
      <c r="S391" s="7"/>
      <c r="T391" s="8"/>
      <c r="U391" s="8"/>
      <c r="V391" s="9" t="s">
        <v>7</v>
      </c>
      <c r="W391" s="9"/>
      <c r="X391" s="9"/>
      <c r="Y391" s="9"/>
      <c r="Z391" s="22">
        <v>2</v>
      </c>
      <c r="AA391" s="22"/>
    </row>
    <row r="392" spans="1:32" ht="13.8" thickBot="1" x14ac:dyDescent="0.3"/>
    <row r="393" spans="1:32" ht="15.6" thickBot="1" x14ac:dyDescent="0.3">
      <c r="A393" s="27" t="s">
        <v>0</v>
      </c>
      <c r="B393" s="27" t="s">
        <v>8</v>
      </c>
      <c r="C393" s="47">
        <v>1</v>
      </c>
      <c r="D393" s="48">
        <v>2</v>
      </c>
      <c r="E393" s="48">
        <v>3</v>
      </c>
      <c r="F393" s="48">
        <v>4</v>
      </c>
      <c r="G393" s="49">
        <v>5</v>
      </c>
      <c r="H393" s="47">
        <v>6</v>
      </c>
      <c r="I393" s="48">
        <v>7</v>
      </c>
      <c r="J393" s="48">
        <v>8</v>
      </c>
      <c r="K393" s="48">
        <v>9</v>
      </c>
      <c r="L393" s="49">
        <v>10</v>
      </c>
      <c r="M393" s="47">
        <v>11</v>
      </c>
      <c r="N393" s="48">
        <v>12</v>
      </c>
      <c r="O393" s="48">
        <v>13</v>
      </c>
      <c r="P393" s="48">
        <v>14</v>
      </c>
      <c r="Q393" s="49">
        <v>15</v>
      </c>
      <c r="R393" s="47">
        <v>16</v>
      </c>
      <c r="S393" s="48">
        <v>17</v>
      </c>
      <c r="T393" s="48">
        <v>18</v>
      </c>
      <c r="U393" s="48">
        <v>19</v>
      </c>
      <c r="V393" s="49">
        <v>20</v>
      </c>
      <c r="W393" s="47">
        <v>21</v>
      </c>
      <c r="X393" s="48">
        <v>22</v>
      </c>
      <c r="Y393" s="48">
        <v>23</v>
      </c>
      <c r="Z393" s="48">
        <v>24</v>
      </c>
      <c r="AA393" s="49">
        <v>25</v>
      </c>
      <c r="AB393" s="30" t="s">
        <v>1</v>
      </c>
    </row>
    <row r="394" spans="1:32" ht="15.75" customHeight="1" thickTop="1" thickBot="1" x14ac:dyDescent="0.3">
      <c r="A394" s="139">
        <f>ESCUADRAS!B79</f>
        <v>73</v>
      </c>
      <c r="B394" s="136">
        <f>ESCUADRAS!C84</f>
        <v>0</v>
      </c>
      <c r="C394" s="129"/>
      <c r="D394" s="114"/>
      <c r="E394" s="114"/>
      <c r="F394" s="114"/>
      <c r="G394" s="117"/>
      <c r="H394" s="111"/>
      <c r="I394" s="105"/>
      <c r="J394" s="105"/>
      <c r="K394" s="105"/>
      <c r="L394" s="108"/>
      <c r="M394" s="111"/>
      <c r="N394" s="105"/>
      <c r="O394" s="105"/>
      <c r="P394" s="105"/>
      <c r="Q394" s="108"/>
      <c r="R394" s="111"/>
      <c r="S394" s="105"/>
      <c r="T394" s="105"/>
      <c r="U394" s="105"/>
      <c r="V394" s="108"/>
      <c r="W394" s="111"/>
      <c r="X394" s="105"/>
      <c r="Y394" s="105"/>
      <c r="Z394" s="105"/>
      <c r="AA394" s="108"/>
      <c r="AB394" s="133"/>
    </row>
    <row r="395" spans="1:32" ht="15.75" customHeight="1" thickTop="1" thickBot="1" x14ac:dyDescent="0.3">
      <c r="A395" s="139"/>
      <c r="B395" s="137"/>
      <c r="C395" s="130"/>
      <c r="D395" s="115"/>
      <c r="E395" s="115"/>
      <c r="F395" s="115"/>
      <c r="G395" s="118"/>
      <c r="H395" s="112"/>
      <c r="I395" s="106"/>
      <c r="J395" s="106"/>
      <c r="K395" s="106"/>
      <c r="L395" s="109"/>
      <c r="M395" s="112"/>
      <c r="N395" s="106"/>
      <c r="O395" s="106"/>
      <c r="P395" s="106"/>
      <c r="Q395" s="109"/>
      <c r="R395" s="112"/>
      <c r="S395" s="106"/>
      <c r="T395" s="106"/>
      <c r="U395" s="106"/>
      <c r="V395" s="109"/>
      <c r="W395" s="112"/>
      <c r="X395" s="106"/>
      <c r="Y395" s="106"/>
      <c r="Z395" s="106"/>
      <c r="AA395" s="109"/>
      <c r="AB395" s="134"/>
    </row>
    <row r="396" spans="1:32" ht="15.75" customHeight="1" thickTop="1" thickBot="1" x14ac:dyDescent="0.3">
      <c r="A396" s="139"/>
      <c r="B396" s="138"/>
      <c r="C396" s="131"/>
      <c r="D396" s="116"/>
      <c r="E396" s="116"/>
      <c r="F396" s="116"/>
      <c r="G396" s="119"/>
      <c r="H396" s="113"/>
      <c r="I396" s="107"/>
      <c r="J396" s="107"/>
      <c r="K396" s="107"/>
      <c r="L396" s="110"/>
      <c r="M396" s="113"/>
      <c r="N396" s="107"/>
      <c r="O396" s="107"/>
      <c r="P396" s="107"/>
      <c r="Q396" s="110"/>
      <c r="R396" s="113"/>
      <c r="S396" s="107"/>
      <c r="T396" s="107"/>
      <c r="U396" s="107"/>
      <c r="V396" s="110"/>
      <c r="W396" s="113"/>
      <c r="X396" s="107"/>
      <c r="Y396" s="107"/>
      <c r="Z396" s="107"/>
      <c r="AA396" s="110"/>
      <c r="AB396" s="135"/>
    </row>
    <row r="397" spans="1:32" ht="15.75" customHeight="1" thickTop="1" x14ac:dyDescent="0.25">
      <c r="A397" s="140">
        <f>ESCUADRAS!B80</f>
        <v>74</v>
      </c>
      <c r="B397" s="136">
        <f>ESCUADRAS!C79</f>
        <v>0</v>
      </c>
      <c r="C397" s="93"/>
      <c r="D397" s="123"/>
      <c r="E397" s="123"/>
      <c r="F397" s="123"/>
      <c r="G397" s="126"/>
      <c r="H397" s="102"/>
      <c r="I397" s="96"/>
      <c r="J397" s="96"/>
      <c r="K397" s="96"/>
      <c r="L397" s="99"/>
      <c r="M397" s="102"/>
      <c r="N397" s="96"/>
      <c r="O397" s="96"/>
      <c r="P397" s="96"/>
      <c r="Q397" s="99"/>
      <c r="R397" s="102"/>
      <c r="S397" s="96"/>
      <c r="T397" s="96"/>
      <c r="U397" s="96"/>
      <c r="V397" s="99"/>
      <c r="W397" s="111"/>
      <c r="X397" s="105"/>
      <c r="Y397" s="105"/>
      <c r="Z397" s="105"/>
      <c r="AA397" s="108"/>
      <c r="AB397" s="133"/>
    </row>
    <row r="398" spans="1:32" ht="15.75" customHeight="1" x14ac:dyDescent="0.25">
      <c r="A398" s="141"/>
      <c r="B398" s="137"/>
      <c r="C398" s="94"/>
      <c r="D398" s="124"/>
      <c r="E398" s="124"/>
      <c r="F398" s="124"/>
      <c r="G398" s="127"/>
      <c r="H398" s="103"/>
      <c r="I398" s="97"/>
      <c r="J398" s="97"/>
      <c r="K398" s="97"/>
      <c r="L398" s="100"/>
      <c r="M398" s="103"/>
      <c r="N398" s="97"/>
      <c r="O398" s="97"/>
      <c r="P398" s="97"/>
      <c r="Q398" s="100"/>
      <c r="R398" s="103"/>
      <c r="S398" s="97"/>
      <c r="T398" s="97"/>
      <c r="U398" s="97"/>
      <c r="V398" s="100"/>
      <c r="W398" s="112"/>
      <c r="X398" s="106"/>
      <c r="Y398" s="106"/>
      <c r="Z398" s="106"/>
      <c r="AA398" s="109"/>
      <c r="AB398" s="134"/>
    </row>
    <row r="399" spans="1:32" ht="15.75" customHeight="1" thickBot="1" x14ac:dyDescent="0.3">
      <c r="A399" s="142"/>
      <c r="B399" s="138"/>
      <c r="C399" s="95"/>
      <c r="D399" s="125"/>
      <c r="E399" s="125"/>
      <c r="F399" s="125"/>
      <c r="G399" s="128"/>
      <c r="H399" s="104"/>
      <c r="I399" s="98"/>
      <c r="J399" s="98"/>
      <c r="K399" s="98"/>
      <c r="L399" s="101"/>
      <c r="M399" s="104"/>
      <c r="N399" s="98"/>
      <c r="O399" s="98"/>
      <c r="P399" s="98"/>
      <c r="Q399" s="101"/>
      <c r="R399" s="104"/>
      <c r="S399" s="98"/>
      <c r="T399" s="98"/>
      <c r="U399" s="98"/>
      <c r="V399" s="101"/>
      <c r="W399" s="113"/>
      <c r="X399" s="107"/>
      <c r="Y399" s="107"/>
      <c r="Z399" s="107"/>
      <c r="AA399" s="110"/>
      <c r="AB399" s="135"/>
    </row>
    <row r="400" spans="1:32" ht="15.75" customHeight="1" thickTop="1" thickBot="1" x14ac:dyDescent="0.3">
      <c r="A400" s="139">
        <f>ESCUADRAS!B81</f>
        <v>75</v>
      </c>
      <c r="B400" s="136">
        <f>ESCUADRAS!C80</f>
        <v>0</v>
      </c>
      <c r="C400" s="93"/>
      <c r="D400" s="123"/>
      <c r="E400" s="123"/>
      <c r="F400" s="123"/>
      <c r="G400" s="126"/>
      <c r="H400" s="102"/>
      <c r="I400" s="96"/>
      <c r="J400" s="96"/>
      <c r="K400" s="96"/>
      <c r="L400" s="99"/>
      <c r="M400" s="102"/>
      <c r="N400" s="96"/>
      <c r="O400" s="96"/>
      <c r="P400" s="96"/>
      <c r="Q400" s="99"/>
      <c r="R400" s="111"/>
      <c r="S400" s="105"/>
      <c r="T400" s="105"/>
      <c r="U400" s="105"/>
      <c r="V400" s="108"/>
      <c r="W400" s="102"/>
      <c r="X400" s="96"/>
      <c r="Y400" s="96"/>
      <c r="Z400" s="96"/>
      <c r="AA400" s="99"/>
      <c r="AB400" s="133"/>
    </row>
    <row r="401" spans="1:28" ht="15.75" customHeight="1" thickTop="1" thickBot="1" x14ac:dyDescent="0.3">
      <c r="A401" s="139"/>
      <c r="B401" s="137"/>
      <c r="C401" s="94"/>
      <c r="D401" s="124"/>
      <c r="E401" s="124"/>
      <c r="F401" s="124"/>
      <c r="G401" s="127"/>
      <c r="H401" s="103"/>
      <c r="I401" s="97"/>
      <c r="J401" s="97"/>
      <c r="K401" s="97"/>
      <c r="L401" s="100"/>
      <c r="M401" s="103"/>
      <c r="N401" s="97"/>
      <c r="O401" s="97"/>
      <c r="P401" s="97"/>
      <c r="Q401" s="100"/>
      <c r="R401" s="112"/>
      <c r="S401" s="106"/>
      <c r="T401" s="106"/>
      <c r="U401" s="106"/>
      <c r="V401" s="109"/>
      <c r="W401" s="103"/>
      <c r="X401" s="97"/>
      <c r="Y401" s="97"/>
      <c r="Z401" s="97"/>
      <c r="AA401" s="100"/>
      <c r="AB401" s="134"/>
    </row>
    <row r="402" spans="1:28" ht="15.75" customHeight="1" thickTop="1" thickBot="1" x14ac:dyDescent="0.3">
      <c r="A402" s="139"/>
      <c r="B402" s="138"/>
      <c r="C402" s="95"/>
      <c r="D402" s="125"/>
      <c r="E402" s="125"/>
      <c r="F402" s="125"/>
      <c r="G402" s="128"/>
      <c r="H402" s="104"/>
      <c r="I402" s="98"/>
      <c r="J402" s="98"/>
      <c r="K402" s="98"/>
      <c r="L402" s="101"/>
      <c r="M402" s="104"/>
      <c r="N402" s="98"/>
      <c r="O402" s="98"/>
      <c r="P402" s="98"/>
      <c r="Q402" s="101"/>
      <c r="R402" s="113"/>
      <c r="S402" s="107"/>
      <c r="T402" s="107"/>
      <c r="U402" s="107"/>
      <c r="V402" s="110"/>
      <c r="W402" s="104"/>
      <c r="X402" s="98"/>
      <c r="Y402" s="98"/>
      <c r="Z402" s="98"/>
      <c r="AA402" s="101"/>
      <c r="AB402" s="135"/>
    </row>
    <row r="403" spans="1:28" ht="15.75" customHeight="1" thickTop="1" x14ac:dyDescent="0.25">
      <c r="A403" s="140">
        <f>ESCUADRAS!B82</f>
        <v>76</v>
      </c>
      <c r="B403" s="136">
        <f>ESCUADRAS!C81</f>
        <v>0</v>
      </c>
      <c r="C403" s="93"/>
      <c r="D403" s="123"/>
      <c r="E403" s="123"/>
      <c r="F403" s="123"/>
      <c r="G403" s="126"/>
      <c r="H403" s="102"/>
      <c r="I403" s="96"/>
      <c r="J403" s="96"/>
      <c r="K403" s="96"/>
      <c r="L403" s="99"/>
      <c r="M403" s="111"/>
      <c r="N403" s="105"/>
      <c r="O403" s="105"/>
      <c r="P403" s="105"/>
      <c r="Q403" s="108"/>
      <c r="R403" s="102"/>
      <c r="S403" s="96"/>
      <c r="T403" s="96"/>
      <c r="U403" s="96"/>
      <c r="V403" s="99"/>
      <c r="W403" s="102"/>
      <c r="X403" s="96"/>
      <c r="Y403" s="96"/>
      <c r="Z403" s="96"/>
      <c r="AA403" s="99"/>
      <c r="AB403" s="133"/>
    </row>
    <row r="404" spans="1:28" ht="15.75" customHeight="1" x14ac:dyDescent="0.25">
      <c r="A404" s="141"/>
      <c r="B404" s="137"/>
      <c r="C404" s="94"/>
      <c r="D404" s="124"/>
      <c r="E404" s="124"/>
      <c r="F404" s="124"/>
      <c r="G404" s="127"/>
      <c r="H404" s="103"/>
      <c r="I404" s="97"/>
      <c r="J404" s="97"/>
      <c r="K404" s="97"/>
      <c r="L404" s="100"/>
      <c r="M404" s="112"/>
      <c r="N404" s="106"/>
      <c r="O404" s="106"/>
      <c r="P404" s="106"/>
      <c r="Q404" s="109"/>
      <c r="R404" s="103"/>
      <c r="S404" s="97"/>
      <c r="T404" s="97"/>
      <c r="U404" s="97"/>
      <c r="V404" s="100"/>
      <c r="W404" s="103"/>
      <c r="X404" s="97"/>
      <c r="Y404" s="97"/>
      <c r="Z404" s="97"/>
      <c r="AA404" s="100"/>
      <c r="AB404" s="134"/>
    </row>
    <row r="405" spans="1:28" ht="15.75" customHeight="1" thickBot="1" x14ac:dyDescent="0.3">
      <c r="A405" s="142"/>
      <c r="B405" s="138"/>
      <c r="C405" s="95"/>
      <c r="D405" s="125"/>
      <c r="E405" s="125"/>
      <c r="F405" s="125"/>
      <c r="G405" s="128"/>
      <c r="H405" s="104"/>
      <c r="I405" s="98"/>
      <c r="J405" s="98"/>
      <c r="K405" s="98"/>
      <c r="L405" s="101"/>
      <c r="M405" s="113"/>
      <c r="N405" s="107"/>
      <c r="O405" s="107"/>
      <c r="P405" s="107"/>
      <c r="Q405" s="110"/>
      <c r="R405" s="104"/>
      <c r="S405" s="98"/>
      <c r="T405" s="98"/>
      <c r="U405" s="98"/>
      <c r="V405" s="101"/>
      <c r="W405" s="104"/>
      <c r="X405" s="98"/>
      <c r="Y405" s="98"/>
      <c r="Z405" s="98"/>
      <c r="AA405" s="101"/>
      <c r="AB405" s="135"/>
    </row>
    <row r="406" spans="1:28" ht="15.75" customHeight="1" thickTop="1" thickBot="1" x14ac:dyDescent="0.3">
      <c r="A406" s="139">
        <f>ESCUADRAS!B83</f>
        <v>77</v>
      </c>
      <c r="B406" s="136">
        <f>ESCUADRAS!C82</f>
        <v>0</v>
      </c>
      <c r="C406" s="93"/>
      <c r="D406" s="123"/>
      <c r="E406" s="123"/>
      <c r="F406" s="123"/>
      <c r="G406" s="126"/>
      <c r="H406" s="111"/>
      <c r="I406" s="105"/>
      <c r="J406" s="105"/>
      <c r="K406" s="105"/>
      <c r="L406" s="108"/>
      <c r="M406" s="102"/>
      <c r="N406" s="96"/>
      <c r="O406" s="96"/>
      <c r="P406" s="96"/>
      <c r="Q406" s="99"/>
      <c r="R406" s="102"/>
      <c r="S406" s="96"/>
      <c r="T406" s="96"/>
      <c r="U406" s="96"/>
      <c r="V406" s="99"/>
      <c r="W406" s="102"/>
      <c r="X406" s="96"/>
      <c r="Y406" s="96"/>
      <c r="Z406" s="96"/>
      <c r="AA406" s="99"/>
      <c r="AB406" s="133"/>
    </row>
    <row r="407" spans="1:28" ht="15.75" customHeight="1" thickTop="1" thickBot="1" x14ac:dyDescent="0.3">
      <c r="A407" s="139"/>
      <c r="B407" s="137"/>
      <c r="C407" s="94"/>
      <c r="D407" s="124"/>
      <c r="E407" s="124"/>
      <c r="F407" s="124"/>
      <c r="G407" s="127"/>
      <c r="H407" s="112"/>
      <c r="I407" s="106"/>
      <c r="J407" s="106"/>
      <c r="K407" s="106"/>
      <c r="L407" s="109"/>
      <c r="M407" s="103"/>
      <c r="N407" s="97"/>
      <c r="O407" s="97"/>
      <c r="P407" s="97"/>
      <c r="Q407" s="100"/>
      <c r="R407" s="103"/>
      <c r="S407" s="97"/>
      <c r="T407" s="97"/>
      <c r="U407" s="97"/>
      <c r="V407" s="100"/>
      <c r="W407" s="103"/>
      <c r="X407" s="97"/>
      <c r="Y407" s="97"/>
      <c r="Z407" s="97"/>
      <c r="AA407" s="100"/>
      <c r="AB407" s="134"/>
    </row>
    <row r="408" spans="1:28" ht="15.75" customHeight="1" thickTop="1" thickBot="1" x14ac:dyDescent="0.3">
      <c r="A408" s="139"/>
      <c r="B408" s="138"/>
      <c r="C408" s="95"/>
      <c r="D408" s="125"/>
      <c r="E408" s="125"/>
      <c r="F408" s="125"/>
      <c r="G408" s="128"/>
      <c r="H408" s="113"/>
      <c r="I408" s="107"/>
      <c r="J408" s="107"/>
      <c r="K408" s="107"/>
      <c r="L408" s="110"/>
      <c r="M408" s="104"/>
      <c r="N408" s="98"/>
      <c r="O408" s="98"/>
      <c r="P408" s="98"/>
      <c r="Q408" s="101"/>
      <c r="R408" s="104"/>
      <c r="S408" s="98"/>
      <c r="T408" s="98"/>
      <c r="U408" s="98"/>
      <c r="V408" s="101"/>
      <c r="W408" s="104"/>
      <c r="X408" s="98"/>
      <c r="Y408" s="98"/>
      <c r="Z408" s="98"/>
      <c r="AA408" s="101"/>
      <c r="AB408" s="135"/>
    </row>
    <row r="409" spans="1:28" ht="15.75" customHeight="1" thickTop="1" x14ac:dyDescent="0.25">
      <c r="A409" s="140">
        <f>ESCUADRAS!B84</f>
        <v>78</v>
      </c>
      <c r="B409" s="136">
        <f>ESCUADRAS!C83</f>
        <v>0</v>
      </c>
      <c r="C409" s="111"/>
      <c r="D409" s="105"/>
      <c r="E409" s="105"/>
      <c r="F409" s="105"/>
      <c r="G409" s="108"/>
      <c r="H409" s="122"/>
      <c r="I409" s="120"/>
      <c r="J409" s="120"/>
      <c r="K409" s="120"/>
      <c r="L409" s="121"/>
      <c r="M409" s="122"/>
      <c r="N409" s="120"/>
      <c r="O409" s="120"/>
      <c r="P409" s="120"/>
      <c r="Q409" s="121"/>
      <c r="R409" s="122"/>
      <c r="S409" s="120"/>
      <c r="T409" s="120"/>
      <c r="U409" s="120"/>
      <c r="V409" s="121"/>
      <c r="W409" s="122"/>
      <c r="X409" s="120"/>
      <c r="Y409" s="120"/>
      <c r="Z409" s="120"/>
      <c r="AA409" s="121"/>
      <c r="AB409" s="133"/>
    </row>
    <row r="410" spans="1:28" ht="15.75" customHeight="1" x14ac:dyDescent="0.25">
      <c r="A410" s="141"/>
      <c r="B410" s="137"/>
      <c r="C410" s="112"/>
      <c r="D410" s="106"/>
      <c r="E410" s="106"/>
      <c r="F410" s="106"/>
      <c r="G410" s="109"/>
      <c r="H410" s="103"/>
      <c r="I410" s="97"/>
      <c r="J410" s="97"/>
      <c r="K410" s="97"/>
      <c r="L410" s="100"/>
      <c r="M410" s="103"/>
      <c r="N410" s="97"/>
      <c r="O410" s="97"/>
      <c r="P410" s="97"/>
      <c r="Q410" s="100"/>
      <c r="R410" s="103"/>
      <c r="S410" s="97"/>
      <c r="T410" s="97"/>
      <c r="U410" s="97"/>
      <c r="V410" s="100"/>
      <c r="W410" s="103"/>
      <c r="X410" s="97"/>
      <c r="Y410" s="97"/>
      <c r="Z410" s="97"/>
      <c r="AA410" s="100"/>
      <c r="AB410" s="134"/>
    </row>
    <row r="411" spans="1:28" ht="15.75" customHeight="1" thickBot="1" x14ac:dyDescent="0.3">
      <c r="A411" s="142"/>
      <c r="B411" s="138"/>
      <c r="C411" s="113"/>
      <c r="D411" s="107"/>
      <c r="E411" s="107"/>
      <c r="F411" s="107"/>
      <c r="G411" s="110"/>
      <c r="H411" s="104"/>
      <c r="I411" s="98"/>
      <c r="J411" s="98"/>
      <c r="K411" s="98"/>
      <c r="L411" s="101"/>
      <c r="M411" s="104"/>
      <c r="N411" s="98"/>
      <c r="O411" s="98"/>
      <c r="P411" s="98"/>
      <c r="Q411" s="101"/>
      <c r="R411" s="104"/>
      <c r="S411" s="98"/>
      <c r="T411" s="98"/>
      <c r="U411" s="98"/>
      <c r="V411" s="101"/>
      <c r="W411" s="104"/>
      <c r="X411" s="98"/>
      <c r="Y411" s="98"/>
      <c r="Z411" s="98"/>
      <c r="AA411" s="101"/>
      <c r="AB411" s="135"/>
    </row>
    <row r="412" spans="1:28" ht="15" x14ac:dyDescent="0.25">
      <c r="A412" s="28"/>
    </row>
    <row r="413" spans="1:28" ht="15" x14ac:dyDescent="0.25">
      <c r="A413" s="28"/>
      <c r="B413" s="26" t="s">
        <v>35</v>
      </c>
      <c r="E413" s="21" t="s">
        <v>41</v>
      </c>
      <c r="I413" s="21" t="s">
        <v>42</v>
      </c>
      <c r="M413" s="21" t="s">
        <v>43</v>
      </c>
      <c r="Q413" s="21" t="s">
        <v>44</v>
      </c>
      <c r="U413" s="21" t="s">
        <v>45</v>
      </c>
      <c r="Y413" s="21" t="s">
        <v>46</v>
      </c>
    </row>
    <row r="414" spans="1:28" ht="15" x14ac:dyDescent="0.25">
      <c r="A414" s="28"/>
    </row>
    <row r="418" spans="1:32" ht="24.6" x14ac:dyDescent="0.25">
      <c r="A418" s="144" t="str">
        <f>'INSCRIPCION '!A$1</f>
        <v>TIRADA</v>
      </c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</row>
    <row r="419" spans="1:32" ht="19.5" customHeight="1" x14ac:dyDescent="0.4">
      <c r="A419" s="23"/>
      <c r="B419" s="23"/>
    </row>
    <row r="420" spans="1:32" ht="22.5" customHeight="1" x14ac:dyDescent="0.25">
      <c r="A420" s="132" t="str">
        <f>'INSCRIPCION '!A$2</f>
        <v>CAMPO DE TIRO LA ISLA</v>
      </c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</row>
    <row r="421" spans="1:32" ht="19.5" customHeight="1" x14ac:dyDescent="0.25">
      <c r="A421" s="143" t="str">
        <f>'INSCRIPCION '!A$3</f>
        <v>XXX PLATOS</v>
      </c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</row>
    <row r="422" spans="1:32" ht="22.8" x14ac:dyDescent="0.4">
      <c r="A422" s="24"/>
      <c r="B422" s="24"/>
    </row>
    <row r="423" spans="1:32" ht="17.399999999999999" x14ac:dyDescent="0.3">
      <c r="A423" s="25" t="s">
        <v>22</v>
      </c>
      <c r="B423" s="25"/>
      <c r="J423" s="9" t="s">
        <v>6</v>
      </c>
      <c r="K423" s="9"/>
      <c r="L423" s="9"/>
      <c r="M423" s="9"/>
      <c r="N423" s="9"/>
      <c r="O423" s="22">
        <v>3</v>
      </c>
      <c r="P423" s="22"/>
      <c r="Q423" s="8"/>
      <c r="R423" s="8"/>
      <c r="S423" s="7"/>
      <c r="T423" s="8"/>
      <c r="U423" s="8"/>
      <c r="V423" s="9" t="s">
        <v>7</v>
      </c>
      <c r="W423" s="9"/>
      <c r="X423" s="9"/>
      <c r="Y423" s="9"/>
      <c r="Z423" s="22">
        <v>2</v>
      </c>
      <c r="AA423" s="22"/>
    </row>
    <row r="424" spans="1:32" ht="13.8" thickBot="1" x14ac:dyDescent="0.3"/>
    <row r="425" spans="1:32" ht="15.6" thickBot="1" x14ac:dyDescent="0.3">
      <c r="A425" s="27" t="s">
        <v>0</v>
      </c>
      <c r="B425" s="27" t="s">
        <v>8</v>
      </c>
      <c r="C425" s="47">
        <v>1</v>
      </c>
      <c r="D425" s="48">
        <v>2</v>
      </c>
      <c r="E425" s="48">
        <v>3</v>
      </c>
      <c r="F425" s="48">
        <v>4</v>
      </c>
      <c r="G425" s="49">
        <v>5</v>
      </c>
      <c r="H425" s="47">
        <v>6</v>
      </c>
      <c r="I425" s="48">
        <v>7</v>
      </c>
      <c r="J425" s="48">
        <v>8</v>
      </c>
      <c r="K425" s="48">
        <v>9</v>
      </c>
      <c r="L425" s="49">
        <v>10</v>
      </c>
      <c r="M425" s="47">
        <v>11</v>
      </c>
      <c r="N425" s="48">
        <v>12</v>
      </c>
      <c r="O425" s="48">
        <v>13</v>
      </c>
      <c r="P425" s="48">
        <v>14</v>
      </c>
      <c r="Q425" s="49">
        <v>15</v>
      </c>
      <c r="R425" s="47">
        <v>16</v>
      </c>
      <c r="S425" s="48">
        <v>17</v>
      </c>
      <c r="T425" s="48">
        <v>18</v>
      </c>
      <c r="U425" s="48">
        <v>19</v>
      </c>
      <c r="V425" s="49">
        <v>20</v>
      </c>
      <c r="W425" s="47">
        <v>21</v>
      </c>
      <c r="X425" s="48">
        <v>22</v>
      </c>
      <c r="Y425" s="48">
        <v>23</v>
      </c>
      <c r="Z425" s="48">
        <v>24</v>
      </c>
      <c r="AA425" s="49">
        <v>25</v>
      </c>
      <c r="AB425" s="30" t="s">
        <v>1</v>
      </c>
    </row>
    <row r="426" spans="1:32" ht="15.75" customHeight="1" thickTop="1" thickBot="1" x14ac:dyDescent="0.3">
      <c r="A426" s="139">
        <f>ESCUADRAS!B85</f>
        <v>79</v>
      </c>
      <c r="B426" s="136">
        <f>ESCUADRAS!C90</f>
        <v>0</v>
      </c>
      <c r="C426" s="129"/>
      <c r="D426" s="114"/>
      <c r="E426" s="114"/>
      <c r="F426" s="114"/>
      <c r="G426" s="117"/>
      <c r="H426" s="111"/>
      <c r="I426" s="105"/>
      <c r="J426" s="105"/>
      <c r="K426" s="105"/>
      <c r="L426" s="108"/>
      <c r="M426" s="111"/>
      <c r="N426" s="105"/>
      <c r="O426" s="105"/>
      <c r="P426" s="105"/>
      <c r="Q426" s="108"/>
      <c r="R426" s="111"/>
      <c r="S426" s="105"/>
      <c r="T426" s="105"/>
      <c r="U426" s="105"/>
      <c r="V426" s="108"/>
      <c r="W426" s="111"/>
      <c r="X426" s="105"/>
      <c r="Y426" s="105"/>
      <c r="Z426" s="105"/>
      <c r="AA426" s="108"/>
      <c r="AB426" s="133"/>
    </row>
    <row r="427" spans="1:32" ht="15.75" customHeight="1" thickTop="1" thickBot="1" x14ac:dyDescent="0.3">
      <c r="A427" s="139"/>
      <c r="B427" s="137"/>
      <c r="C427" s="130"/>
      <c r="D427" s="115"/>
      <c r="E427" s="115"/>
      <c r="F427" s="115"/>
      <c r="G427" s="118"/>
      <c r="H427" s="112"/>
      <c r="I427" s="106"/>
      <c r="J427" s="106"/>
      <c r="K427" s="106"/>
      <c r="L427" s="109"/>
      <c r="M427" s="112"/>
      <c r="N427" s="106"/>
      <c r="O427" s="106"/>
      <c r="P427" s="106"/>
      <c r="Q427" s="109"/>
      <c r="R427" s="112"/>
      <c r="S427" s="106"/>
      <c r="T427" s="106"/>
      <c r="U427" s="106"/>
      <c r="V427" s="109"/>
      <c r="W427" s="112"/>
      <c r="X427" s="106"/>
      <c r="Y427" s="106"/>
      <c r="Z427" s="106"/>
      <c r="AA427" s="109"/>
      <c r="AB427" s="134"/>
    </row>
    <row r="428" spans="1:32" ht="15.75" customHeight="1" thickTop="1" thickBot="1" x14ac:dyDescent="0.3">
      <c r="A428" s="139"/>
      <c r="B428" s="138"/>
      <c r="C428" s="131"/>
      <c r="D428" s="116"/>
      <c r="E428" s="116"/>
      <c r="F428" s="116"/>
      <c r="G428" s="119"/>
      <c r="H428" s="113"/>
      <c r="I428" s="107"/>
      <c r="J428" s="107"/>
      <c r="K428" s="107"/>
      <c r="L428" s="110"/>
      <c r="M428" s="113"/>
      <c r="N428" s="107"/>
      <c r="O428" s="107"/>
      <c r="P428" s="107"/>
      <c r="Q428" s="110"/>
      <c r="R428" s="113"/>
      <c r="S428" s="107"/>
      <c r="T428" s="107"/>
      <c r="U428" s="107"/>
      <c r="V428" s="110"/>
      <c r="W428" s="113"/>
      <c r="X428" s="107"/>
      <c r="Y428" s="107"/>
      <c r="Z428" s="107"/>
      <c r="AA428" s="110"/>
      <c r="AB428" s="135"/>
    </row>
    <row r="429" spans="1:32" ht="15.75" customHeight="1" thickTop="1" x14ac:dyDescent="0.25">
      <c r="A429" s="140">
        <f>ESCUADRAS!B86</f>
        <v>80</v>
      </c>
      <c r="B429" s="136">
        <f>ESCUADRAS!C85</f>
        <v>0</v>
      </c>
      <c r="C429" s="93"/>
      <c r="D429" s="123"/>
      <c r="E429" s="123"/>
      <c r="F429" s="123"/>
      <c r="G429" s="126"/>
      <c r="H429" s="102"/>
      <c r="I429" s="96"/>
      <c r="J429" s="96"/>
      <c r="K429" s="96"/>
      <c r="L429" s="99"/>
      <c r="M429" s="102"/>
      <c r="N429" s="96"/>
      <c r="O429" s="96"/>
      <c r="P429" s="96"/>
      <c r="Q429" s="99"/>
      <c r="R429" s="102"/>
      <c r="S429" s="96"/>
      <c r="T429" s="96"/>
      <c r="U429" s="96"/>
      <c r="V429" s="99"/>
      <c r="W429" s="111"/>
      <c r="X429" s="105"/>
      <c r="Y429" s="105"/>
      <c r="Z429" s="105"/>
      <c r="AA429" s="108"/>
      <c r="AB429" s="133"/>
    </row>
    <row r="430" spans="1:32" ht="15.75" customHeight="1" x14ac:dyDescent="0.25">
      <c r="A430" s="141"/>
      <c r="B430" s="137"/>
      <c r="C430" s="94"/>
      <c r="D430" s="124"/>
      <c r="E430" s="124"/>
      <c r="F430" s="124"/>
      <c r="G430" s="127"/>
      <c r="H430" s="103"/>
      <c r="I430" s="97"/>
      <c r="J430" s="97"/>
      <c r="K430" s="97"/>
      <c r="L430" s="100"/>
      <c r="M430" s="103"/>
      <c r="N430" s="97"/>
      <c r="O430" s="97"/>
      <c r="P430" s="97"/>
      <c r="Q430" s="100"/>
      <c r="R430" s="103"/>
      <c r="S430" s="97"/>
      <c r="T430" s="97"/>
      <c r="U430" s="97"/>
      <c r="V430" s="100"/>
      <c r="W430" s="112"/>
      <c r="X430" s="106"/>
      <c r="Y430" s="106"/>
      <c r="Z430" s="106"/>
      <c r="AA430" s="109"/>
      <c r="AB430" s="134"/>
    </row>
    <row r="431" spans="1:32" ht="15.75" customHeight="1" thickBot="1" x14ac:dyDescent="0.3">
      <c r="A431" s="142"/>
      <c r="B431" s="138"/>
      <c r="C431" s="95"/>
      <c r="D431" s="125"/>
      <c r="E431" s="125"/>
      <c r="F431" s="125"/>
      <c r="G431" s="128"/>
      <c r="H431" s="104"/>
      <c r="I431" s="98"/>
      <c r="J431" s="98"/>
      <c r="K431" s="98"/>
      <c r="L431" s="101"/>
      <c r="M431" s="104"/>
      <c r="N431" s="98"/>
      <c r="O431" s="98"/>
      <c r="P431" s="98"/>
      <c r="Q431" s="101"/>
      <c r="R431" s="104"/>
      <c r="S431" s="98"/>
      <c r="T431" s="98"/>
      <c r="U431" s="98"/>
      <c r="V431" s="101"/>
      <c r="W431" s="113"/>
      <c r="X431" s="107"/>
      <c r="Y431" s="107"/>
      <c r="Z431" s="107"/>
      <c r="AA431" s="110"/>
      <c r="AB431" s="135"/>
    </row>
    <row r="432" spans="1:32" ht="15.75" customHeight="1" thickTop="1" thickBot="1" x14ac:dyDescent="0.3">
      <c r="A432" s="139">
        <f>ESCUADRAS!B87</f>
        <v>81</v>
      </c>
      <c r="B432" s="136">
        <f>ESCUADRAS!C86</f>
        <v>0</v>
      </c>
      <c r="C432" s="93"/>
      <c r="D432" s="123"/>
      <c r="E432" s="123"/>
      <c r="F432" s="123"/>
      <c r="G432" s="126"/>
      <c r="H432" s="102"/>
      <c r="I432" s="96"/>
      <c r="J432" s="96"/>
      <c r="K432" s="96"/>
      <c r="L432" s="99"/>
      <c r="M432" s="102"/>
      <c r="N432" s="96"/>
      <c r="O432" s="96"/>
      <c r="P432" s="96"/>
      <c r="Q432" s="99"/>
      <c r="R432" s="111"/>
      <c r="S432" s="105"/>
      <c r="T432" s="105"/>
      <c r="U432" s="105"/>
      <c r="V432" s="108"/>
      <c r="W432" s="102"/>
      <c r="X432" s="96"/>
      <c r="Y432" s="96"/>
      <c r="Z432" s="96"/>
      <c r="AA432" s="99"/>
      <c r="AB432" s="133"/>
    </row>
    <row r="433" spans="1:28" ht="15.75" customHeight="1" thickTop="1" thickBot="1" x14ac:dyDescent="0.3">
      <c r="A433" s="139"/>
      <c r="B433" s="137"/>
      <c r="C433" s="94"/>
      <c r="D433" s="124"/>
      <c r="E433" s="124"/>
      <c r="F433" s="124"/>
      <c r="G433" s="127"/>
      <c r="H433" s="103"/>
      <c r="I433" s="97"/>
      <c r="J433" s="97"/>
      <c r="K433" s="97"/>
      <c r="L433" s="100"/>
      <c r="M433" s="103"/>
      <c r="N433" s="97"/>
      <c r="O433" s="97"/>
      <c r="P433" s="97"/>
      <c r="Q433" s="100"/>
      <c r="R433" s="112"/>
      <c r="S433" s="106"/>
      <c r="T433" s="106"/>
      <c r="U433" s="106"/>
      <c r="V433" s="109"/>
      <c r="W433" s="103"/>
      <c r="X433" s="97"/>
      <c r="Y433" s="97"/>
      <c r="Z433" s="97"/>
      <c r="AA433" s="100"/>
      <c r="AB433" s="134"/>
    </row>
    <row r="434" spans="1:28" ht="15.75" customHeight="1" thickTop="1" thickBot="1" x14ac:dyDescent="0.3">
      <c r="A434" s="139"/>
      <c r="B434" s="138"/>
      <c r="C434" s="95"/>
      <c r="D434" s="125"/>
      <c r="E434" s="125"/>
      <c r="F434" s="125"/>
      <c r="G434" s="128"/>
      <c r="H434" s="104"/>
      <c r="I434" s="98"/>
      <c r="J434" s="98"/>
      <c r="K434" s="98"/>
      <c r="L434" s="101"/>
      <c r="M434" s="104"/>
      <c r="N434" s="98"/>
      <c r="O434" s="98"/>
      <c r="P434" s="98"/>
      <c r="Q434" s="101"/>
      <c r="R434" s="113"/>
      <c r="S434" s="107"/>
      <c r="T434" s="107"/>
      <c r="U434" s="107"/>
      <c r="V434" s="110"/>
      <c r="W434" s="104"/>
      <c r="X434" s="98"/>
      <c r="Y434" s="98"/>
      <c r="Z434" s="98"/>
      <c r="AA434" s="101"/>
      <c r="AB434" s="135"/>
    </row>
    <row r="435" spans="1:28" ht="15.75" customHeight="1" thickTop="1" x14ac:dyDescent="0.25">
      <c r="A435" s="140">
        <f>ESCUADRAS!B88</f>
        <v>82</v>
      </c>
      <c r="B435" s="136">
        <f>ESCUADRAS!C87</f>
        <v>0</v>
      </c>
      <c r="C435" s="93"/>
      <c r="D435" s="123"/>
      <c r="E435" s="123"/>
      <c r="F435" s="123"/>
      <c r="G435" s="126"/>
      <c r="H435" s="102"/>
      <c r="I435" s="96"/>
      <c r="J435" s="96"/>
      <c r="K435" s="96"/>
      <c r="L435" s="99"/>
      <c r="M435" s="111"/>
      <c r="N435" s="105"/>
      <c r="O435" s="105"/>
      <c r="P435" s="105"/>
      <c r="Q435" s="108"/>
      <c r="R435" s="102"/>
      <c r="S435" s="96"/>
      <c r="T435" s="96"/>
      <c r="U435" s="96"/>
      <c r="V435" s="99"/>
      <c r="W435" s="102"/>
      <c r="X435" s="96"/>
      <c r="Y435" s="96"/>
      <c r="Z435" s="96"/>
      <c r="AA435" s="99"/>
      <c r="AB435" s="133"/>
    </row>
    <row r="436" spans="1:28" ht="15.75" customHeight="1" x14ac:dyDescent="0.25">
      <c r="A436" s="141"/>
      <c r="B436" s="137"/>
      <c r="C436" s="94"/>
      <c r="D436" s="124"/>
      <c r="E436" s="124"/>
      <c r="F436" s="124"/>
      <c r="G436" s="127"/>
      <c r="H436" s="103"/>
      <c r="I436" s="97"/>
      <c r="J436" s="97"/>
      <c r="K436" s="97"/>
      <c r="L436" s="100"/>
      <c r="M436" s="112"/>
      <c r="N436" s="106"/>
      <c r="O436" s="106"/>
      <c r="P436" s="106"/>
      <c r="Q436" s="109"/>
      <c r="R436" s="103"/>
      <c r="S436" s="97"/>
      <c r="T436" s="97"/>
      <c r="U436" s="97"/>
      <c r="V436" s="100"/>
      <c r="W436" s="103"/>
      <c r="X436" s="97"/>
      <c r="Y436" s="97"/>
      <c r="Z436" s="97"/>
      <c r="AA436" s="100"/>
      <c r="AB436" s="134"/>
    </row>
    <row r="437" spans="1:28" ht="15.75" customHeight="1" thickBot="1" x14ac:dyDescent="0.3">
      <c r="A437" s="142"/>
      <c r="B437" s="138"/>
      <c r="C437" s="95"/>
      <c r="D437" s="125"/>
      <c r="E437" s="125"/>
      <c r="F437" s="125"/>
      <c r="G437" s="128"/>
      <c r="H437" s="104"/>
      <c r="I437" s="98"/>
      <c r="J437" s="98"/>
      <c r="K437" s="98"/>
      <c r="L437" s="101"/>
      <c r="M437" s="113"/>
      <c r="N437" s="107"/>
      <c r="O437" s="107"/>
      <c r="P437" s="107"/>
      <c r="Q437" s="110"/>
      <c r="R437" s="104"/>
      <c r="S437" s="98"/>
      <c r="T437" s="98"/>
      <c r="U437" s="98"/>
      <c r="V437" s="101"/>
      <c r="W437" s="104"/>
      <c r="X437" s="98"/>
      <c r="Y437" s="98"/>
      <c r="Z437" s="98"/>
      <c r="AA437" s="101"/>
      <c r="AB437" s="135"/>
    </row>
    <row r="438" spans="1:28" ht="15.75" customHeight="1" thickTop="1" thickBot="1" x14ac:dyDescent="0.3">
      <c r="A438" s="139">
        <f>ESCUADRAS!B89</f>
        <v>83</v>
      </c>
      <c r="B438" s="136">
        <f>ESCUADRAS!C88</f>
        <v>0</v>
      </c>
      <c r="C438" s="93"/>
      <c r="D438" s="123"/>
      <c r="E438" s="123"/>
      <c r="F438" s="123"/>
      <c r="G438" s="126"/>
      <c r="H438" s="111"/>
      <c r="I438" s="105"/>
      <c r="J438" s="105"/>
      <c r="K438" s="105"/>
      <c r="L438" s="108"/>
      <c r="M438" s="102"/>
      <c r="N438" s="96"/>
      <c r="O438" s="96"/>
      <c r="P438" s="96"/>
      <c r="Q438" s="99"/>
      <c r="R438" s="102"/>
      <c r="S438" s="96"/>
      <c r="T438" s="96"/>
      <c r="U438" s="96"/>
      <c r="V438" s="99"/>
      <c r="W438" s="102"/>
      <c r="X438" s="96"/>
      <c r="Y438" s="96"/>
      <c r="Z438" s="96"/>
      <c r="AA438" s="99"/>
      <c r="AB438" s="133"/>
    </row>
    <row r="439" spans="1:28" ht="15.75" customHeight="1" thickTop="1" thickBot="1" x14ac:dyDescent="0.3">
      <c r="A439" s="139"/>
      <c r="B439" s="137"/>
      <c r="C439" s="94"/>
      <c r="D439" s="124"/>
      <c r="E439" s="124"/>
      <c r="F439" s="124"/>
      <c r="G439" s="127"/>
      <c r="H439" s="112"/>
      <c r="I439" s="106"/>
      <c r="J439" s="106"/>
      <c r="K439" s="106"/>
      <c r="L439" s="109"/>
      <c r="M439" s="103"/>
      <c r="N439" s="97"/>
      <c r="O439" s="97"/>
      <c r="P439" s="97"/>
      <c r="Q439" s="100"/>
      <c r="R439" s="103"/>
      <c r="S439" s="97"/>
      <c r="T439" s="97"/>
      <c r="U439" s="97"/>
      <c r="V439" s="100"/>
      <c r="W439" s="103"/>
      <c r="X439" s="97"/>
      <c r="Y439" s="97"/>
      <c r="Z439" s="97"/>
      <c r="AA439" s="100"/>
      <c r="AB439" s="134"/>
    </row>
    <row r="440" spans="1:28" ht="15.75" customHeight="1" thickTop="1" thickBot="1" x14ac:dyDescent="0.3">
      <c r="A440" s="139"/>
      <c r="B440" s="138"/>
      <c r="C440" s="95"/>
      <c r="D440" s="125"/>
      <c r="E440" s="125"/>
      <c r="F440" s="125"/>
      <c r="G440" s="128"/>
      <c r="H440" s="113"/>
      <c r="I440" s="107"/>
      <c r="J440" s="107"/>
      <c r="K440" s="107"/>
      <c r="L440" s="110"/>
      <c r="M440" s="104"/>
      <c r="N440" s="98"/>
      <c r="O440" s="98"/>
      <c r="P440" s="98"/>
      <c r="Q440" s="101"/>
      <c r="R440" s="104"/>
      <c r="S440" s="98"/>
      <c r="T440" s="98"/>
      <c r="U440" s="98"/>
      <c r="V440" s="101"/>
      <c r="W440" s="104"/>
      <c r="X440" s="98"/>
      <c r="Y440" s="98"/>
      <c r="Z440" s="98"/>
      <c r="AA440" s="101"/>
      <c r="AB440" s="135"/>
    </row>
    <row r="441" spans="1:28" ht="15.75" customHeight="1" thickTop="1" x14ac:dyDescent="0.25">
      <c r="A441" s="140">
        <f>ESCUADRAS!B90</f>
        <v>84</v>
      </c>
      <c r="B441" s="136">
        <f>ESCUADRAS!C89</f>
        <v>0</v>
      </c>
      <c r="C441" s="111"/>
      <c r="D441" s="105"/>
      <c r="E441" s="105"/>
      <c r="F441" s="105"/>
      <c r="G441" s="108"/>
      <c r="H441" s="122"/>
      <c r="I441" s="120"/>
      <c r="J441" s="120"/>
      <c r="K441" s="120"/>
      <c r="L441" s="121"/>
      <c r="M441" s="122"/>
      <c r="N441" s="120"/>
      <c r="O441" s="120"/>
      <c r="P441" s="120"/>
      <c r="Q441" s="121"/>
      <c r="R441" s="122"/>
      <c r="S441" s="120"/>
      <c r="T441" s="120"/>
      <c r="U441" s="120"/>
      <c r="V441" s="121"/>
      <c r="W441" s="122"/>
      <c r="X441" s="120"/>
      <c r="Y441" s="120"/>
      <c r="Z441" s="120"/>
      <c r="AA441" s="121"/>
      <c r="AB441" s="133"/>
    </row>
    <row r="442" spans="1:28" ht="15.75" customHeight="1" x14ac:dyDescent="0.25">
      <c r="A442" s="141"/>
      <c r="B442" s="137"/>
      <c r="C442" s="112"/>
      <c r="D442" s="106"/>
      <c r="E442" s="106"/>
      <c r="F442" s="106"/>
      <c r="G442" s="109"/>
      <c r="H442" s="103"/>
      <c r="I442" s="97"/>
      <c r="J442" s="97"/>
      <c r="K442" s="97"/>
      <c r="L442" s="100"/>
      <c r="M442" s="103"/>
      <c r="N442" s="97"/>
      <c r="O442" s="97"/>
      <c r="P442" s="97"/>
      <c r="Q442" s="100"/>
      <c r="R442" s="103"/>
      <c r="S442" s="97"/>
      <c r="T442" s="97"/>
      <c r="U442" s="97"/>
      <c r="V442" s="100"/>
      <c r="W442" s="103"/>
      <c r="X442" s="97"/>
      <c r="Y442" s="97"/>
      <c r="Z442" s="97"/>
      <c r="AA442" s="100"/>
      <c r="AB442" s="134"/>
    </row>
    <row r="443" spans="1:28" ht="15.75" customHeight="1" thickBot="1" x14ac:dyDescent="0.3">
      <c r="A443" s="142"/>
      <c r="B443" s="138"/>
      <c r="C443" s="113"/>
      <c r="D443" s="107"/>
      <c r="E443" s="107"/>
      <c r="F443" s="107"/>
      <c r="G443" s="110"/>
      <c r="H443" s="104"/>
      <c r="I443" s="98"/>
      <c r="J443" s="98"/>
      <c r="K443" s="98"/>
      <c r="L443" s="101"/>
      <c r="M443" s="104"/>
      <c r="N443" s="98"/>
      <c r="O443" s="98"/>
      <c r="P443" s="98"/>
      <c r="Q443" s="101"/>
      <c r="R443" s="104"/>
      <c r="S443" s="98"/>
      <c r="T443" s="98"/>
      <c r="U443" s="98"/>
      <c r="V443" s="101"/>
      <c r="W443" s="104"/>
      <c r="X443" s="98"/>
      <c r="Y443" s="98"/>
      <c r="Z443" s="98"/>
      <c r="AA443" s="101"/>
      <c r="AB443" s="135"/>
    </row>
    <row r="444" spans="1:28" ht="15" x14ac:dyDescent="0.25">
      <c r="A444" s="28"/>
    </row>
    <row r="445" spans="1:28" ht="15" x14ac:dyDescent="0.25">
      <c r="A445" s="28"/>
      <c r="B445" s="26" t="s">
        <v>35</v>
      </c>
      <c r="E445" s="21" t="s">
        <v>41</v>
      </c>
      <c r="I445" s="21" t="s">
        <v>42</v>
      </c>
      <c r="M445" s="21" t="s">
        <v>43</v>
      </c>
      <c r="Q445" s="21" t="s">
        <v>44</v>
      </c>
      <c r="U445" s="21" t="s">
        <v>45</v>
      </c>
      <c r="Y445" s="21" t="s">
        <v>46</v>
      </c>
    </row>
    <row r="450" spans="1:32" ht="24.6" x14ac:dyDescent="0.25">
      <c r="A450" s="144" t="str">
        <f>'INSCRIPCION '!A$1</f>
        <v>TIRADA</v>
      </c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</row>
    <row r="451" spans="1:32" ht="19.5" customHeight="1" x14ac:dyDescent="0.4">
      <c r="A451" s="23"/>
      <c r="B451" s="23"/>
    </row>
    <row r="452" spans="1:32" ht="22.5" customHeight="1" x14ac:dyDescent="0.25">
      <c r="A452" s="132" t="str">
        <f>'INSCRIPCION '!A$2</f>
        <v>CAMPO DE TIRO LA ISLA</v>
      </c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</row>
    <row r="453" spans="1:32" ht="19.5" customHeight="1" x14ac:dyDescent="0.25">
      <c r="A453" s="143" t="str">
        <f>'INSCRIPCION '!A$3</f>
        <v>XXX PLATOS</v>
      </c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</row>
    <row r="454" spans="1:32" ht="22.8" x14ac:dyDescent="0.4">
      <c r="A454" s="24"/>
      <c r="B454" s="24"/>
    </row>
    <row r="455" spans="1:32" ht="17.399999999999999" x14ac:dyDescent="0.3">
      <c r="A455" s="25" t="s">
        <v>24</v>
      </c>
      <c r="B455" s="25"/>
      <c r="J455" s="9" t="s">
        <v>6</v>
      </c>
      <c r="K455" s="9"/>
      <c r="L455" s="9"/>
      <c r="M455" s="9"/>
      <c r="N455" s="9"/>
      <c r="O455" s="22">
        <v>4</v>
      </c>
      <c r="P455" s="22"/>
      <c r="Q455" s="8"/>
      <c r="R455" s="8"/>
      <c r="S455" s="7"/>
      <c r="T455" s="8"/>
      <c r="U455" s="8"/>
      <c r="V455" s="9" t="s">
        <v>7</v>
      </c>
      <c r="W455" s="9"/>
      <c r="X455" s="9"/>
      <c r="Y455" s="9"/>
      <c r="Z455" s="22">
        <v>2</v>
      </c>
      <c r="AA455" s="22"/>
    </row>
    <row r="456" spans="1:32" ht="13.8" thickBot="1" x14ac:dyDescent="0.3"/>
    <row r="457" spans="1:32" ht="15.6" thickBot="1" x14ac:dyDescent="0.3">
      <c r="A457" s="27" t="s">
        <v>0</v>
      </c>
      <c r="B457" s="27" t="s">
        <v>8</v>
      </c>
      <c r="C457" s="47">
        <v>1</v>
      </c>
      <c r="D457" s="48">
        <v>2</v>
      </c>
      <c r="E457" s="48">
        <v>3</v>
      </c>
      <c r="F457" s="48">
        <v>4</v>
      </c>
      <c r="G457" s="49">
        <v>5</v>
      </c>
      <c r="H457" s="47">
        <v>6</v>
      </c>
      <c r="I457" s="48">
        <v>7</v>
      </c>
      <c r="J457" s="48">
        <v>8</v>
      </c>
      <c r="K457" s="48">
        <v>9</v>
      </c>
      <c r="L457" s="49">
        <v>10</v>
      </c>
      <c r="M457" s="47">
        <v>11</v>
      </c>
      <c r="N457" s="48">
        <v>12</v>
      </c>
      <c r="O457" s="48">
        <v>13</v>
      </c>
      <c r="P457" s="48">
        <v>14</v>
      </c>
      <c r="Q457" s="49">
        <v>15</v>
      </c>
      <c r="R457" s="47">
        <v>16</v>
      </c>
      <c r="S457" s="48">
        <v>17</v>
      </c>
      <c r="T457" s="48">
        <v>18</v>
      </c>
      <c r="U457" s="48">
        <v>19</v>
      </c>
      <c r="V457" s="49">
        <v>20</v>
      </c>
      <c r="W457" s="47">
        <v>21</v>
      </c>
      <c r="X457" s="48">
        <v>22</v>
      </c>
      <c r="Y457" s="48">
        <v>23</v>
      </c>
      <c r="Z457" s="48">
        <v>24</v>
      </c>
      <c r="AA457" s="49">
        <v>25</v>
      </c>
      <c r="AB457" s="30" t="s">
        <v>1</v>
      </c>
    </row>
    <row r="458" spans="1:32" ht="15.75" customHeight="1" thickTop="1" thickBot="1" x14ac:dyDescent="0.3">
      <c r="A458" s="139">
        <f>ESCUADRAS!B91</f>
        <v>85</v>
      </c>
      <c r="B458" s="136">
        <f>ESCUADRAS!C96</f>
        <v>0</v>
      </c>
      <c r="C458" s="129"/>
      <c r="D458" s="114"/>
      <c r="E458" s="114"/>
      <c r="F458" s="114"/>
      <c r="G458" s="117"/>
      <c r="H458" s="111"/>
      <c r="I458" s="105"/>
      <c r="J458" s="105"/>
      <c r="K458" s="105"/>
      <c r="L458" s="108"/>
      <c r="M458" s="111"/>
      <c r="N458" s="105"/>
      <c r="O458" s="105"/>
      <c r="P458" s="105"/>
      <c r="Q458" s="108"/>
      <c r="R458" s="111"/>
      <c r="S458" s="105"/>
      <c r="T458" s="105"/>
      <c r="U458" s="105"/>
      <c r="V458" s="108"/>
      <c r="W458" s="111"/>
      <c r="X458" s="105"/>
      <c r="Y458" s="105"/>
      <c r="Z458" s="105"/>
      <c r="AA458" s="108"/>
      <c r="AB458" s="133"/>
    </row>
    <row r="459" spans="1:32" ht="15.75" customHeight="1" thickTop="1" thickBot="1" x14ac:dyDescent="0.3">
      <c r="A459" s="139"/>
      <c r="B459" s="137"/>
      <c r="C459" s="130"/>
      <c r="D459" s="115"/>
      <c r="E459" s="115"/>
      <c r="F459" s="115"/>
      <c r="G459" s="118"/>
      <c r="H459" s="112"/>
      <c r="I459" s="106"/>
      <c r="J459" s="106"/>
      <c r="K459" s="106"/>
      <c r="L459" s="109"/>
      <c r="M459" s="112"/>
      <c r="N459" s="106"/>
      <c r="O459" s="106"/>
      <c r="P459" s="106"/>
      <c r="Q459" s="109"/>
      <c r="R459" s="112"/>
      <c r="S459" s="106"/>
      <c r="T459" s="106"/>
      <c r="U459" s="106"/>
      <c r="V459" s="109"/>
      <c r="W459" s="112"/>
      <c r="X459" s="106"/>
      <c r="Y459" s="106"/>
      <c r="Z459" s="106"/>
      <c r="AA459" s="109"/>
      <c r="AB459" s="134"/>
    </row>
    <row r="460" spans="1:32" ht="15.75" customHeight="1" thickTop="1" thickBot="1" x14ac:dyDescent="0.3">
      <c r="A460" s="139"/>
      <c r="B460" s="138"/>
      <c r="C460" s="131"/>
      <c r="D460" s="116"/>
      <c r="E460" s="116"/>
      <c r="F460" s="116"/>
      <c r="G460" s="119"/>
      <c r="H460" s="113"/>
      <c r="I460" s="107"/>
      <c r="J460" s="107"/>
      <c r="K460" s="107"/>
      <c r="L460" s="110"/>
      <c r="M460" s="113"/>
      <c r="N460" s="107"/>
      <c r="O460" s="107"/>
      <c r="P460" s="107"/>
      <c r="Q460" s="110"/>
      <c r="R460" s="113"/>
      <c r="S460" s="107"/>
      <c r="T460" s="107"/>
      <c r="U460" s="107"/>
      <c r="V460" s="110"/>
      <c r="W460" s="113"/>
      <c r="X460" s="107"/>
      <c r="Y460" s="107"/>
      <c r="Z460" s="107"/>
      <c r="AA460" s="110"/>
      <c r="AB460" s="135"/>
    </row>
    <row r="461" spans="1:32" ht="15.75" customHeight="1" thickTop="1" x14ac:dyDescent="0.25">
      <c r="A461" s="140">
        <f>ESCUADRAS!B92</f>
        <v>86</v>
      </c>
      <c r="B461" s="136">
        <f>ESCUADRAS!C91</f>
        <v>0</v>
      </c>
      <c r="C461" s="93"/>
      <c r="D461" s="123"/>
      <c r="E461" s="123"/>
      <c r="F461" s="123"/>
      <c r="G461" s="126"/>
      <c r="H461" s="102"/>
      <c r="I461" s="96"/>
      <c r="J461" s="96"/>
      <c r="K461" s="96"/>
      <c r="L461" s="99"/>
      <c r="M461" s="102"/>
      <c r="N461" s="96"/>
      <c r="O461" s="96"/>
      <c r="P461" s="96"/>
      <c r="Q461" s="99"/>
      <c r="R461" s="102"/>
      <c r="S461" s="96"/>
      <c r="T461" s="96"/>
      <c r="U461" s="96"/>
      <c r="V461" s="99"/>
      <c r="W461" s="111"/>
      <c r="X461" s="105"/>
      <c r="Y461" s="105"/>
      <c r="Z461" s="105"/>
      <c r="AA461" s="108"/>
      <c r="AB461" s="133"/>
    </row>
    <row r="462" spans="1:32" ht="15.75" customHeight="1" x14ac:dyDescent="0.25">
      <c r="A462" s="141"/>
      <c r="B462" s="137"/>
      <c r="C462" s="94"/>
      <c r="D462" s="124"/>
      <c r="E462" s="124"/>
      <c r="F462" s="124"/>
      <c r="G462" s="127"/>
      <c r="H462" s="103"/>
      <c r="I462" s="97"/>
      <c r="J462" s="97"/>
      <c r="K462" s="97"/>
      <c r="L462" s="100"/>
      <c r="M462" s="103"/>
      <c r="N462" s="97"/>
      <c r="O462" s="97"/>
      <c r="P462" s="97"/>
      <c r="Q462" s="100"/>
      <c r="R462" s="103"/>
      <c r="S462" s="97"/>
      <c r="T462" s="97"/>
      <c r="U462" s="97"/>
      <c r="V462" s="100"/>
      <c r="W462" s="112"/>
      <c r="X462" s="106"/>
      <c r="Y462" s="106"/>
      <c r="Z462" s="106"/>
      <c r="AA462" s="109"/>
      <c r="AB462" s="134"/>
    </row>
    <row r="463" spans="1:32" ht="15.75" customHeight="1" thickBot="1" x14ac:dyDescent="0.3">
      <c r="A463" s="142"/>
      <c r="B463" s="138"/>
      <c r="C463" s="95"/>
      <c r="D463" s="125"/>
      <c r="E463" s="125"/>
      <c r="F463" s="125"/>
      <c r="G463" s="128"/>
      <c r="H463" s="104"/>
      <c r="I463" s="98"/>
      <c r="J463" s="98"/>
      <c r="K463" s="98"/>
      <c r="L463" s="101"/>
      <c r="M463" s="104"/>
      <c r="N463" s="98"/>
      <c r="O463" s="98"/>
      <c r="P463" s="98"/>
      <c r="Q463" s="101"/>
      <c r="R463" s="104"/>
      <c r="S463" s="98"/>
      <c r="T463" s="98"/>
      <c r="U463" s="98"/>
      <c r="V463" s="101"/>
      <c r="W463" s="113"/>
      <c r="X463" s="107"/>
      <c r="Y463" s="107"/>
      <c r="Z463" s="107"/>
      <c r="AA463" s="110"/>
      <c r="AB463" s="135"/>
    </row>
    <row r="464" spans="1:32" ht="15.75" customHeight="1" thickTop="1" thickBot="1" x14ac:dyDescent="0.3">
      <c r="A464" s="139">
        <f>ESCUADRAS!B93</f>
        <v>87</v>
      </c>
      <c r="B464" s="136">
        <f>ESCUADRAS!C92</f>
        <v>0</v>
      </c>
      <c r="C464" s="93"/>
      <c r="D464" s="123"/>
      <c r="E464" s="123"/>
      <c r="F464" s="123"/>
      <c r="G464" s="126"/>
      <c r="H464" s="102"/>
      <c r="I464" s="96"/>
      <c r="J464" s="96"/>
      <c r="K464" s="96"/>
      <c r="L464" s="99"/>
      <c r="M464" s="102"/>
      <c r="N464" s="96"/>
      <c r="O464" s="96"/>
      <c r="P464" s="96"/>
      <c r="Q464" s="99"/>
      <c r="R464" s="111"/>
      <c r="S464" s="105"/>
      <c r="T464" s="105"/>
      <c r="U464" s="105"/>
      <c r="V464" s="108"/>
      <c r="W464" s="102"/>
      <c r="X464" s="96"/>
      <c r="Y464" s="96"/>
      <c r="Z464" s="96"/>
      <c r="AA464" s="99"/>
      <c r="AB464" s="133"/>
    </row>
    <row r="465" spans="1:28" ht="15.75" customHeight="1" thickTop="1" thickBot="1" x14ac:dyDescent="0.3">
      <c r="A465" s="139"/>
      <c r="B465" s="137"/>
      <c r="C465" s="94"/>
      <c r="D465" s="124"/>
      <c r="E465" s="124"/>
      <c r="F465" s="124"/>
      <c r="G465" s="127"/>
      <c r="H465" s="103"/>
      <c r="I465" s="97"/>
      <c r="J465" s="97"/>
      <c r="K465" s="97"/>
      <c r="L465" s="100"/>
      <c r="M465" s="103"/>
      <c r="N465" s="97"/>
      <c r="O465" s="97"/>
      <c r="P465" s="97"/>
      <c r="Q465" s="100"/>
      <c r="R465" s="112"/>
      <c r="S465" s="106"/>
      <c r="T465" s="106"/>
      <c r="U465" s="106"/>
      <c r="V465" s="109"/>
      <c r="W465" s="103"/>
      <c r="X465" s="97"/>
      <c r="Y465" s="97"/>
      <c r="Z465" s="97"/>
      <c r="AA465" s="100"/>
      <c r="AB465" s="134"/>
    </row>
    <row r="466" spans="1:28" ht="15.75" customHeight="1" thickTop="1" thickBot="1" x14ac:dyDescent="0.3">
      <c r="A466" s="139"/>
      <c r="B466" s="138"/>
      <c r="C466" s="95"/>
      <c r="D466" s="125"/>
      <c r="E466" s="125"/>
      <c r="F466" s="125"/>
      <c r="G466" s="128"/>
      <c r="H466" s="104"/>
      <c r="I466" s="98"/>
      <c r="J466" s="98"/>
      <c r="K466" s="98"/>
      <c r="L466" s="101"/>
      <c r="M466" s="104"/>
      <c r="N466" s="98"/>
      <c r="O466" s="98"/>
      <c r="P466" s="98"/>
      <c r="Q466" s="101"/>
      <c r="R466" s="113"/>
      <c r="S466" s="107"/>
      <c r="T466" s="107"/>
      <c r="U466" s="107"/>
      <c r="V466" s="110"/>
      <c r="W466" s="104"/>
      <c r="X466" s="98"/>
      <c r="Y466" s="98"/>
      <c r="Z466" s="98"/>
      <c r="AA466" s="101"/>
      <c r="AB466" s="135"/>
    </row>
    <row r="467" spans="1:28" ht="15.75" customHeight="1" thickTop="1" x14ac:dyDescent="0.25">
      <c r="A467" s="140">
        <f>ESCUADRAS!B94</f>
        <v>88</v>
      </c>
      <c r="B467" s="136">
        <f>ESCUADRAS!C93</f>
        <v>0</v>
      </c>
      <c r="C467" s="93"/>
      <c r="D467" s="123"/>
      <c r="E467" s="123"/>
      <c r="F467" s="123"/>
      <c r="G467" s="126"/>
      <c r="H467" s="102"/>
      <c r="I467" s="96"/>
      <c r="J467" s="96"/>
      <c r="K467" s="96"/>
      <c r="L467" s="99"/>
      <c r="M467" s="111"/>
      <c r="N467" s="105"/>
      <c r="O467" s="105"/>
      <c r="P467" s="105"/>
      <c r="Q467" s="108"/>
      <c r="R467" s="102"/>
      <c r="S467" s="96"/>
      <c r="T467" s="96"/>
      <c r="U467" s="96"/>
      <c r="V467" s="99"/>
      <c r="W467" s="102"/>
      <c r="X467" s="96"/>
      <c r="Y467" s="96"/>
      <c r="Z467" s="96"/>
      <c r="AA467" s="99"/>
      <c r="AB467" s="133"/>
    </row>
    <row r="468" spans="1:28" ht="15.75" customHeight="1" x14ac:dyDescent="0.25">
      <c r="A468" s="141"/>
      <c r="B468" s="137"/>
      <c r="C468" s="94"/>
      <c r="D468" s="124"/>
      <c r="E468" s="124"/>
      <c r="F468" s="124"/>
      <c r="G468" s="127"/>
      <c r="H468" s="103"/>
      <c r="I468" s="97"/>
      <c r="J468" s="97"/>
      <c r="K468" s="97"/>
      <c r="L468" s="100"/>
      <c r="M468" s="112"/>
      <c r="N468" s="106"/>
      <c r="O468" s="106"/>
      <c r="P468" s="106"/>
      <c r="Q468" s="109"/>
      <c r="R468" s="103"/>
      <c r="S468" s="97"/>
      <c r="T468" s="97"/>
      <c r="U468" s="97"/>
      <c r="V468" s="100"/>
      <c r="W468" s="103"/>
      <c r="X468" s="97"/>
      <c r="Y468" s="97"/>
      <c r="Z468" s="97"/>
      <c r="AA468" s="100"/>
      <c r="AB468" s="134"/>
    </row>
    <row r="469" spans="1:28" ht="15.75" customHeight="1" thickBot="1" x14ac:dyDescent="0.3">
      <c r="A469" s="142"/>
      <c r="B469" s="138"/>
      <c r="C469" s="95"/>
      <c r="D469" s="125"/>
      <c r="E469" s="125"/>
      <c r="F469" s="125"/>
      <c r="G469" s="128"/>
      <c r="H469" s="104"/>
      <c r="I469" s="98"/>
      <c r="J469" s="98"/>
      <c r="K469" s="98"/>
      <c r="L469" s="101"/>
      <c r="M469" s="113"/>
      <c r="N469" s="107"/>
      <c r="O469" s="107"/>
      <c r="P469" s="107"/>
      <c r="Q469" s="110"/>
      <c r="R469" s="104"/>
      <c r="S469" s="98"/>
      <c r="T469" s="98"/>
      <c r="U469" s="98"/>
      <c r="V469" s="101"/>
      <c r="W469" s="104"/>
      <c r="X469" s="98"/>
      <c r="Y469" s="98"/>
      <c r="Z469" s="98"/>
      <c r="AA469" s="101"/>
      <c r="AB469" s="135"/>
    </row>
    <row r="470" spans="1:28" ht="15.75" customHeight="1" thickTop="1" thickBot="1" x14ac:dyDescent="0.3">
      <c r="A470" s="139">
        <f>ESCUADRAS!B95</f>
        <v>89</v>
      </c>
      <c r="B470" s="136">
        <f>ESCUADRAS!C94</f>
        <v>0</v>
      </c>
      <c r="C470" s="93"/>
      <c r="D470" s="123"/>
      <c r="E470" s="123"/>
      <c r="F470" s="123"/>
      <c r="G470" s="126"/>
      <c r="H470" s="111"/>
      <c r="I470" s="105"/>
      <c r="J470" s="105"/>
      <c r="K470" s="105"/>
      <c r="L470" s="108"/>
      <c r="M470" s="102"/>
      <c r="N470" s="96"/>
      <c r="O470" s="96"/>
      <c r="P470" s="96"/>
      <c r="Q470" s="99"/>
      <c r="R470" s="102"/>
      <c r="S470" s="96"/>
      <c r="T470" s="96"/>
      <c r="U470" s="96"/>
      <c r="V470" s="99"/>
      <c r="W470" s="102"/>
      <c r="X470" s="96"/>
      <c r="Y470" s="96"/>
      <c r="Z470" s="96"/>
      <c r="AA470" s="99"/>
      <c r="AB470" s="133"/>
    </row>
    <row r="471" spans="1:28" ht="15.75" customHeight="1" thickTop="1" thickBot="1" x14ac:dyDescent="0.3">
      <c r="A471" s="139"/>
      <c r="B471" s="137"/>
      <c r="C471" s="94"/>
      <c r="D471" s="124"/>
      <c r="E471" s="124"/>
      <c r="F471" s="124"/>
      <c r="G471" s="127"/>
      <c r="H471" s="112"/>
      <c r="I471" s="106"/>
      <c r="J471" s="106"/>
      <c r="K471" s="106"/>
      <c r="L471" s="109"/>
      <c r="M471" s="103"/>
      <c r="N471" s="97"/>
      <c r="O471" s="97"/>
      <c r="P471" s="97"/>
      <c r="Q471" s="100"/>
      <c r="R471" s="103"/>
      <c r="S471" s="97"/>
      <c r="T471" s="97"/>
      <c r="U471" s="97"/>
      <c r="V471" s="100"/>
      <c r="W471" s="103"/>
      <c r="X471" s="97"/>
      <c r="Y471" s="97"/>
      <c r="Z471" s="97"/>
      <c r="AA471" s="100"/>
      <c r="AB471" s="134"/>
    </row>
    <row r="472" spans="1:28" ht="15.75" customHeight="1" thickTop="1" thickBot="1" x14ac:dyDescent="0.3">
      <c r="A472" s="139"/>
      <c r="B472" s="138"/>
      <c r="C472" s="95"/>
      <c r="D472" s="125"/>
      <c r="E472" s="125"/>
      <c r="F472" s="125"/>
      <c r="G472" s="128"/>
      <c r="H472" s="113"/>
      <c r="I472" s="107"/>
      <c r="J472" s="107"/>
      <c r="K472" s="107"/>
      <c r="L472" s="110"/>
      <c r="M472" s="104"/>
      <c r="N472" s="98"/>
      <c r="O472" s="98"/>
      <c r="P472" s="98"/>
      <c r="Q472" s="101"/>
      <c r="R472" s="104"/>
      <c r="S472" s="98"/>
      <c r="T472" s="98"/>
      <c r="U472" s="98"/>
      <c r="V472" s="101"/>
      <c r="W472" s="104"/>
      <c r="X472" s="98"/>
      <c r="Y472" s="98"/>
      <c r="Z472" s="98"/>
      <c r="AA472" s="101"/>
      <c r="AB472" s="135"/>
    </row>
    <row r="473" spans="1:28" ht="15.75" customHeight="1" thickTop="1" x14ac:dyDescent="0.25">
      <c r="A473" s="140">
        <f>ESCUADRAS!B96</f>
        <v>90</v>
      </c>
      <c r="B473" s="136">
        <f>ESCUADRAS!C95</f>
        <v>0</v>
      </c>
      <c r="C473" s="111"/>
      <c r="D473" s="105"/>
      <c r="E473" s="105"/>
      <c r="F473" s="105"/>
      <c r="G473" s="108"/>
      <c r="H473" s="122"/>
      <c r="I473" s="120"/>
      <c r="J473" s="120"/>
      <c r="K473" s="120"/>
      <c r="L473" s="121"/>
      <c r="M473" s="122"/>
      <c r="N473" s="120"/>
      <c r="O473" s="120"/>
      <c r="P473" s="120"/>
      <c r="Q473" s="121"/>
      <c r="R473" s="122"/>
      <c r="S473" s="120"/>
      <c r="T473" s="120"/>
      <c r="U473" s="120"/>
      <c r="V473" s="121"/>
      <c r="W473" s="122"/>
      <c r="X473" s="120"/>
      <c r="Y473" s="120"/>
      <c r="Z473" s="120"/>
      <c r="AA473" s="121"/>
      <c r="AB473" s="133"/>
    </row>
    <row r="474" spans="1:28" ht="15.75" customHeight="1" x14ac:dyDescent="0.25">
      <c r="A474" s="141"/>
      <c r="B474" s="137"/>
      <c r="C474" s="112"/>
      <c r="D474" s="106"/>
      <c r="E474" s="106"/>
      <c r="F474" s="106"/>
      <c r="G474" s="109"/>
      <c r="H474" s="103"/>
      <c r="I474" s="97"/>
      <c r="J474" s="97"/>
      <c r="K474" s="97"/>
      <c r="L474" s="100"/>
      <c r="M474" s="103"/>
      <c r="N474" s="97"/>
      <c r="O474" s="97"/>
      <c r="P474" s="97"/>
      <c r="Q474" s="100"/>
      <c r="R474" s="103"/>
      <c r="S474" s="97"/>
      <c r="T474" s="97"/>
      <c r="U474" s="97"/>
      <c r="V474" s="100"/>
      <c r="W474" s="103"/>
      <c r="X474" s="97"/>
      <c r="Y474" s="97"/>
      <c r="Z474" s="97"/>
      <c r="AA474" s="100"/>
      <c r="AB474" s="134"/>
    </row>
    <row r="475" spans="1:28" ht="15.75" customHeight="1" thickBot="1" x14ac:dyDescent="0.3">
      <c r="A475" s="142"/>
      <c r="B475" s="138"/>
      <c r="C475" s="113"/>
      <c r="D475" s="107"/>
      <c r="E475" s="107"/>
      <c r="F475" s="107"/>
      <c r="G475" s="110"/>
      <c r="H475" s="104"/>
      <c r="I475" s="98"/>
      <c r="J475" s="98"/>
      <c r="K475" s="98"/>
      <c r="L475" s="101"/>
      <c r="M475" s="104"/>
      <c r="N475" s="98"/>
      <c r="O475" s="98"/>
      <c r="P475" s="98"/>
      <c r="Q475" s="101"/>
      <c r="R475" s="104"/>
      <c r="S475" s="98"/>
      <c r="T475" s="98"/>
      <c r="U475" s="98"/>
      <c r="V475" s="101"/>
      <c r="W475" s="104"/>
      <c r="X475" s="98"/>
      <c r="Y475" s="98"/>
      <c r="Z475" s="98"/>
      <c r="AA475" s="101"/>
      <c r="AB475" s="135"/>
    </row>
    <row r="476" spans="1:28" ht="15" x14ac:dyDescent="0.25">
      <c r="A476" s="28"/>
    </row>
    <row r="477" spans="1:28" ht="15" x14ac:dyDescent="0.25">
      <c r="A477" s="28"/>
      <c r="B477" s="26" t="s">
        <v>35</v>
      </c>
      <c r="E477" s="21" t="s">
        <v>41</v>
      </c>
      <c r="I477" s="21" t="s">
        <v>42</v>
      </c>
      <c r="M477" s="21" t="s">
        <v>43</v>
      </c>
      <c r="Q477" s="21" t="s">
        <v>44</v>
      </c>
      <c r="U477" s="21" t="s">
        <v>45</v>
      </c>
      <c r="Y477" s="21" t="s">
        <v>46</v>
      </c>
    </row>
    <row r="482" spans="1:32" ht="24.6" x14ac:dyDescent="0.25">
      <c r="A482" s="144" t="str">
        <f>'INSCRIPCION '!A$1</f>
        <v>TIRADA</v>
      </c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</row>
    <row r="483" spans="1:32" ht="19.5" customHeight="1" x14ac:dyDescent="0.4">
      <c r="A483" s="23"/>
      <c r="B483" s="23"/>
    </row>
    <row r="484" spans="1:32" ht="22.8" x14ac:dyDescent="0.25">
      <c r="A484" s="132" t="str">
        <f>'INSCRIPCION '!A$2</f>
        <v>CAMPO DE TIRO LA ISLA</v>
      </c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</row>
    <row r="485" spans="1:32" ht="20.399999999999999" x14ac:dyDescent="0.25">
      <c r="A485" s="143" t="str">
        <f>'INSCRIPCION '!A$3</f>
        <v>XXX PLATOS</v>
      </c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</row>
    <row r="486" spans="1:32" ht="22.8" x14ac:dyDescent="0.4">
      <c r="A486" s="24"/>
      <c r="B486" s="24"/>
    </row>
    <row r="487" spans="1:32" ht="17.399999999999999" x14ac:dyDescent="0.3">
      <c r="A487" s="25" t="s">
        <v>25</v>
      </c>
      <c r="B487" s="25"/>
      <c r="J487" s="9" t="s">
        <v>6</v>
      </c>
      <c r="K487" s="9"/>
      <c r="L487" s="9"/>
      <c r="M487" s="9"/>
      <c r="N487" s="9"/>
      <c r="O487" s="22">
        <v>1</v>
      </c>
      <c r="P487" s="22"/>
      <c r="Q487" s="8"/>
      <c r="R487" s="8"/>
      <c r="S487" s="7"/>
      <c r="T487" s="8"/>
      <c r="U487" s="8"/>
      <c r="V487" s="9" t="s">
        <v>7</v>
      </c>
      <c r="W487" s="9"/>
      <c r="X487" s="9"/>
      <c r="Y487" s="9"/>
      <c r="Z487" s="22">
        <v>2</v>
      </c>
      <c r="AA487" s="22"/>
    </row>
    <row r="488" spans="1:32" ht="13.8" thickBot="1" x14ac:dyDescent="0.3"/>
    <row r="489" spans="1:32" ht="15.6" thickBot="1" x14ac:dyDescent="0.3">
      <c r="A489" s="27" t="s">
        <v>0</v>
      </c>
      <c r="B489" s="27" t="s">
        <v>8</v>
      </c>
      <c r="C489" s="47">
        <v>1</v>
      </c>
      <c r="D489" s="48">
        <v>2</v>
      </c>
      <c r="E489" s="48">
        <v>3</v>
      </c>
      <c r="F489" s="48">
        <v>4</v>
      </c>
      <c r="G489" s="49">
        <v>5</v>
      </c>
      <c r="H489" s="47">
        <v>6</v>
      </c>
      <c r="I489" s="48">
        <v>7</v>
      </c>
      <c r="J489" s="48">
        <v>8</v>
      </c>
      <c r="K489" s="48">
        <v>9</v>
      </c>
      <c r="L489" s="49">
        <v>10</v>
      </c>
      <c r="M489" s="47">
        <v>11</v>
      </c>
      <c r="N489" s="48">
        <v>12</v>
      </c>
      <c r="O489" s="48">
        <v>13</v>
      </c>
      <c r="P489" s="48">
        <v>14</v>
      </c>
      <c r="Q489" s="49">
        <v>15</v>
      </c>
      <c r="R489" s="47">
        <v>16</v>
      </c>
      <c r="S489" s="48">
        <v>17</v>
      </c>
      <c r="T489" s="48">
        <v>18</v>
      </c>
      <c r="U489" s="48">
        <v>19</v>
      </c>
      <c r="V489" s="49">
        <v>20</v>
      </c>
      <c r="W489" s="47">
        <v>21</v>
      </c>
      <c r="X489" s="48">
        <v>22</v>
      </c>
      <c r="Y489" s="48">
        <v>23</v>
      </c>
      <c r="Z489" s="48">
        <v>24</v>
      </c>
      <c r="AA489" s="49">
        <v>25</v>
      </c>
      <c r="AB489" s="30" t="s">
        <v>1</v>
      </c>
    </row>
    <row r="490" spans="1:32" ht="14.25" customHeight="1" x14ac:dyDescent="0.25">
      <c r="A490" s="136">
        <f>ESCUADRAS!B102</f>
        <v>96</v>
      </c>
      <c r="B490" s="136">
        <f>ESCUADRAS!C102</f>
        <v>0</v>
      </c>
      <c r="C490" s="129"/>
      <c r="D490" s="114"/>
      <c r="E490" s="114"/>
      <c r="F490" s="114"/>
      <c r="G490" s="117"/>
      <c r="H490" s="111"/>
      <c r="I490" s="105"/>
      <c r="J490" s="105"/>
      <c r="K490" s="105"/>
      <c r="L490" s="108"/>
      <c r="M490" s="111"/>
      <c r="N490" s="105"/>
      <c r="O490" s="105"/>
      <c r="P490" s="105"/>
      <c r="Q490" s="108"/>
      <c r="R490" s="111"/>
      <c r="S490" s="105"/>
      <c r="T490" s="105"/>
      <c r="U490" s="105"/>
      <c r="V490" s="108"/>
      <c r="W490" s="111"/>
      <c r="X490" s="105"/>
      <c r="Y490" s="105"/>
      <c r="Z490" s="105"/>
      <c r="AA490" s="108"/>
      <c r="AB490" s="133"/>
    </row>
    <row r="491" spans="1:32" ht="14.25" customHeight="1" x14ac:dyDescent="0.25">
      <c r="A491" s="137"/>
      <c r="B491" s="137"/>
      <c r="C491" s="130"/>
      <c r="D491" s="115"/>
      <c r="E491" s="115"/>
      <c r="F491" s="115"/>
      <c r="G491" s="118"/>
      <c r="H491" s="112"/>
      <c r="I491" s="106"/>
      <c r="J491" s="106"/>
      <c r="K491" s="106"/>
      <c r="L491" s="109"/>
      <c r="M491" s="112"/>
      <c r="N491" s="106"/>
      <c r="O491" s="106"/>
      <c r="P491" s="106"/>
      <c r="Q491" s="109"/>
      <c r="R491" s="112"/>
      <c r="S491" s="106"/>
      <c r="T491" s="106"/>
      <c r="U491" s="106"/>
      <c r="V491" s="109"/>
      <c r="W491" s="112"/>
      <c r="X491" s="106"/>
      <c r="Y491" s="106"/>
      <c r="Z491" s="106"/>
      <c r="AA491" s="109"/>
      <c r="AB491" s="134"/>
    </row>
    <row r="492" spans="1:32" ht="13.5" customHeight="1" thickBot="1" x14ac:dyDescent="0.3">
      <c r="A492" s="138"/>
      <c r="B492" s="138"/>
      <c r="C492" s="131"/>
      <c r="D492" s="116"/>
      <c r="E492" s="116"/>
      <c r="F492" s="116"/>
      <c r="G492" s="119"/>
      <c r="H492" s="113"/>
      <c r="I492" s="107"/>
      <c r="J492" s="107"/>
      <c r="K492" s="107"/>
      <c r="L492" s="110"/>
      <c r="M492" s="113"/>
      <c r="N492" s="107"/>
      <c r="O492" s="107"/>
      <c r="P492" s="107"/>
      <c r="Q492" s="110"/>
      <c r="R492" s="113"/>
      <c r="S492" s="107"/>
      <c r="T492" s="107"/>
      <c r="U492" s="107"/>
      <c r="V492" s="110"/>
      <c r="W492" s="113"/>
      <c r="X492" s="107"/>
      <c r="Y492" s="107"/>
      <c r="Z492" s="107"/>
      <c r="AA492" s="110"/>
      <c r="AB492" s="135"/>
    </row>
    <row r="493" spans="1:32" ht="14.25" customHeight="1" x14ac:dyDescent="0.25">
      <c r="A493" s="136">
        <f>ESCUADRAS!B97</f>
        <v>91</v>
      </c>
      <c r="B493" s="136">
        <f>ESCUADRAS!C97</f>
        <v>0</v>
      </c>
      <c r="C493" s="93"/>
      <c r="D493" s="123"/>
      <c r="E493" s="123"/>
      <c r="F493" s="123"/>
      <c r="G493" s="126"/>
      <c r="H493" s="102"/>
      <c r="I493" s="96"/>
      <c r="J493" s="96"/>
      <c r="K493" s="96"/>
      <c r="L493" s="99"/>
      <c r="M493" s="102"/>
      <c r="N493" s="96"/>
      <c r="O493" s="96"/>
      <c r="P493" s="96"/>
      <c r="Q493" s="99"/>
      <c r="R493" s="102"/>
      <c r="S493" s="96"/>
      <c r="T493" s="96"/>
      <c r="U493" s="96"/>
      <c r="V493" s="99"/>
      <c r="W493" s="111"/>
      <c r="X493" s="105"/>
      <c r="Y493" s="105"/>
      <c r="Z493" s="105"/>
      <c r="AA493" s="108"/>
      <c r="AB493" s="133"/>
    </row>
    <row r="494" spans="1:32" ht="14.25" customHeight="1" x14ac:dyDescent="0.25">
      <c r="A494" s="137"/>
      <c r="B494" s="137"/>
      <c r="C494" s="94"/>
      <c r="D494" s="124"/>
      <c r="E494" s="124"/>
      <c r="F494" s="124"/>
      <c r="G494" s="127"/>
      <c r="H494" s="103"/>
      <c r="I494" s="97"/>
      <c r="J494" s="97"/>
      <c r="K494" s="97"/>
      <c r="L494" s="100"/>
      <c r="M494" s="103"/>
      <c r="N494" s="97"/>
      <c r="O494" s="97"/>
      <c r="P494" s="97"/>
      <c r="Q494" s="100"/>
      <c r="R494" s="103"/>
      <c r="S494" s="97"/>
      <c r="T494" s="97"/>
      <c r="U494" s="97"/>
      <c r="V494" s="100"/>
      <c r="W494" s="112"/>
      <c r="X494" s="106"/>
      <c r="Y494" s="106"/>
      <c r="Z494" s="106"/>
      <c r="AA494" s="109"/>
      <c r="AB494" s="134"/>
    </row>
    <row r="495" spans="1:32" ht="13.5" customHeight="1" thickBot="1" x14ac:dyDescent="0.3">
      <c r="A495" s="138"/>
      <c r="B495" s="138"/>
      <c r="C495" s="95"/>
      <c r="D495" s="125"/>
      <c r="E495" s="125"/>
      <c r="F495" s="125"/>
      <c r="G495" s="128"/>
      <c r="H495" s="104"/>
      <c r="I495" s="98"/>
      <c r="J495" s="98"/>
      <c r="K495" s="98"/>
      <c r="L495" s="101"/>
      <c r="M495" s="104"/>
      <c r="N495" s="98"/>
      <c r="O495" s="98"/>
      <c r="P495" s="98"/>
      <c r="Q495" s="101"/>
      <c r="R495" s="104"/>
      <c r="S495" s="98"/>
      <c r="T495" s="98"/>
      <c r="U495" s="98"/>
      <c r="V495" s="101"/>
      <c r="W495" s="113"/>
      <c r="X495" s="107"/>
      <c r="Y495" s="107"/>
      <c r="Z495" s="107"/>
      <c r="AA495" s="110"/>
      <c r="AB495" s="135"/>
    </row>
    <row r="496" spans="1:32" ht="14.25" customHeight="1" x14ac:dyDescent="0.25">
      <c r="A496" s="136">
        <f>ESCUADRAS!B98</f>
        <v>92</v>
      </c>
      <c r="B496" s="136">
        <f>ESCUADRAS!C98</f>
        <v>0</v>
      </c>
      <c r="C496" s="93"/>
      <c r="D496" s="123"/>
      <c r="E496" s="123"/>
      <c r="F496" s="123"/>
      <c r="G496" s="126"/>
      <c r="H496" s="102"/>
      <c r="I496" s="96"/>
      <c r="J496" s="96"/>
      <c r="K496" s="96"/>
      <c r="L496" s="99"/>
      <c r="M496" s="102"/>
      <c r="N496" s="96"/>
      <c r="O496" s="96"/>
      <c r="P496" s="96"/>
      <c r="Q496" s="99"/>
      <c r="R496" s="111"/>
      <c r="S496" s="105"/>
      <c r="T496" s="105"/>
      <c r="U496" s="105"/>
      <c r="V496" s="108"/>
      <c r="W496" s="102"/>
      <c r="X496" s="96"/>
      <c r="Y496" s="96"/>
      <c r="Z496" s="96"/>
      <c r="AA496" s="99"/>
      <c r="AB496" s="133"/>
    </row>
    <row r="497" spans="1:28" ht="14.25" customHeight="1" x14ac:dyDescent="0.25">
      <c r="A497" s="137"/>
      <c r="B497" s="137"/>
      <c r="C497" s="94"/>
      <c r="D497" s="124"/>
      <c r="E497" s="124"/>
      <c r="F497" s="124"/>
      <c r="G497" s="127"/>
      <c r="H497" s="103"/>
      <c r="I497" s="97"/>
      <c r="J497" s="97"/>
      <c r="K497" s="97"/>
      <c r="L497" s="100"/>
      <c r="M497" s="103"/>
      <c r="N497" s="97"/>
      <c r="O497" s="97"/>
      <c r="P497" s="97"/>
      <c r="Q497" s="100"/>
      <c r="R497" s="112"/>
      <c r="S497" s="106"/>
      <c r="T497" s="106"/>
      <c r="U497" s="106"/>
      <c r="V497" s="109"/>
      <c r="W497" s="103"/>
      <c r="X497" s="97"/>
      <c r="Y497" s="97"/>
      <c r="Z497" s="97"/>
      <c r="AA497" s="100"/>
      <c r="AB497" s="134"/>
    </row>
    <row r="498" spans="1:28" ht="13.5" customHeight="1" thickBot="1" x14ac:dyDescent="0.3">
      <c r="A498" s="138"/>
      <c r="B498" s="138"/>
      <c r="C498" s="95"/>
      <c r="D498" s="125"/>
      <c r="E498" s="125"/>
      <c r="F498" s="125"/>
      <c r="G498" s="128"/>
      <c r="H498" s="104"/>
      <c r="I498" s="98"/>
      <c r="J498" s="98"/>
      <c r="K498" s="98"/>
      <c r="L498" s="101"/>
      <c r="M498" s="104"/>
      <c r="N498" s="98"/>
      <c r="O498" s="98"/>
      <c r="P498" s="98"/>
      <c r="Q498" s="101"/>
      <c r="R498" s="113"/>
      <c r="S498" s="107"/>
      <c r="T498" s="107"/>
      <c r="U498" s="107"/>
      <c r="V498" s="110"/>
      <c r="W498" s="104"/>
      <c r="X498" s="98"/>
      <c r="Y498" s="98"/>
      <c r="Z498" s="98"/>
      <c r="AA498" s="101"/>
      <c r="AB498" s="135"/>
    </row>
    <row r="499" spans="1:28" ht="13.5" customHeight="1" x14ac:dyDescent="0.25">
      <c r="A499" s="136">
        <f>ESCUADRAS!B99</f>
        <v>93</v>
      </c>
      <c r="B499" s="136">
        <f>ESCUADRAS!C99</f>
        <v>0</v>
      </c>
      <c r="C499" s="93"/>
      <c r="D499" s="123"/>
      <c r="E499" s="123"/>
      <c r="F499" s="123"/>
      <c r="G499" s="126"/>
      <c r="H499" s="102"/>
      <c r="I499" s="96"/>
      <c r="J499" s="96"/>
      <c r="K499" s="96"/>
      <c r="L499" s="99"/>
      <c r="M499" s="111"/>
      <c r="N499" s="105"/>
      <c r="O499" s="105"/>
      <c r="P499" s="105"/>
      <c r="Q499" s="108"/>
      <c r="R499" s="102"/>
      <c r="S499" s="96"/>
      <c r="T499" s="96"/>
      <c r="U499" s="96"/>
      <c r="V499" s="99"/>
      <c r="W499" s="102"/>
      <c r="X499" s="96"/>
      <c r="Y499" s="96"/>
      <c r="Z499" s="96"/>
      <c r="AA499" s="99"/>
      <c r="AB499" s="133"/>
    </row>
    <row r="500" spans="1:28" ht="14.25" customHeight="1" x14ac:dyDescent="0.25">
      <c r="A500" s="137"/>
      <c r="B500" s="137"/>
      <c r="C500" s="94"/>
      <c r="D500" s="124"/>
      <c r="E500" s="124"/>
      <c r="F500" s="124"/>
      <c r="G500" s="127"/>
      <c r="H500" s="103"/>
      <c r="I500" s="97"/>
      <c r="J500" s="97"/>
      <c r="K500" s="97"/>
      <c r="L500" s="100"/>
      <c r="M500" s="112"/>
      <c r="N500" s="106"/>
      <c r="O500" s="106"/>
      <c r="P500" s="106"/>
      <c r="Q500" s="109"/>
      <c r="R500" s="103"/>
      <c r="S500" s="97"/>
      <c r="T500" s="97"/>
      <c r="U500" s="97"/>
      <c r="V500" s="100"/>
      <c r="W500" s="103"/>
      <c r="X500" s="97"/>
      <c r="Y500" s="97"/>
      <c r="Z500" s="97"/>
      <c r="AA500" s="100"/>
      <c r="AB500" s="134"/>
    </row>
    <row r="501" spans="1:28" ht="13.5" customHeight="1" thickBot="1" x14ac:dyDescent="0.3">
      <c r="A501" s="138"/>
      <c r="B501" s="138"/>
      <c r="C501" s="95"/>
      <c r="D501" s="125"/>
      <c r="E501" s="125"/>
      <c r="F501" s="125"/>
      <c r="G501" s="128"/>
      <c r="H501" s="104"/>
      <c r="I501" s="98"/>
      <c r="J501" s="98"/>
      <c r="K501" s="98"/>
      <c r="L501" s="101"/>
      <c r="M501" s="113"/>
      <c r="N501" s="107"/>
      <c r="O501" s="107"/>
      <c r="P501" s="107"/>
      <c r="Q501" s="110"/>
      <c r="R501" s="104"/>
      <c r="S501" s="98"/>
      <c r="T501" s="98"/>
      <c r="U501" s="98"/>
      <c r="V501" s="101"/>
      <c r="W501" s="104"/>
      <c r="X501" s="98"/>
      <c r="Y501" s="98"/>
      <c r="Z501" s="98"/>
      <c r="AA501" s="101"/>
      <c r="AB501" s="135"/>
    </row>
    <row r="502" spans="1:28" ht="14.25" customHeight="1" x14ac:dyDescent="0.25">
      <c r="A502" s="136">
        <f>ESCUADRAS!B100</f>
        <v>94</v>
      </c>
      <c r="B502" s="136">
        <f>ESCUADRAS!C100</f>
        <v>0</v>
      </c>
      <c r="C502" s="93"/>
      <c r="D502" s="123"/>
      <c r="E502" s="123"/>
      <c r="F502" s="123"/>
      <c r="G502" s="126"/>
      <c r="H502" s="111"/>
      <c r="I502" s="105"/>
      <c r="J502" s="105"/>
      <c r="K502" s="105"/>
      <c r="L502" s="108"/>
      <c r="M502" s="102"/>
      <c r="N502" s="96"/>
      <c r="O502" s="96"/>
      <c r="P502" s="96"/>
      <c r="Q502" s="99"/>
      <c r="R502" s="102"/>
      <c r="S502" s="96"/>
      <c r="T502" s="96"/>
      <c r="U502" s="96"/>
      <c r="V502" s="99"/>
      <c r="W502" s="102"/>
      <c r="X502" s="96"/>
      <c r="Y502" s="96"/>
      <c r="Z502" s="96"/>
      <c r="AA502" s="99"/>
      <c r="AB502" s="133"/>
    </row>
    <row r="503" spans="1:28" ht="14.25" customHeight="1" x14ac:dyDescent="0.25">
      <c r="A503" s="137"/>
      <c r="B503" s="137"/>
      <c r="C503" s="94"/>
      <c r="D503" s="124"/>
      <c r="E503" s="124"/>
      <c r="F503" s="124"/>
      <c r="G503" s="127"/>
      <c r="H503" s="112"/>
      <c r="I503" s="106"/>
      <c r="J503" s="106"/>
      <c r="K503" s="106"/>
      <c r="L503" s="109"/>
      <c r="M503" s="103"/>
      <c r="N503" s="97"/>
      <c r="O503" s="97"/>
      <c r="P503" s="97"/>
      <c r="Q503" s="100"/>
      <c r="R503" s="103"/>
      <c r="S503" s="97"/>
      <c r="T503" s="97"/>
      <c r="U503" s="97"/>
      <c r="V503" s="100"/>
      <c r="W503" s="103"/>
      <c r="X503" s="97"/>
      <c r="Y503" s="97"/>
      <c r="Z503" s="97"/>
      <c r="AA503" s="100"/>
      <c r="AB503" s="134"/>
    </row>
    <row r="504" spans="1:28" ht="13.5" customHeight="1" thickBot="1" x14ac:dyDescent="0.3">
      <c r="A504" s="138"/>
      <c r="B504" s="138"/>
      <c r="C504" s="95"/>
      <c r="D504" s="125"/>
      <c r="E504" s="125"/>
      <c r="F504" s="125"/>
      <c r="G504" s="128"/>
      <c r="H504" s="113"/>
      <c r="I504" s="107"/>
      <c r="J504" s="107"/>
      <c r="K504" s="107"/>
      <c r="L504" s="110"/>
      <c r="M504" s="104"/>
      <c r="N504" s="98"/>
      <c r="O504" s="98"/>
      <c r="P504" s="98"/>
      <c r="Q504" s="101"/>
      <c r="R504" s="104"/>
      <c r="S504" s="98"/>
      <c r="T504" s="98"/>
      <c r="U504" s="98"/>
      <c r="V504" s="101"/>
      <c r="W504" s="104"/>
      <c r="X504" s="98"/>
      <c r="Y504" s="98"/>
      <c r="Z504" s="98"/>
      <c r="AA504" s="101"/>
      <c r="AB504" s="135"/>
    </row>
    <row r="505" spans="1:28" ht="13.5" customHeight="1" x14ac:dyDescent="0.25">
      <c r="A505" s="136">
        <f>ESCUADRAS!B101</f>
        <v>95</v>
      </c>
      <c r="B505" s="136">
        <f>ESCUADRAS!C101</f>
        <v>0</v>
      </c>
      <c r="C505" s="111"/>
      <c r="D505" s="105"/>
      <c r="E505" s="105"/>
      <c r="F505" s="105"/>
      <c r="G505" s="108"/>
      <c r="H505" s="122"/>
      <c r="I505" s="120"/>
      <c r="J505" s="120"/>
      <c r="K505" s="120"/>
      <c r="L505" s="121"/>
      <c r="M505" s="122"/>
      <c r="N505" s="120"/>
      <c r="O505" s="120"/>
      <c r="P505" s="120"/>
      <c r="Q505" s="121"/>
      <c r="R505" s="122"/>
      <c r="S505" s="120"/>
      <c r="T505" s="120"/>
      <c r="U505" s="120"/>
      <c r="V505" s="121"/>
      <c r="W505" s="122"/>
      <c r="X505" s="120"/>
      <c r="Y505" s="120"/>
      <c r="Z505" s="120"/>
      <c r="AA505" s="121"/>
      <c r="AB505" s="133"/>
    </row>
    <row r="506" spans="1:28" ht="14.25" customHeight="1" x14ac:dyDescent="0.25">
      <c r="A506" s="137"/>
      <c r="B506" s="137"/>
      <c r="C506" s="112"/>
      <c r="D506" s="106"/>
      <c r="E506" s="106"/>
      <c r="F506" s="106"/>
      <c r="G506" s="109"/>
      <c r="H506" s="103"/>
      <c r="I506" s="97"/>
      <c r="J506" s="97"/>
      <c r="K506" s="97"/>
      <c r="L506" s="100"/>
      <c r="M506" s="103"/>
      <c r="N506" s="97"/>
      <c r="O506" s="97"/>
      <c r="P506" s="97"/>
      <c r="Q506" s="100"/>
      <c r="R506" s="103"/>
      <c r="S506" s="97"/>
      <c r="T506" s="97"/>
      <c r="U506" s="97"/>
      <c r="V506" s="100"/>
      <c r="W506" s="103"/>
      <c r="X506" s="97"/>
      <c r="Y506" s="97"/>
      <c r="Z506" s="97"/>
      <c r="AA506" s="100"/>
      <c r="AB506" s="134"/>
    </row>
    <row r="507" spans="1:28" ht="13.5" customHeight="1" thickBot="1" x14ac:dyDescent="0.3">
      <c r="A507" s="138"/>
      <c r="B507" s="138"/>
      <c r="C507" s="113"/>
      <c r="D507" s="107"/>
      <c r="E507" s="107"/>
      <c r="F507" s="107"/>
      <c r="G507" s="110"/>
      <c r="H507" s="104"/>
      <c r="I507" s="98"/>
      <c r="J507" s="98"/>
      <c r="K507" s="98"/>
      <c r="L507" s="101"/>
      <c r="M507" s="104"/>
      <c r="N507" s="98"/>
      <c r="O507" s="98"/>
      <c r="P507" s="98"/>
      <c r="Q507" s="101"/>
      <c r="R507" s="104"/>
      <c r="S507" s="98"/>
      <c r="T507" s="98"/>
      <c r="U507" s="98"/>
      <c r="V507" s="101"/>
      <c r="W507" s="104"/>
      <c r="X507" s="98"/>
      <c r="Y507" s="98"/>
      <c r="Z507" s="98"/>
      <c r="AA507" s="101"/>
      <c r="AB507" s="135"/>
    </row>
    <row r="509" spans="1:28" ht="15" x14ac:dyDescent="0.25">
      <c r="A509" s="28"/>
      <c r="B509" s="26" t="s">
        <v>35</v>
      </c>
      <c r="E509" s="21" t="s">
        <v>41</v>
      </c>
      <c r="I509" s="21" t="s">
        <v>42</v>
      </c>
      <c r="M509" s="21" t="s">
        <v>43</v>
      </c>
      <c r="Q509" s="21" t="s">
        <v>44</v>
      </c>
      <c r="U509" s="21" t="s">
        <v>45</v>
      </c>
      <c r="Y509" s="21" t="s">
        <v>46</v>
      </c>
    </row>
    <row r="515" spans="1:32" ht="26.25" customHeight="1" x14ac:dyDescent="0.25">
      <c r="A515" s="144" t="str">
        <f>'INSCRIPCION '!A$1</f>
        <v>TIRADA</v>
      </c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</row>
    <row r="516" spans="1:32" ht="19.5" customHeight="1" x14ac:dyDescent="0.4">
      <c r="A516" s="23"/>
      <c r="B516" s="23"/>
    </row>
    <row r="517" spans="1:32" ht="22.8" x14ac:dyDescent="0.25">
      <c r="A517" s="132" t="str">
        <f>'INSCRIPCION '!A$2</f>
        <v>CAMPO DE TIRO LA ISLA</v>
      </c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</row>
    <row r="518" spans="1:32" ht="20.399999999999999" x14ac:dyDescent="0.25">
      <c r="A518" s="143" t="str">
        <f>'INSCRIPCION '!A$3</f>
        <v>XXX PLATOS</v>
      </c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</row>
    <row r="519" spans="1:32" ht="22.8" x14ac:dyDescent="0.4">
      <c r="A519" s="24"/>
      <c r="B519" s="24"/>
    </row>
    <row r="520" spans="1:32" ht="17.399999999999999" x14ac:dyDescent="0.3">
      <c r="A520" s="25" t="s">
        <v>26</v>
      </c>
      <c r="B520" s="25"/>
      <c r="J520" s="9" t="s">
        <v>6</v>
      </c>
      <c r="K520" s="9"/>
      <c r="L520" s="9"/>
      <c r="M520" s="9"/>
      <c r="N520" s="9"/>
      <c r="O520" s="22">
        <v>2</v>
      </c>
      <c r="P520" s="22"/>
      <c r="Q520" s="8"/>
      <c r="R520" s="8"/>
      <c r="S520" s="7"/>
      <c r="T520" s="8"/>
      <c r="U520" s="8"/>
      <c r="V520" s="9" t="s">
        <v>7</v>
      </c>
      <c r="W520" s="9"/>
      <c r="X520" s="9"/>
      <c r="Y520" s="9"/>
      <c r="Z520" s="22">
        <v>2</v>
      </c>
      <c r="AA520" s="22"/>
    </row>
    <row r="521" spans="1:32" ht="13.8" thickBot="1" x14ac:dyDescent="0.3"/>
    <row r="522" spans="1:32" ht="15.6" thickBot="1" x14ac:dyDescent="0.3">
      <c r="A522" s="27" t="s">
        <v>0</v>
      </c>
      <c r="B522" s="27" t="s">
        <v>8</v>
      </c>
      <c r="C522" s="47">
        <v>1</v>
      </c>
      <c r="D522" s="48">
        <v>2</v>
      </c>
      <c r="E522" s="48">
        <v>3</v>
      </c>
      <c r="F522" s="48">
        <v>4</v>
      </c>
      <c r="G522" s="49">
        <v>5</v>
      </c>
      <c r="H522" s="47">
        <v>6</v>
      </c>
      <c r="I522" s="48">
        <v>7</v>
      </c>
      <c r="J522" s="48">
        <v>8</v>
      </c>
      <c r="K522" s="48">
        <v>9</v>
      </c>
      <c r="L522" s="49">
        <v>10</v>
      </c>
      <c r="M522" s="47">
        <v>11</v>
      </c>
      <c r="N522" s="48">
        <v>12</v>
      </c>
      <c r="O522" s="48">
        <v>13</v>
      </c>
      <c r="P522" s="48">
        <v>14</v>
      </c>
      <c r="Q522" s="49">
        <v>15</v>
      </c>
      <c r="R522" s="47">
        <v>16</v>
      </c>
      <c r="S522" s="48">
        <v>17</v>
      </c>
      <c r="T522" s="48">
        <v>18</v>
      </c>
      <c r="U522" s="48">
        <v>19</v>
      </c>
      <c r="V522" s="49">
        <v>20</v>
      </c>
      <c r="W522" s="47">
        <v>21</v>
      </c>
      <c r="X522" s="48">
        <v>22</v>
      </c>
      <c r="Y522" s="48">
        <v>23</v>
      </c>
      <c r="Z522" s="48">
        <v>24</v>
      </c>
      <c r="AA522" s="49">
        <v>25</v>
      </c>
      <c r="AB522" s="30" t="s">
        <v>1</v>
      </c>
    </row>
    <row r="523" spans="1:32" ht="14.25" customHeight="1" thickTop="1" thickBot="1" x14ac:dyDescent="0.3">
      <c r="A523" s="139">
        <f>ESCUADRAS!B103</f>
        <v>97</v>
      </c>
      <c r="B523" s="136">
        <f>ESCUADRAS!C108</f>
        <v>0</v>
      </c>
      <c r="C523" s="129"/>
      <c r="D523" s="114"/>
      <c r="E523" s="114"/>
      <c r="F523" s="114"/>
      <c r="G523" s="117"/>
      <c r="H523" s="111"/>
      <c r="I523" s="105"/>
      <c r="J523" s="105"/>
      <c r="K523" s="105"/>
      <c r="L523" s="108"/>
      <c r="M523" s="111"/>
      <c r="N523" s="105"/>
      <c r="O523" s="105"/>
      <c r="P523" s="105"/>
      <c r="Q523" s="108"/>
      <c r="R523" s="111"/>
      <c r="S523" s="105"/>
      <c r="T523" s="105"/>
      <c r="U523" s="105"/>
      <c r="V523" s="108"/>
      <c r="W523" s="111"/>
      <c r="X523" s="105"/>
      <c r="Y523" s="105"/>
      <c r="Z523" s="105"/>
      <c r="AA523" s="108"/>
      <c r="AB523" s="133"/>
    </row>
    <row r="524" spans="1:32" ht="14.25" customHeight="1" thickTop="1" thickBot="1" x14ac:dyDescent="0.3">
      <c r="A524" s="139"/>
      <c r="B524" s="137"/>
      <c r="C524" s="130"/>
      <c r="D524" s="115"/>
      <c r="E524" s="115"/>
      <c r="F524" s="115"/>
      <c r="G524" s="118"/>
      <c r="H524" s="112"/>
      <c r="I524" s="106"/>
      <c r="J524" s="106"/>
      <c r="K524" s="106"/>
      <c r="L524" s="109"/>
      <c r="M524" s="112"/>
      <c r="N524" s="106"/>
      <c r="O524" s="106"/>
      <c r="P524" s="106"/>
      <c r="Q524" s="109"/>
      <c r="R524" s="112"/>
      <c r="S524" s="106"/>
      <c r="T524" s="106"/>
      <c r="U524" s="106"/>
      <c r="V524" s="109"/>
      <c r="W524" s="112"/>
      <c r="X524" s="106"/>
      <c r="Y524" s="106"/>
      <c r="Z524" s="106"/>
      <c r="AA524" s="109"/>
      <c r="AB524" s="134"/>
    </row>
    <row r="525" spans="1:32" ht="13.5" customHeight="1" thickTop="1" thickBot="1" x14ac:dyDescent="0.3">
      <c r="A525" s="139"/>
      <c r="B525" s="138"/>
      <c r="C525" s="131"/>
      <c r="D525" s="116"/>
      <c r="E525" s="116"/>
      <c r="F525" s="116"/>
      <c r="G525" s="119"/>
      <c r="H525" s="113"/>
      <c r="I525" s="107"/>
      <c r="J525" s="107"/>
      <c r="K525" s="107"/>
      <c r="L525" s="110"/>
      <c r="M525" s="113"/>
      <c r="N525" s="107"/>
      <c r="O525" s="107"/>
      <c r="P525" s="107"/>
      <c r="Q525" s="110"/>
      <c r="R525" s="113"/>
      <c r="S525" s="107"/>
      <c r="T525" s="107"/>
      <c r="U525" s="107"/>
      <c r="V525" s="110"/>
      <c r="W525" s="113"/>
      <c r="X525" s="107"/>
      <c r="Y525" s="107"/>
      <c r="Z525" s="107"/>
      <c r="AA525" s="110"/>
      <c r="AB525" s="135"/>
    </row>
    <row r="526" spans="1:32" ht="14.25" customHeight="1" thickTop="1" x14ac:dyDescent="0.25">
      <c r="A526" s="140">
        <f>ESCUADRAS!B104</f>
        <v>98</v>
      </c>
      <c r="B526" s="136">
        <f>ESCUADRAS!C103</f>
        <v>0</v>
      </c>
      <c r="C526" s="93"/>
      <c r="D526" s="123"/>
      <c r="E526" s="123"/>
      <c r="F526" s="123"/>
      <c r="G526" s="126"/>
      <c r="H526" s="102"/>
      <c r="I526" s="96"/>
      <c r="J526" s="96"/>
      <c r="K526" s="96"/>
      <c r="L526" s="99"/>
      <c r="M526" s="102"/>
      <c r="N526" s="96"/>
      <c r="O526" s="96"/>
      <c r="P526" s="96"/>
      <c r="Q526" s="99"/>
      <c r="R526" s="102"/>
      <c r="S526" s="96"/>
      <c r="T526" s="96"/>
      <c r="U526" s="96"/>
      <c r="V526" s="99"/>
      <c r="W526" s="111"/>
      <c r="X526" s="105"/>
      <c r="Y526" s="105"/>
      <c r="Z526" s="105"/>
      <c r="AA526" s="108"/>
      <c r="AB526" s="133"/>
    </row>
    <row r="527" spans="1:32" ht="14.25" customHeight="1" x14ac:dyDescent="0.25">
      <c r="A527" s="141"/>
      <c r="B527" s="137"/>
      <c r="C527" s="94"/>
      <c r="D527" s="124"/>
      <c r="E527" s="124"/>
      <c r="F527" s="124"/>
      <c r="G527" s="127"/>
      <c r="H527" s="103"/>
      <c r="I527" s="97"/>
      <c r="J527" s="97"/>
      <c r="K527" s="97"/>
      <c r="L527" s="100"/>
      <c r="M527" s="103"/>
      <c r="N527" s="97"/>
      <c r="O527" s="97"/>
      <c r="P527" s="97"/>
      <c r="Q527" s="100"/>
      <c r="R527" s="103"/>
      <c r="S527" s="97"/>
      <c r="T527" s="97"/>
      <c r="U527" s="97"/>
      <c r="V527" s="100"/>
      <c r="W527" s="112"/>
      <c r="X527" s="106"/>
      <c r="Y527" s="106"/>
      <c r="Z527" s="106"/>
      <c r="AA527" s="109"/>
      <c r="AB527" s="134"/>
    </row>
    <row r="528" spans="1:32" ht="13.5" customHeight="1" thickBot="1" x14ac:dyDescent="0.3">
      <c r="A528" s="142"/>
      <c r="B528" s="138"/>
      <c r="C528" s="95"/>
      <c r="D528" s="125"/>
      <c r="E528" s="125"/>
      <c r="F528" s="125"/>
      <c r="G528" s="128"/>
      <c r="H528" s="104"/>
      <c r="I528" s="98"/>
      <c r="J528" s="98"/>
      <c r="K528" s="98"/>
      <c r="L528" s="101"/>
      <c r="M528" s="104"/>
      <c r="N528" s="98"/>
      <c r="O528" s="98"/>
      <c r="P528" s="98"/>
      <c r="Q528" s="101"/>
      <c r="R528" s="104"/>
      <c r="S528" s="98"/>
      <c r="T528" s="98"/>
      <c r="U528" s="98"/>
      <c r="V528" s="101"/>
      <c r="W528" s="113"/>
      <c r="X528" s="107"/>
      <c r="Y528" s="107"/>
      <c r="Z528" s="107"/>
      <c r="AA528" s="110"/>
      <c r="AB528" s="135"/>
    </row>
    <row r="529" spans="1:28" ht="14.25" customHeight="1" thickTop="1" thickBot="1" x14ac:dyDescent="0.3">
      <c r="A529" s="139">
        <f>ESCUADRAS!B105</f>
        <v>99</v>
      </c>
      <c r="B529" s="136">
        <f>ESCUADRAS!C104</f>
        <v>0</v>
      </c>
      <c r="C529" s="93"/>
      <c r="D529" s="123"/>
      <c r="E529" s="123"/>
      <c r="F529" s="123"/>
      <c r="G529" s="126"/>
      <c r="H529" s="102"/>
      <c r="I529" s="96"/>
      <c r="J529" s="96"/>
      <c r="K529" s="96"/>
      <c r="L529" s="99"/>
      <c r="M529" s="102"/>
      <c r="N529" s="96"/>
      <c r="O529" s="96"/>
      <c r="P529" s="96"/>
      <c r="Q529" s="99"/>
      <c r="R529" s="111"/>
      <c r="S529" s="105"/>
      <c r="T529" s="105"/>
      <c r="U529" s="105"/>
      <c r="V529" s="108"/>
      <c r="W529" s="102"/>
      <c r="X529" s="96"/>
      <c r="Y529" s="96"/>
      <c r="Z529" s="96"/>
      <c r="AA529" s="99"/>
      <c r="AB529" s="133"/>
    </row>
    <row r="530" spans="1:28" ht="14.25" customHeight="1" thickTop="1" thickBot="1" x14ac:dyDescent="0.3">
      <c r="A530" s="139"/>
      <c r="B530" s="137"/>
      <c r="C530" s="94"/>
      <c r="D530" s="124"/>
      <c r="E530" s="124"/>
      <c r="F530" s="124"/>
      <c r="G530" s="127"/>
      <c r="H530" s="103"/>
      <c r="I530" s="97"/>
      <c r="J530" s="97"/>
      <c r="K530" s="97"/>
      <c r="L530" s="100"/>
      <c r="M530" s="103"/>
      <c r="N530" s="97"/>
      <c r="O530" s="97"/>
      <c r="P530" s="97"/>
      <c r="Q530" s="100"/>
      <c r="R530" s="112"/>
      <c r="S530" s="106"/>
      <c r="T530" s="106"/>
      <c r="U530" s="106"/>
      <c r="V530" s="109"/>
      <c r="W530" s="103"/>
      <c r="X530" s="97"/>
      <c r="Y530" s="97"/>
      <c r="Z530" s="97"/>
      <c r="AA530" s="100"/>
      <c r="AB530" s="134"/>
    </row>
    <row r="531" spans="1:28" ht="13.5" customHeight="1" thickTop="1" thickBot="1" x14ac:dyDescent="0.3">
      <c r="A531" s="139"/>
      <c r="B531" s="138"/>
      <c r="C531" s="95"/>
      <c r="D531" s="125"/>
      <c r="E531" s="125"/>
      <c r="F531" s="125"/>
      <c r="G531" s="128"/>
      <c r="H531" s="104"/>
      <c r="I531" s="98"/>
      <c r="J531" s="98"/>
      <c r="K531" s="98"/>
      <c r="L531" s="101"/>
      <c r="M531" s="104"/>
      <c r="N531" s="98"/>
      <c r="O531" s="98"/>
      <c r="P531" s="98"/>
      <c r="Q531" s="101"/>
      <c r="R531" s="113"/>
      <c r="S531" s="107"/>
      <c r="T531" s="107"/>
      <c r="U531" s="107"/>
      <c r="V531" s="110"/>
      <c r="W531" s="104"/>
      <c r="X531" s="98"/>
      <c r="Y531" s="98"/>
      <c r="Z531" s="98"/>
      <c r="AA531" s="101"/>
      <c r="AB531" s="135"/>
    </row>
    <row r="532" spans="1:28" ht="13.5" customHeight="1" thickTop="1" x14ac:dyDescent="0.25">
      <c r="A532" s="140">
        <f>ESCUADRAS!B106</f>
        <v>100</v>
      </c>
      <c r="B532" s="136">
        <f>ESCUADRAS!C105</f>
        <v>0</v>
      </c>
      <c r="C532" s="93"/>
      <c r="D532" s="123"/>
      <c r="E532" s="123"/>
      <c r="F532" s="123"/>
      <c r="G532" s="126"/>
      <c r="H532" s="102"/>
      <c r="I532" s="96"/>
      <c r="J532" s="96"/>
      <c r="K532" s="96"/>
      <c r="L532" s="99"/>
      <c r="M532" s="111"/>
      <c r="N532" s="105"/>
      <c r="O532" s="105"/>
      <c r="P532" s="105"/>
      <c r="Q532" s="108"/>
      <c r="R532" s="102"/>
      <c r="S532" s="96"/>
      <c r="T532" s="96"/>
      <c r="U532" s="96"/>
      <c r="V532" s="99"/>
      <c r="W532" s="102"/>
      <c r="X532" s="96"/>
      <c r="Y532" s="96"/>
      <c r="Z532" s="96"/>
      <c r="AA532" s="99"/>
      <c r="AB532" s="133"/>
    </row>
    <row r="533" spans="1:28" ht="14.25" customHeight="1" x14ac:dyDescent="0.25">
      <c r="A533" s="141"/>
      <c r="B533" s="137"/>
      <c r="C533" s="94"/>
      <c r="D533" s="124"/>
      <c r="E533" s="124"/>
      <c r="F533" s="124"/>
      <c r="G533" s="127"/>
      <c r="H533" s="103"/>
      <c r="I533" s="97"/>
      <c r="J533" s="97"/>
      <c r="K533" s="97"/>
      <c r="L533" s="100"/>
      <c r="M533" s="112"/>
      <c r="N533" s="106"/>
      <c r="O533" s="106"/>
      <c r="P533" s="106"/>
      <c r="Q533" s="109"/>
      <c r="R533" s="103"/>
      <c r="S533" s="97"/>
      <c r="T533" s="97"/>
      <c r="U533" s="97"/>
      <c r="V533" s="100"/>
      <c r="W533" s="103"/>
      <c r="X533" s="97"/>
      <c r="Y533" s="97"/>
      <c r="Z533" s="97"/>
      <c r="AA533" s="100"/>
      <c r="AB533" s="134"/>
    </row>
    <row r="534" spans="1:28" ht="13.5" customHeight="1" thickBot="1" x14ac:dyDescent="0.3">
      <c r="A534" s="142"/>
      <c r="B534" s="138"/>
      <c r="C534" s="95"/>
      <c r="D534" s="125"/>
      <c r="E534" s="125"/>
      <c r="F534" s="125"/>
      <c r="G534" s="128"/>
      <c r="H534" s="104"/>
      <c r="I534" s="98"/>
      <c r="J534" s="98"/>
      <c r="K534" s="98"/>
      <c r="L534" s="101"/>
      <c r="M534" s="113"/>
      <c r="N534" s="107"/>
      <c r="O534" s="107"/>
      <c r="P534" s="107"/>
      <c r="Q534" s="110"/>
      <c r="R534" s="104"/>
      <c r="S534" s="98"/>
      <c r="T534" s="98"/>
      <c r="U534" s="98"/>
      <c r="V534" s="101"/>
      <c r="W534" s="104"/>
      <c r="X534" s="98"/>
      <c r="Y534" s="98"/>
      <c r="Z534" s="98"/>
      <c r="AA534" s="101"/>
      <c r="AB534" s="135"/>
    </row>
    <row r="535" spans="1:28" ht="14.25" customHeight="1" thickTop="1" thickBot="1" x14ac:dyDescent="0.3">
      <c r="A535" s="139">
        <f>ESCUADRAS!B107</f>
        <v>101</v>
      </c>
      <c r="B535" s="136">
        <f>ESCUADRAS!C106</f>
        <v>0</v>
      </c>
      <c r="C535" s="93"/>
      <c r="D535" s="123"/>
      <c r="E535" s="123"/>
      <c r="F535" s="123"/>
      <c r="G535" s="126"/>
      <c r="H535" s="111"/>
      <c r="I535" s="105"/>
      <c r="J535" s="105"/>
      <c r="K535" s="105"/>
      <c r="L535" s="108"/>
      <c r="M535" s="102"/>
      <c r="N535" s="96"/>
      <c r="O535" s="96"/>
      <c r="P535" s="96"/>
      <c r="Q535" s="99"/>
      <c r="R535" s="102"/>
      <c r="S535" s="96"/>
      <c r="T535" s="96"/>
      <c r="U535" s="96"/>
      <c r="V535" s="99"/>
      <c r="W535" s="102"/>
      <c r="X535" s="96"/>
      <c r="Y535" s="96"/>
      <c r="Z535" s="96"/>
      <c r="AA535" s="99"/>
      <c r="AB535" s="133"/>
    </row>
    <row r="536" spans="1:28" ht="14.25" customHeight="1" thickTop="1" thickBot="1" x14ac:dyDescent="0.3">
      <c r="A536" s="139"/>
      <c r="B536" s="137"/>
      <c r="C536" s="94"/>
      <c r="D536" s="124"/>
      <c r="E536" s="124"/>
      <c r="F536" s="124"/>
      <c r="G536" s="127"/>
      <c r="H536" s="112"/>
      <c r="I536" s="106"/>
      <c r="J536" s="106"/>
      <c r="K536" s="106"/>
      <c r="L536" s="109"/>
      <c r="M536" s="103"/>
      <c r="N536" s="97"/>
      <c r="O536" s="97"/>
      <c r="P536" s="97"/>
      <c r="Q536" s="100"/>
      <c r="R536" s="103"/>
      <c r="S536" s="97"/>
      <c r="T536" s="97"/>
      <c r="U536" s="97"/>
      <c r="V536" s="100"/>
      <c r="W536" s="103"/>
      <c r="X536" s="97"/>
      <c r="Y536" s="97"/>
      <c r="Z536" s="97"/>
      <c r="AA536" s="100"/>
      <c r="AB536" s="134"/>
    </row>
    <row r="537" spans="1:28" ht="13.5" customHeight="1" thickTop="1" thickBot="1" x14ac:dyDescent="0.3">
      <c r="A537" s="139"/>
      <c r="B537" s="138"/>
      <c r="C537" s="95"/>
      <c r="D537" s="125"/>
      <c r="E537" s="125"/>
      <c r="F537" s="125"/>
      <c r="G537" s="128"/>
      <c r="H537" s="113"/>
      <c r="I537" s="107"/>
      <c r="J537" s="107"/>
      <c r="K537" s="107"/>
      <c r="L537" s="110"/>
      <c r="M537" s="104"/>
      <c r="N537" s="98"/>
      <c r="O537" s="98"/>
      <c r="P537" s="98"/>
      <c r="Q537" s="101"/>
      <c r="R537" s="104"/>
      <c r="S537" s="98"/>
      <c r="T537" s="98"/>
      <c r="U537" s="98"/>
      <c r="V537" s="101"/>
      <c r="W537" s="104"/>
      <c r="X537" s="98"/>
      <c r="Y537" s="98"/>
      <c r="Z537" s="98"/>
      <c r="AA537" s="101"/>
      <c r="AB537" s="135"/>
    </row>
    <row r="538" spans="1:28" ht="13.5" customHeight="1" thickTop="1" x14ac:dyDescent="0.25">
      <c r="A538" s="140">
        <f>ESCUADRAS!B108</f>
        <v>102</v>
      </c>
      <c r="B538" s="136">
        <f>ESCUADRAS!C107</f>
        <v>0</v>
      </c>
      <c r="C538" s="111"/>
      <c r="D538" s="105"/>
      <c r="E538" s="105"/>
      <c r="F538" s="105"/>
      <c r="G538" s="108"/>
      <c r="H538" s="122"/>
      <c r="I538" s="120"/>
      <c r="J538" s="120"/>
      <c r="K538" s="120"/>
      <c r="L538" s="121"/>
      <c r="M538" s="122"/>
      <c r="N538" s="120"/>
      <c r="O538" s="120"/>
      <c r="P538" s="120"/>
      <c r="Q538" s="121"/>
      <c r="R538" s="122"/>
      <c r="S538" s="120"/>
      <c r="T538" s="120"/>
      <c r="U538" s="120"/>
      <c r="V538" s="121"/>
      <c r="W538" s="122"/>
      <c r="X538" s="120"/>
      <c r="Y538" s="120"/>
      <c r="Z538" s="120"/>
      <c r="AA538" s="121"/>
      <c r="AB538" s="133"/>
    </row>
    <row r="539" spans="1:28" ht="14.25" customHeight="1" x14ac:dyDescent="0.25">
      <c r="A539" s="141"/>
      <c r="B539" s="137"/>
      <c r="C539" s="112"/>
      <c r="D539" s="106"/>
      <c r="E539" s="106"/>
      <c r="F539" s="106"/>
      <c r="G539" s="109"/>
      <c r="H539" s="103"/>
      <c r="I539" s="97"/>
      <c r="J539" s="97"/>
      <c r="K539" s="97"/>
      <c r="L539" s="100"/>
      <c r="M539" s="103"/>
      <c r="N539" s="97"/>
      <c r="O539" s="97"/>
      <c r="P539" s="97"/>
      <c r="Q539" s="100"/>
      <c r="R539" s="103"/>
      <c r="S539" s="97"/>
      <c r="T539" s="97"/>
      <c r="U539" s="97"/>
      <c r="V539" s="100"/>
      <c r="W539" s="103"/>
      <c r="X539" s="97"/>
      <c r="Y539" s="97"/>
      <c r="Z539" s="97"/>
      <c r="AA539" s="100"/>
      <c r="AB539" s="134"/>
    </row>
    <row r="540" spans="1:28" ht="13.5" customHeight="1" thickBot="1" x14ac:dyDescent="0.3">
      <c r="A540" s="142"/>
      <c r="B540" s="138"/>
      <c r="C540" s="113"/>
      <c r="D540" s="107"/>
      <c r="E540" s="107"/>
      <c r="F540" s="107"/>
      <c r="G540" s="110"/>
      <c r="H540" s="104"/>
      <c r="I540" s="98"/>
      <c r="J540" s="98"/>
      <c r="K540" s="98"/>
      <c r="L540" s="101"/>
      <c r="M540" s="104"/>
      <c r="N540" s="98"/>
      <c r="O540" s="98"/>
      <c r="P540" s="98"/>
      <c r="Q540" s="101"/>
      <c r="R540" s="104"/>
      <c r="S540" s="98"/>
      <c r="T540" s="98"/>
      <c r="U540" s="98"/>
      <c r="V540" s="101"/>
      <c r="W540" s="104"/>
      <c r="X540" s="98"/>
      <c r="Y540" s="98"/>
      <c r="Z540" s="98"/>
      <c r="AA540" s="101"/>
      <c r="AB540" s="135"/>
    </row>
    <row r="542" spans="1:28" ht="15" x14ac:dyDescent="0.25">
      <c r="A542" s="28"/>
      <c r="B542" s="26" t="s">
        <v>35</v>
      </c>
      <c r="E542" s="21" t="s">
        <v>41</v>
      </c>
      <c r="I542" s="21" t="s">
        <v>42</v>
      </c>
      <c r="M542" s="21" t="s">
        <v>43</v>
      </c>
      <c r="Q542" s="21" t="s">
        <v>44</v>
      </c>
      <c r="U542" s="21" t="s">
        <v>45</v>
      </c>
      <c r="Y542" s="21" t="s">
        <v>46</v>
      </c>
    </row>
    <row r="549" spans="1:32" ht="24.6" x14ac:dyDescent="0.25">
      <c r="A549" s="144" t="str">
        <f>'INSCRIPCION '!A$1</f>
        <v>TIRADA</v>
      </c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</row>
    <row r="550" spans="1:32" ht="24.6" x14ac:dyDescent="0.4">
      <c r="A550" s="23"/>
      <c r="B550" s="23"/>
    </row>
    <row r="551" spans="1:32" ht="22.8" x14ac:dyDescent="0.25">
      <c r="A551" s="132" t="str">
        <f>'INSCRIPCION '!A$2</f>
        <v>CAMPO DE TIRO LA ISLA</v>
      </c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</row>
    <row r="552" spans="1:32" ht="20.399999999999999" x14ac:dyDescent="0.25">
      <c r="A552" s="143" t="str">
        <f>'INSCRIPCION '!A$3</f>
        <v>XXX PLATOS</v>
      </c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</row>
    <row r="553" spans="1:32" ht="22.8" x14ac:dyDescent="0.4">
      <c r="A553" s="24"/>
      <c r="B553" s="24"/>
    </row>
    <row r="554" spans="1:32" ht="17.399999999999999" x14ac:dyDescent="0.3">
      <c r="A554" s="25" t="s">
        <v>27</v>
      </c>
      <c r="B554" s="25"/>
      <c r="J554" s="9" t="s">
        <v>6</v>
      </c>
      <c r="K554" s="9"/>
      <c r="L554" s="9"/>
      <c r="M554" s="9"/>
      <c r="N554" s="9"/>
      <c r="O554" s="22">
        <v>3</v>
      </c>
      <c r="P554" s="22"/>
      <c r="Q554" s="8"/>
      <c r="R554" s="8"/>
      <c r="S554" s="7"/>
      <c r="T554" s="8"/>
      <c r="U554" s="8"/>
      <c r="V554" s="9" t="s">
        <v>7</v>
      </c>
      <c r="W554" s="9"/>
      <c r="X554" s="9"/>
      <c r="Y554" s="9"/>
      <c r="Z554" s="22">
        <v>2</v>
      </c>
      <c r="AA554" s="22"/>
    </row>
    <row r="555" spans="1:32" ht="13.8" thickBot="1" x14ac:dyDescent="0.3"/>
    <row r="556" spans="1:32" ht="15.6" thickBot="1" x14ac:dyDescent="0.3">
      <c r="A556" s="27" t="s">
        <v>0</v>
      </c>
      <c r="B556" s="27" t="s">
        <v>8</v>
      </c>
      <c r="C556" s="47">
        <v>1</v>
      </c>
      <c r="D556" s="48">
        <v>2</v>
      </c>
      <c r="E556" s="48">
        <v>3</v>
      </c>
      <c r="F556" s="48">
        <v>4</v>
      </c>
      <c r="G556" s="49">
        <v>5</v>
      </c>
      <c r="H556" s="47">
        <v>6</v>
      </c>
      <c r="I556" s="48">
        <v>7</v>
      </c>
      <c r="J556" s="48">
        <v>8</v>
      </c>
      <c r="K556" s="48">
        <v>9</v>
      </c>
      <c r="L556" s="49">
        <v>10</v>
      </c>
      <c r="M556" s="47">
        <v>11</v>
      </c>
      <c r="N556" s="48">
        <v>12</v>
      </c>
      <c r="O556" s="48">
        <v>13</v>
      </c>
      <c r="P556" s="48">
        <v>14</v>
      </c>
      <c r="Q556" s="49">
        <v>15</v>
      </c>
      <c r="R556" s="47">
        <v>16</v>
      </c>
      <c r="S556" s="48">
        <v>17</v>
      </c>
      <c r="T556" s="48">
        <v>18</v>
      </c>
      <c r="U556" s="48">
        <v>19</v>
      </c>
      <c r="V556" s="49">
        <v>20</v>
      </c>
      <c r="W556" s="47">
        <v>21</v>
      </c>
      <c r="X556" s="48">
        <v>22</v>
      </c>
      <c r="Y556" s="48">
        <v>23</v>
      </c>
      <c r="Z556" s="48">
        <v>24</v>
      </c>
      <c r="AA556" s="49">
        <v>25</v>
      </c>
      <c r="AB556" s="30" t="s">
        <v>1</v>
      </c>
    </row>
    <row r="557" spans="1:32" ht="14.25" customHeight="1" thickTop="1" thickBot="1" x14ac:dyDescent="0.3">
      <c r="A557" s="139">
        <f>ESCUADRAS!B109</f>
        <v>103</v>
      </c>
      <c r="B557" s="136">
        <f>ESCUADRAS!C114</f>
        <v>0</v>
      </c>
      <c r="C557" s="129"/>
      <c r="D557" s="114"/>
      <c r="E557" s="114"/>
      <c r="F557" s="114"/>
      <c r="G557" s="117"/>
      <c r="H557" s="111"/>
      <c r="I557" s="105"/>
      <c r="J557" s="105"/>
      <c r="K557" s="105"/>
      <c r="L557" s="108"/>
      <c r="M557" s="111"/>
      <c r="N557" s="105"/>
      <c r="O557" s="105"/>
      <c r="P557" s="105"/>
      <c r="Q557" s="108"/>
      <c r="R557" s="111"/>
      <c r="S557" s="105"/>
      <c r="T557" s="105"/>
      <c r="U557" s="105"/>
      <c r="V557" s="108"/>
      <c r="W557" s="111"/>
      <c r="X557" s="105"/>
      <c r="Y557" s="105"/>
      <c r="Z557" s="105"/>
      <c r="AA557" s="108"/>
      <c r="AB557" s="133"/>
    </row>
    <row r="558" spans="1:32" ht="14.25" customHeight="1" thickTop="1" thickBot="1" x14ac:dyDescent="0.3">
      <c r="A558" s="139"/>
      <c r="B558" s="137"/>
      <c r="C558" s="130"/>
      <c r="D558" s="115"/>
      <c r="E558" s="115"/>
      <c r="F558" s="115"/>
      <c r="G558" s="118"/>
      <c r="H558" s="112"/>
      <c r="I558" s="106"/>
      <c r="J558" s="106"/>
      <c r="K558" s="106"/>
      <c r="L558" s="109"/>
      <c r="M558" s="112"/>
      <c r="N558" s="106"/>
      <c r="O558" s="106"/>
      <c r="P558" s="106"/>
      <c r="Q558" s="109"/>
      <c r="R558" s="112"/>
      <c r="S558" s="106"/>
      <c r="T558" s="106"/>
      <c r="U558" s="106"/>
      <c r="V558" s="109"/>
      <c r="W558" s="112"/>
      <c r="X558" s="106"/>
      <c r="Y558" s="106"/>
      <c r="Z558" s="106"/>
      <c r="AA558" s="109"/>
      <c r="AB558" s="134"/>
    </row>
    <row r="559" spans="1:32" ht="13.5" customHeight="1" thickTop="1" thickBot="1" x14ac:dyDescent="0.3">
      <c r="A559" s="139"/>
      <c r="B559" s="138"/>
      <c r="C559" s="131"/>
      <c r="D559" s="116"/>
      <c r="E559" s="116"/>
      <c r="F559" s="116"/>
      <c r="G559" s="119"/>
      <c r="H559" s="113"/>
      <c r="I559" s="107"/>
      <c r="J559" s="107"/>
      <c r="K559" s="107"/>
      <c r="L559" s="110"/>
      <c r="M559" s="113"/>
      <c r="N559" s="107"/>
      <c r="O559" s="107"/>
      <c r="P559" s="107"/>
      <c r="Q559" s="110"/>
      <c r="R559" s="113"/>
      <c r="S559" s="107"/>
      <c r="T559" s="107"/>
      <c r="U559" s="107"/>
      <c r="V559" s="110"/>
      <c r="W559" s="113"/>
      <c r="X559" s="107"/>
      <c r="Y559" s="107"/>
      <c r="Z559" s="107"/>
      <c r="AA559" s="110"/>
      <c r="AB559" s="135"/>
    </row>
    <row r="560" spans="1:32" ht="14.25" customHeight="1" thickTop="1" x14ac:dyDescent="0.25">
      <c r="A560" s="140">
        <f>ESCUADRAS!B110</f>
        <v>104</v>
      </c>
      <c r="B560" s="136">
        <f>ESCUADRAS!C109</f>
        <v>0</v>
      </c>
      <c r="C560" s="93"/>
      <c r="D560" s="123"/>
      <c r="E560" s="123"/>
      <c r="F560" s="123"/>
      <c r="G560" s="126"/>
      <c r="H560" s="102"/>
      <c r="I560" s="96"/>
      <c r="J560" s="96"/>
      <c r="K560" s="96"/>
      <c r="L560" s="99"/>
      <c r="M560" s="102"/>
      <c r="N560" s="96"/>
      <c r="O560" s="96"/>
      <c r="P560" s="96"/>
      <c r="Q560" s="99"/>
      <c r="R560" s="102"/>
      <c r="S560" s="96"/>
      <c r="T560" s="96"/>
      <c r="U560" s="96"/>
      <c r="V560" s="99"/>
      <c r="W560" s="111"/>
      <c r="X560" s="105"/>
      <c r="Y560" s="105"/>
      <c r="Z560" s="105"/>
      <c r="AA560" s="108"/>
      <c r="AB560" s="133"/>
    </row>
    <row r="561" spans="1:28" ht="14.25" customHeight="1" x14ac:dyDescent="0.25">
      <c r="A561" s="141"/>
      <c r="B561" s="137"/>
      <c r="C561" s="94"/>
      <c r="D561" s="124"/>
      <c r="E561" s="124"/>
      <c r="F561" s="124"/>
      <c r="G561" s="127"/>
      <c r="H561" s="103"/>
      <c r="I561" s="97"/>
      <c r="J561" s="97"/>
      <c r="K561" s="97"/>
      <c r="L561" s="100"/>
      <c r="M561" s="103"/>
      <c r="N561" s="97"/>
      <c r="O561" s="97"/>
      <c r="P561" s="97"/>
      <c r="Q561" s="100"/>
      <c r="R561" s="103"/>
      <c r="S561" s="97"/>
      <c r="T561" s="97"/>
      <c r="U561" s="97"/>
      <c r="V561" s="100"/>
      <c r="W561" s="112"/>
      <c r="X561" s="106"/>
      <c r="Y561" s="106"/>
      <c r="Z561" s="106"/>
      <c r="AA561" s="109"/>
      <c r="AB561" s="134"/>
    </row>
    <row r="562" spans="1:28" ht="13.5" customHeight="1" thickBot="1" x14ac:dyDescent="0.3">
      <c r="A562" s="142"/>
      <c r="B562" s="138"/>
      <c r="C562" s="95"/>
      <c r="D562" s="125"/>
      <c r="E562" s="125"/>
      <c r="F562" s="125"/>
      <c r="G562" s="128"/>
      <c r="H562" s="104"/>
      <c r="I562" s="98"/>
      <c r="J562" s="98"/>
      <c r="K562" s="98"/>
      <c r="L562" s="101"/>
      <c r="M562" s="104"/>
      <c r="N562" s="98"/>
      <c r="O562" s="98"/>
      <c r="P562" s="98"/>
      <c r="Q562" s="101"/>
      <c r="R562" s="104"/>
      <c r="S562" s="98"/>
      <c r="T562" s="98"/>
      <c r="U562" s="98"/>
      <c r="V562" s="101"/>
      <c r="W562" s="113"/>
      <c r="X562" s="107"/>
      <c r="Y562" s="107"/>
      <c r="Z562" s="107"/>
      <c r="AA562" s="110"/>
      <c r="AB562" s="135"/>
    </row>
    <row r="563" spans="1:28" ht="14.25" customHeight="1" thickTop="1" thickBot="1" x14ac:dyDescent="0.3">
      <c r="A563" s="139">
        <f>ESCUADRAS!B111</f>
        <v>105</v>
      </c>
      <c r="B563" s="136">
        <f>ESCUADRAS!C110</f>
        <v>0</v>
      </c>
      <c r="C563" s="93"/>
      <c r="D563" s="123"/>
      <c r="E563" s="123"/>
      <c r="F563" s="123"/>
      <c r="G563" s="126"/>
      <c r="H563" s="102"/>
      <c r="I563" s="96"/>
      <c r="J563" s="96"/>
      <c r="K563" s="96"/>
      <c r="L563" s="99"/>
      <c r="M563" s="102"/>
      <c r="N563" s="96"/>
      <c r="O563" s="96"/>
      <c r="P563" s="96"/>
      <c r="Q563" s="99"/>
      <c r="R563" s="111"/>
      <c r="S563" s="105"/>
      <c r="T563" s="105"/>
      <c r="U563" s="105"/>
      <c r="V563" s="108"/>
      <c r="W563" s="102"/>
      <c r="X563" s="96"/>
      <c r="Y563" s="96"/>
      <c r="Z563" s="96"/>
      <c r="AA563" s="99"/>
      <c r="AB563" s="133"/>
    </row>
    <row r="564" spans="1:28" ht="14.25" customHeight="1" thickTop="1" thickBot="1" x14ac:dyDescent="0.3">
      <c r="A564" s="139"/>
      <c r="B564" s="137"/>
      <c r="C564" s="94"/>
      <c r="D564" s="124"/>
      <c r="E564" s="124"/>
      <c r="F564" s="124"/>
      <c r="G564" s="127"/>
      <c r="H564" s="103"/>
      <c r="I564" s="97"/>
      <c r="J564" s="97"/>
      <c r="K564" s="97"/>
      <c r="L564" s="100"/>
      <c r="M564" s="103"/>
      <c r="N564" s="97"/>
      <c r="O564" s="97"/>
      <c r="P564" s="97"/>
      <c r="Q564" s="100"/>
      <c r="R564" s="112"/>
      <c r="S564" s="106"/>
      <c r="T564" s="106"/>
      <c r="U564" s="106"/>
      <c r="V564" s="109"/>
      <c r="W564" s="103"/>
      <c r="X564" s="97"/>
      <c r="Y564" s="97"/>
      <c r="Z564" s="97"/>
      <c r="AA564" s="100"/>
      <c r="AB564" s="134"/>
    </row>
    <row r="565" spans="1:28" ht="13.5" customHeight="1" thickTop="1" thickBot="1" x14ac:dyDescent="0.3">
      <c r="A565" s="139"/>
      <c r="B565" s="138"/>
      <c r="C565" s="95"/>
      <c r="D565" s="125"/>
      <c r="E565" s="125"/>
      <c r="F565" s="125"/>
      <c r="G565" s="128"/>
      <c r="H565" s="104"/>
      <c r="I565" s="98"/>
      <c r="J565" s="98"/>
      <c r="K565" s="98"/>
      <c r="L565" s="101"/>
      <c r="M565" s="104"/>
      <c r="N565" s="98"/>
      <c r="O565" s="98"/>
      <c r="P565" s="98"/>
      <c r="Q565" s="101"/>
      <c r="R565" s="113"/>
      <c r="S565" s="107"/>
      <c r="T565" s="107"/>
      <c r="U565" s="107"/>
      <c r="V565" s="110"/>
      <c r="W565" s="104"/>
      <c r="X565" s="98"/>
      <c r="Y565" s="98"/>
      <c r="Z565" s="98"/>
      <c r="AA565" s="101"/>
      <c r="AB565" s="135"/>
    </row>
    <row r="566" spans="1:28" ht="13.5" customHeight="1" thickTop="1" x14ac:dyDescent="0.25">
      <c r="A566" s="140">
        <f>ESCUADRAS!B112</f>
        <v>106</v>
      </c>
      <c r="B566" s="136">
        <f>ESCUADRAS!C111</f>
        <v>0</v>
      </c>
      <c r="C566" s="93"/>
      <c r="D566" s="123"/>
      <c r="E566" s="123"/>
      <c r="F566" s="123"/>
      <c r="G566" s="126"/>
      <c r="H566" s="102"/>
      <c r="I566" s="96"/>
      <c r="J566" s="96"/>
      <c r="K566" s="96"/>
      <c r="L566" s="99"/>
      <c r="M566" s="111"/>
      <c r="N566" s="105"/>
      <c r="O566" s="105"/>
      <c r="P566" s="105"/>
      <c r="Q566" s="108"/>
      <c r="R566" s="102"/>
      <c r="S566" s="96"/>
      <c r="T566" s="96"/>
      <c r="U566" s="96"/>
      <c r="V566" s="99"/>
      <c r="W566" s="102"/>
      <c r="X566" s="96"/>
      <c r="Y566" s="96"/>
      <c r="Z566" s="96"/>
      <c r="AA566" s="99"/>
      <c r="AB566" s="133"/>
    </row>
    <row r="567" spans="1:28" ht="14.25" customHeight="1" x14ac:dyDescent="0.25">
      <c r="A567" s="141"/>
      <c r="B567" s="137"/>
      <c r="C567" s="94"/>
      <c r="D567" s="124"/>
      <c r="E567" s="124"/>
      <c r="F567" s="124"/>
      <c r="G567" s="127"/>
      <c r="H567" s="103"/>
      <c r="I567" s="97"/>
      <c r="J567" s="97"/>
      <c r="K567" s="97"/>
      <c r="L567" s="100"/>
      <c r="M567" s="112"/>
      <c r="N567" s="106"/>
      <c r="O567" s="106"/>
      <c r="P567" s="106"/>
      <c r="Q567" s="109"/>
      <c r="R567" s="103"/>
      <c r="S567" s="97"/>
      <c r="T567" s="97"/>
      <c r="U567" s="97"/>
      <c r="V567" s="100"/>
      <c r="W567" s="103"/>
      <c r="X567" s="97"/>
      <c r="Y567" s="97"/>
      <c r="Z567" s="97"/>
      <c r="AA567" s="100"/>
      <c r="AB567" s="134"/>
    </row>
    <row r="568" spans="1:28" ht="13.5" customHeight="1" thickBot="1" x14ac:dyDescent="0.3">
      <c r="A568" s="142"/>
      <c r="B568" s="138"/>
      <c r="C568" s="95"/>
      <c r="D568" s="125"/>
      <c r="E568" s="125"/>
      <c r="F568" s="125"/>
      <c r="G568" s="128"/>
      <c r="H568" s="104"/>
      <c r="I568" s="98"/>
      <c r="J568" s="98"/>
      <c r="K568" s="98"/>
      <c r="L568" s="101"/>
      <c r="M568" s="113"/>
      <c r="N568" s="107"/>
      <c r="O568" s="107"/>
      <c r="P568" s="107"/>
      <c r="Q568" s="110"/>
      <c r="R568" s="104"/>
      <c r="S568" s="98"/>
      <c r="T568" s="98"/>
      <c r="U568" s="98"/>
      <c r="V568" s="101"/>
      <c r="W568" s="104"/>
      <c r="X568" s="98"/>
      <c r="Y568" s="98"/>
      <c r="Z568" s="98"/>
      <c r="AA568" s="101"/>
      <c r="AB568" s="135"/>
    </row>
    <row r="569" spans="1:28" ht="14.25" customHeight="1" thickTop="1" thickBot="1" x14ac:dyDescent="0.3">
      <c r="A569" s="139">
        <f>ESCUADRAS!B113</f>
        <v>107</v>
      </c>
      <c r="B569" s="136">
        <f>ESCUADRAS!C112</f>
        <v>0</v>
      </c>
      <c r="C569" s="93"/>
      <c r="D569" s="123"/>
      <c r="E569" s="123"/>
      <c r="F569" s="123"/>
      <c r="G569" s="126"/>
      <c r="H569" s="111"/>
      <c r="I569" s="105"/>
      <c r="J569" s="105"/>
      <c r="K569" s="105"/>
      <c r="L569" s="108"/>
      <c r="M569" s="102"/>
      <c r="N569" s="96"/>
      <c r="O569" s="96"/>
      <c r="P569" s="96"/>
      <c r="Q569" s="99"/>
      <c r="R569" s="102"/>
      <c r="S569" s="96"/>
      <c r="T569" s="96"/>
      <c r="U569" s="96"/>
      <c r="V569" s="99"/>
      <c r="W569" s="102"/>
      <c r="X569" s="96"/>
      <c r="Y569" s="96"/>
      <c r="Z569" s="96"/>
      <c r="AA569" s="99"/>
      <c r="AB569" s="133"/>
    </row>
    <row r="570" spans="1:28" ht="14.25" customHeight="1" thickTop="1" thickBot="1" x14ac:dyDescent="0.3">
      <c r="A570" s="139"/>
      <c r="B570" s="137"/>
      <c r="C570" s="94"/>
      <c r="D570" s="124"/>
      <c r="E570" s="124"/>
      <c r="F570" s="124"/>
      <c r="G570" s="127"/>
      <c r="H570" s="112"/>
      <c r="I570" s="106"/>
      <c r="J570" s="106"/>
      <c r="K570" s="106"/>
      <c r="L570" s="109"/>
      <c r="M570" s="103"/>
      <c r="N570" s="97"/>
      <c r="O570" s="97"/>
      <c r="P570" s="97"/>
      <c r="Q570" s="100"/>
      <c r="R570" s="103"/>
      <c r="S570" s="97"/>
      <c r="T570" s="97"/>
      <c r="U570" s="97"/>
      <c r="V570" s="100"/>
      <c r="W570" s="103"/>
      <c r="X570" s="97"/>
      <c r="Y570" s="97"/>
      <c r="Z570" s="97"/>
      <c r="AA570" s="100"/>
      <c r="AB570" s="134"/>
    </row>
    <row r="571" spans="1:28" ht="13.5" customHeight="1" thickTop="1" thickBot="1" x14ac:dyDescent="0.3">
      <c r="A571" s="139"/>
      <c r="B571" s="138"/>
      <c r="C571" s="95"/>
      <c r="D571" s="125"/>
      <c r="E571" s="125"/>
      <c r="F571" s="125"/>
      <c r="G571" s="128"/>
      <c r="H571" s="113"/>
      <c r="I571" s="107"/>
      <c r="J571" s="107"/>
      <c r="K571" s="107"/>
      <c r="L571" s="110"/>
      <c r="M571" s="104"/>
      <c r="N571" s="98"/>
      <c r="O571" s="98"/>
      <c r="P571" s="98"/>
      <c r="Q571" s="101"/>
      <c r="R571" s="104"/>
      <c r="S571" s="98"/>
      <c r="T571" s="98"/>
      <c r="U571" s="98"/>
      <c r="V571" s="101"/>
      <c r="W571" s="104"/>
      <c r="X571" s="98"/>
      <c r="Y571" s="98"/>
      <c r="Z571" s="98"/>
      <c r="AA571" s="101"/>
      <c r="AB571" s="135"/>
    </row>
    <row r="572" spans="1:28" ht="13.5" customHeight="1" thickTop="1" x14ac:dyDescent="0.25">
      <c r="A572" s="140">
        <f>ESCUADRAS!B114</f>
        <v>108</v>
      </c>
      <c r="B572" s="136">
        <f>ESCUADRAS!C113</f>
        <v>0</v>
      </c>
      <c r="C572" s="111"/>
      <c r="D572" s="105"/>
      <c r="E572" s="105"/>
      <c r="F572" s="105"/>
      <c r="G572" s="108"/>
      <c r="H572" s="122"/>
      <c r="I572" s="120"/>
      <c r="J572" s="120"/>
      <c r="K572" s="120"/>
      <c r="L572" s="121"/>
      <c r="M572" s="122"/>
      <c r="N572" s="120"/>
      <c r="O572" s="120"/>
      <c r="P572" s="120"/>
      <c r="Q572" s="121"/>
      <c r="R572" s="122"/>
      <c r="S572" s="120"/>
      <c r="T572" s="120"/>
      <c r="U572" s="120"/>
      <c r="V572" s="121"/>
      <c r="W572" s="122"/>
      <c r="X572" s="120"/>
      <c r="Y572" s="120"/>
      <c r="Z572" s="120"/>
      <c r="AA572" s="121"/>
      <c r="AB572" s="133"/>
    </row>
    <row r="573" spans="1:28" ht="14.25" customHeight="1" x14ac:dyDescent="0.25">
      <c r="A573" s="141"/>
      <c r="B573" s="137"/>
      <c r="C573" s="112"/>
      <c r="D573" s="106"/>
      <c r="E573" s="106"/>
      <c r="F573" s="106"/>
      <c r="G573" s="109"/>
      <c r="H573" s="103"/>
      <c r="I573" s="97"/>
      <c r="J573" s="97"/>
      <c r="K573" s="97"/>
      <c r="L573" s="100"/>
      <c r="M573" s="103"/>
      <c r="N573" s="97"/>
      <c r="O573" s="97"/>
      <c r="P573" s="97"/>
      <c r="Q573" s="100"/>
      <c r="R573" s="103"/>
      <c r="S573" s="97"/>
      <c r="T573" s="97"/>
      <c r="U573" s="97"/>
      <c r="V573" s="100"/>
      <c r="W573" s="103"/>
      <c r="X573" s="97"/>
      <c r="Y573" s="97"/>
      <c r="Z573" s="97"/>
      <c r="AA573" s="100"/>
      <c r="AB573" s="134"/>
    </row>
    <row r="574" spans="1:28" ht="13.5" customHeight="1" thickBot="1" x14ac:dyDescent="0.3">
      <c r="A574" s="142"/>
      <c r="B574" s="138"/>
      <c r="C574" s="113"/>
      <c r="D574" s="107"/>
      <c r="E574" s="107"/>
      <c r="F574" s="107"/>
      <c r="G574" s="110"/>
      <c r="H574" s="104"/>
      <c r="I574" s="98"/>
      <c r="J574" s="98"/>
      <c r="K574" s="98"/>
      <c r="L574" s="101"/>
      <c r="M574" s="104"/>
      <c r="N574" s="98"/>
      <c r="O574" s="98"/>
      <c r="P574" s="98"/>
      <c r="Q574" s="101"/>
      <c r="R574" s="104"/>
      <c r="S574" s="98"/>
      <c r="T574" s="98"/>
      <c r="U574" s="98"/>
      <c r="V574" s="101"/>
      <c r="W574" s="104"/>
      <c r="X574" s="98"/>
      <c r="Y574" s="98"/>
      <c r="Z574" s="98"/>
      <c r="AA574" s="101"/>
      <c r="AB574" s="135"/>
    </row>
    <row r="576" spans="1:28" ht="15" x14ac:dyDescent="0.25">
      <c r="A576" s="28"/>
      <c r="B576" s="26" t="s">
        <v>35</v>
      </c>
      <c r="E576" s="21" t="s">
        <v>41</v>
      </c>
      <c r="I576" s="21" t="s">
        <v>42</v>
      </c>
      <c r="M576" s="21" t="s">
        <v>43</v>
      </c>
      <c r="Q576" s="21" t="s">
        <v>44</v>
      </c>
      <c r="U576" s="21" t="s">
        <v>45</v>
      </c>
      <c r="Y576" s="21" t="s">
        <v>46</v>
      </c>
    </row>
    <row r="583" spans="1:32" ht="24.6" x14ac:dyDescent="0.25">
      <c r="A583" s="144" t="str">
        <f>'INSCRIPCION '!A$1</f>
        <v>TIRADA</v>
      </c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</row>
    <row r="584" spans="1:32" ht="24.6" x14ac:dyDescent="0.4">
      <c r="A584" s="23"/>
      <c r="B584" s="23"/>
    </row>
    <row r="585" spans="1:32" ht="22.8" x14ac:dyDescent="0.25">
      <c r="A585" s="132" t="str">
        <f>'INSCRIPCION '!A$2</f>
        <v>CAMPO DE TIRO LA ISLA</v>
      </c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</row>
    <row r="586" spans="1:32" ht="20.399999999999999" x14ac:dyDescent="0.25">
      <c r="A586" s="143" t="str">
        <f>'INSCRIPCION '!A$3</f>
        <v>XXX PLATOS</v>
      </c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</row>
    <row r="587" spans="1:32" ht="22.8" x14ac:dyDescent="0.4">
      <c r="A587" s="24"/>
      <c r="B587" s="24"/>
    </row>
    <row r="588" spans="1:32" ht="17.399999999999999" x14ac:dyDescent="0.3">
      <c r="A588" s="25" t="s">
        <v>28</v>
      </c>
      <c r="B588" s="25"/>
      <c r="J588" s="9" t="s">
        <v>6</v>
      </c>
      <c r="K588" s="9"/>
      <c r="L588" s="9"/>
      <c r="M588" s="9"/>
      <c r="N588" s="9"/>
      <c r="O588" s="22">
        <v>4</v>
      </c>
      <c r="P588" s="22"/>
      <c r="Q588" s="8"/>
      <c r="R588" s="8"/>
      <c r="S588" s="7"/>
      <c r="T588" s="8"/>
      <c r="U588" s="8"/>
      <c r="V588" s="9" t="s">
        <v>7</v>
      </c>
      <c r="W588" s="9"/>
      <c r="X588" s="9"/>
      <c r="Y588" s="9"/>
      <c r="Z588" s="22">
        <v>2</v>
      </c>
      <c r="AA588" s="22"/>
    </row>
    <row r="589" spans="1:32" ht="13.8" thickBot="1" x14ac:dyDescent="0.3"/>
    <row r="590" spans="1:32" ht="15.6" thickBot="1" x14ac:dyDescent="0.3">
      <c r="A590" s="27" t="s">
        <v>0</v>
      </c>
      <c r="B590" s="27" t="s">
        <v>8</v>
      </c>
      <c r="C590" s="47">
        <v>1</v>
      </c>
      <c r="D590" s="48">
        <v>2</v>
      </c>
      <c r="E590" s="48">
        <v>3</v>
      </c>
      <c r="F590" s="48">
        <v>4</v>
      </c>
      <c r="G590" s="49">
        <v>5</v>
      </c>
      <c r="H590" s="47">
        <v>6</v>
      </c>
      <c r="I590" s="48">
        <v>7</v>
      </c>
      <c r="J590" s="48">
        <v>8</v>
      </c>
      <c r="K590" s="48">
        <v>9</v>
      </c>
      <c r="L590" s="49">
        <v>10</v>
      </c>
      <c r="M590" s="47">
        <v>11</v>
      </c>
      <c r="N590" s="48">
        <v>12</v>
      </c>
      <c r="O590" s="48">
        <v>13</v>
      </c>
      <c r="P590" s="48">
        <v>14</v>
      </c>
      <c r="Q590" s="49">
        <v>15</v>
      </c>
      <c r="R590" s="47">
        <v>16</v>
      </c>
      <c r="S590" s="48">
        <v>17</v>
      </c>
      <c r="T590" s="48">
        <v>18</v>
      </c>
      <c r="U590" s="48">
        <v>19</v>
      </c>
      <c r="V590" s="49">
        <v>20</v>
      </c>
      <c r="W590" s="47">
        <v>21</v>
      </c>
      <c r="X590" s="48">
        <v>22</v>
      </c>
      <c r="Y590" s="48">
        <v>23</v>
      </c>
      <c r="Z590" s="48">
        <v>24</v>
      </c>
      <c r="AA590" s="49">
        <v>25</v>
      </c>
      <c r="AB590" s="30" t="s">
        <v>1</v>
      </c>
    </row>
    <row r="591" spans="1:32" ht="14.25" customHeight="1" thickTop="1" thickBot="1" x14ac:dyDescent="0.3">
      <c r="A591" s="139">
        <f>ESCUADRAS!B115</f>
        <v>109</v>
      </c>
      <c r="B591" s="136">
        <f>ESCUADRAS!C120</f>
        <v>0</v>
      </c>
      <c r="C591" s="129"/>
      <c r="D591" s="114"/>
      <c r="E591" s="114"/>
      <c r="F591" s="114"/>
      <c r="G591" s="117"/>
      <c r="H591" s="111"/>
      <c r="I591" s="105"/>
      <c r="J591" s="105"/>
      <c r="K591" s="105"/>
      <c r="L591" s="108"/>
      <c r="M591" s="111"/>
      <c r="N591" s="105"/>
      <c r="O591" s="105"/>
      <c r="P591" s="105"/>
      <c r="Q591" s="108"/>
      <c r="R591" s="111"/>
      <c r="S591" s="105"/>
      <c r="T591" s="105"/>
      <c r="U591" s="105"/>
      <c r="V591" s="108"/>
      <c r="W591" s="111"/>
      <c r="X591" s="105"/>
      <c r="Y591" s="105"/>
      <c r="Z591" s="105"/>
      <c r="AA591" s="108"/>
      <c r="AB591" s="133"/>
    </row>
    <row r="592" spans="1:32" ht="14.25" customHeight="1" thickTop="1" thickBot="1" x14ac:dyDescent="0.3">
      <c r="A592" s="139"/>
      <c r="B592" s="137"/>
      <c r="C592" s="130"/>
      <c r="D592" s="115"/>
      <c r="E592" s="115"/>
      <c r="F592" s="115"/>
      <c r="G592" s="118"/>
      <c r="H592" s="112"/>
      <c r="I592" s="106"/>
      <c r="J592" s="106"/>
      <c r="K592" s="106"/>
      <c r="L592" s="109"/>
      <c r="M592" s="112"/>
      <c r="N592" s="106"/>
      <c r="O592" s="106"/>
      <c r="P592" s="106"/>
      <c r="Q592" s="109"/>
      <c r="R592" s="112"/>
      <c r="S592" s="106"/>
      <c r="T592" s="106"/>
      <c r="U592" s="106"/>
      <c r="V592" s="109"/>
      <c r="W592" s="112"/>
      <c r="X592" s="106"/>
      <c r="Y592" s="106"/>
      <c r="Z592" s="106"/>
      <c r="AA592" s="109"/>
      <c r="AB592" s="134"/>
    </row>
    <row r="593" spans="1:28" ht="13.5" customHeight="1" thickTop="1" thickBot="1" x14ac:dyDescent="0.3">
      <c r="A593" s="139"/>
      <c r="B593" s="138"/>
      <c r="C593" s="131"/>
      <c r="D593" s="116"/>
      <c r="E593" s="116"/>
      <c r="F593" s="116"/>
      <c r="G593" s="119"/>
      <c r="H593" s="113"/>
      <c r="I593" s="107"/>
      <c r="J593" s="107"/>
      <c r="K593" s="107"/>
      <c r="L593" s="110"/>
      <c r="M593" s="113"/>
      <c r="N593" s="107"/>
      <c r="O593" s="107"/>
      <c r="P593" s="107"/>
      <c r="Q593" s="110"/>
      <c r="R593" s="113"/>
      <c r="S593" s="107"/>
      <c r="T593" s="107"/>
      <c r="U593" s="107"/>
      <c r="V593" s="110"/>
      <c r="W593" s="113"/>
      <c r="X593" s="107"/>
      <c r="Y593" s="107"/>
      <c r="Z593" s="107"/>
      <c r="AA593" s="110"/>
      <c r="AB593" s="135"/>
    </row>
    <row r="594" spans="1:28" ht="14.25" customHeight="1" thickTop="1" x14ac:dyDescent="0.25">
      <c r="A594" s="140">
        <f>ESCUADRAS!B116</f>
        <v>110</v>
      </c>
      <c r="B594" s="136">
        <f>ESCUADRAS!C115</f>
        <v>0</v>
      </c>
      <c r="C594" s="93"/>
      <c r="D594" s="123"/>
      <c r="E594" s="123"/>
      <c r="F594" s="123"/>
      <c r="G594" s="126"/>
      <c r="H594" s="102"/>
      <c r="I594" s="96"/>
      <c r="J594" s="96"/>
      <c r="K594" s="96"/>
      <c r="L594" s="99"/>
      <c r="M594" s="102"/>
      <c r="N594" s="96"/>
      <c r="O594" s="96"/>
      <c r="P594" s="96"/>
      <c r="Q594" s="99"/>
      <c r="R594" s="102"/>
      <c r="S594" s="96"/>
      <c r="T594" s="96"/>
      <c r="U594" s="96"/>
      <c r="V594" s="99"/>
      <c r="W594" s="111"/>
      <c r="X594" s="105"/>
      <c r="Y594" s="105"/>
      <c r="Z594" s="105"/>
      <c r="AA594" s="108"/>
      <c r="AB594" s="133"/>
    </row>
    <row r="595" spans="1:28" ht="14.25" customHeight="1" x14ac:dyDescent="0.25">
      <c r="A595" s="141"/>
      <c r="B595" s="137"/>
      <c r="C595" s="94"/>
      <c r="D595" s="124"/>
      <c r="E595" s="124"/>
      <c r="F595" s="124"/>
      <c r="G595" s="127"/>
      <c r="H595" s="103"/>
      <c r="I595" s="97"/>
      <c r="J595" s="97"/>
      <c r="K595" s="97"/>
      <c r="L595" s="100"/>
      <c r="M595" s="103"/>
      <c r="N595" s="97"/>
      <c r="O595" s="97"/>
      <c r="P595" s="97"/>
      <c r="Q595" s="100"/>
      <c r="R595" s="103"/>
      <c r="S595" s="97"/>
      <c r="T595" s="97"/>
      <c r="U595" s="97"/>
      <c r="V595" s="100"/>
      <c r="W595" s="112"/>
      <c r="X595" s="106"/>
      <c r="Y595" s="106"/>
      <c r="Z595" s="106"/>
      <c r="AA595" s="109"/>
      <c r="AB595" s="134"/>
    </row>
    <row r="596" spans="1:28" ht="13.5" customHeight="1" thickBot="1" x14ac:dyDescent="0.3">
      <c r="A596" s="142"/>
      <c r="B596" s="138"/>
      <c r="C596" s="95"/>
      <c r="D596" s="125"/>
      <c r="E596" s="125"/>
      <c r="F596" s="125"/>
      <c r="G596" s="128"/>
      <c r="H596" s="104"/>
      <c r="I596" s="98"/>
      <c r="J596" s="98"/>
      <c r="K596" s="98"/>
      <c r="L596" s="101"/>
      <c r="M596" s="104"/>
      <c r="N596" s="98"/>
      <c r="O596" s="98"/>
      <c r="P596" s="98"/>
      <c r="Q596" s="101"/>
      <c r="R596" s="104"/>
      <c r="S596" s="98"/>
      <c r="T596" s="98"/>
      <c r="U596" s="98"/>
      <c r="V596" s="101"/>
      <c r="W596" s="113"/>
      <c r="X596" s="107"/>
      <c r="Y596" s="107"/>
      <c r="Z596" s="107"/>
      <c r="AA596" s="110"/>
      <c r="AB596" s="135"/>
    </row>
    <row r="597" spans="1:28" ht="14.25" customHeight="1" thickTop="1" thickBot="1" x14ac:dyDescent="0.3">
      <c r="A597" s="139">
        <f>ESCUADRAS!B117</f>
        <v>111</v>
      </c>
      <c r="B597" s="136">
        <f>ESCUADRAS!C116</f>
        <v>0</v>
      </c>
      <c r="C597" s="93"/>
      <c r="D597" s="123"/>
      <c r="E597" s="123"/>
      <c r="F597" s="123"/>
      <c r="G597" s="126"/>
      <c r="H597" s="102"/>
      <c r="I597" s="96"/>
      <c r="J597" s="96"/>
      <c r="K597" s="96"/>
      <c r="L597" s="99"/>
      <c r="M597" s="102"/>
      <c r="N597" s="96"/>
      <c r="O597" s="96"/>
      <c r="P597" s="96"/>
      <c r="Q597" s="99"/>
      <c r="R597" s="111"/>
      <c r="S597" s="105"/>
      <c r="T597" s="105"/>
      <c r="U597" s="105"/>
      <c r="V597" s="108"/>
      <c r="W597" s="102"/>
      <c r="X597" s="96"/>
      <c r="Y597" s="96"/>
      <c r="Z597" s="96"/>
      <c r="AA597" s="99"/>
      <c r="AB597" s="133"/>
    </row>
    <row r="598" spans="1:28" ht="14.25" customHeight="1" thickTop="1" thickBot="1" x14ac:dyDescent="0.3">
      <c r="A598" s="139"/>
      <c r="B598" s="137"/>
      <c r="C598" s="94"/>
      <c r="D598" s="124"/>
      <c r="E598" s="124"/>
      <c r="F598" s="124"/>
      <c r="G598" s="127"/>
      <c r="H598" s="103"/>
      <c r="I598" s="97"/>
      <c r="J598" s="97"/>
      <c r="K598" s="97"/>
      <c r="L598" s="100"/>
      <c r="M598" s="103"/>
      <c r="N598" s="97"/>
      <c r="O598" s="97"/>
      <c r="P598" s="97"/>
      <c r="Q598" s="100"/>
      <c r="R598" s="112"/>
      <c r="S598" s="106"/>
      <c r="T598" s="106"/>
      <c r="U598" s="106"/>
      <c r="V598" s="109"/>
      <c r="W598" s="103"/>
      <c r="X598" s="97"/>
      <c r="Y598" s="97"/>
      <c r="Z598" s="97"/>
      <c r="AA598" s="100"/>
      <c r="AB598" s="134"/>
    </row>
    <row r="599" spans="1:28" ht="13.5" customHeight="1" thickTop="1" thickBot="1" x14ac:dyDescent="0.3">
      <c r="A599" s="139"/>
      <c r="B599" s="138"/>
      <c r="C599" s="95"/>
      <c r="D599" s="125"/>
      <c r="E599" s="125"/>
      <c r="F599" s="125"/>
      <c r="G599" s="128"/>
      <c r="H599" s="104"/>
      <c r="I599" s="98"/>
      <c r="J599" s="98"/>
      <c r="K599" s="98"/>
      <c r="L599" s="101"/>
      <c r="M599" s="104"/>
      <c r="N599" s="98"/>
      <c r="O599" s="98"/>
      <c r="P599" s="98"/>
      <c r="Q599" s="101"/>
      <c r="R599" s="113"/>
      <c r="S599" s="107"/>
      <c r="T599" s="107"/>
      <c r="U599" s="107"/>
      <c r="V599" s="110"/>
      <c r="W599" s="104"/>
      <c r="X599" s="98"/>
      <c r="Y599" s="98"/>
      <c r="Z599" s="98"/>
      <c r="AA599" s="101"/>
      <c r="AB599" s="135"/>
    </row>
    <row r="600" spans="1:28" ht="13.5" customHeight="1" thickTop="1" x14ac:dyDescent="0.25">
      <c r="A600" s="140">
        <f>ESCUADRAS!B118</f>
        <v>112</v>
      </c>
      <c r="B600" s="136">
        <f>ESCUADRAS!C117</f>
        <v>0</v>
      </c>
      <c r="C600" s="93"/>
      <c r="D600" s="123"/>
      <c r="E600" s="123"/>
      <c r="F600" s="123"/>
      <c r="G600" s="126"/>
      <c r="H600" s="102"/>
      <c r="I600" s="96"/>
      <c r="J600" s="96"/>
      <c r="K600" s="96"/>
      <c r="L600" s="99"/>
      <c r="M600" s="111"/>
      <c r="N600" s="105"/>
      <c r="O600" s="105"/>
      <c r="P600" s="105"/>
      <c r="Q600" s="108"/>
      <c r="R600" s="102"/>
      <c r="S600" s="96"/>
      <c r="T600" s="96"/>
      <c r="U600" s="96"/>
      <c r="V600" s="99"/>
      <c r="W600" s="102"/>
      <c r="X600" s="96"/>
      <c r="Y600" s="96"/>
      <c r="Z600" s="96"/>
      <c r="AA600" s="99"/>
      <c r="AB600" s="133"/>
    </row>
    <row r="601" spans="1:28" ht="14.25" customHeight="1" x14ac:dyDescent="0.25">
      <c r="A601" s="141"/>
      <c r="B601" s="137"/>
      <c r="C601" s="94"/>
      <c r="D601" s="124"/>
      <c r="E601" s="124"/>
      <c r="F601" s="124"/>
      <c r="G601" s="127"/>
      <c r="H601" s="103"/>
      <c r="I601" s="97"/>
      <c r="J601" s="97"/>
      <c r="K601" s="97"/>
      <c r="L601" s="100"/>
      <c r="M601" s="112"/>
      <c r="N601" s="106"/>
      <c r="O601" s="106"/>
      <c r="P601" s="106"/>
      <c r="Q601" s="109"/>
      <c r="R601" s="103"/>
      <c r="S601" s="97"/>
      <c r="T601" s="97"/>
      <c r="U601" s="97"/>
      <c r="V601" s="100"/>
      <c r="W601" s="103"/>
      <c r="X601" s="97"/>
      <c r="Y601" s="97"/>
      <c r="Z601" s="97"/>
      <c r="AA601" s="100"/>
      <c r="AB601" s="134"/>
    </row>
    <row r="602" spans="1:28" ht="13.5" customHeight="1" thickBot="1" x14ac:dyDescent="0.3">
      <c r="A602" s="142"/>
      <c r="B602" s="138"/>
      <c r="C602" s="95"/>
      <c r="D602" s="125"/>
      <c r="E602" s="125"/>
      <c r="F602" s="125"/>
      <c r="G602" s="128"/>
      <c r="H602" s="104"/>
      <c r="I602" s="98"/>
      <c r="J602" s="98"/>
      <c r="K602" s="98"/>
      <c r="L602" s="101"/>
      <c r="M602" s="113"/>
      <c r="N602" s="107"/>
      <c r="O602" s="107"/>
      <c r="P602" s="107"/>
      <c r="Q602" s="110"/>
      <c r="R602" s="104"/>
      <c r="S602" s="98"/>
      <c r="T602" s="98"/>
      <c r="U602" s="98"/>
      <c r="V602" s="101"/>
      <c r="W602" s="104"/>
      <c r="X602" s="98"/>
      <c r="Y602" s="98"/>
      <c r="Z602" s="98"/>
      <c r="AA602" s="101"/>
      <c r="AB602" s="135"/>
    </row>
    <row r="603" spans="1:28" ht="14.25" customHeight="1" thickTop="1" thickBot="1" x14ac:dyDescent="0.3">
      <c r="A603" s="139">
        <f>ESCUADRAS!B119</f>
        <v>113</v>
      </c>
      <c r="B603" s="136">
        <f>ESCUADRAS!C118</f>
        <v>0</v>
      </c>
      <c r="C603" s="93"/>
      <c r="D603" s="123"/>
      <c r="E603" s="123"/>
      <c r="F603" s="123"/>
      <c r="G603" s="126"/>
      <c r="H603" s="111"/>
      <c r="I603" s="105"/>
      <c r="J603" s="105"/>
      <c r="K603" s="105"/>
      <c r="L603" s="108"/>
      <c r="M603" s="102"/>
      <c r="N603" s="96"/>
      <c r="O603" s="96"/>
      <c r="P603" s="96"/>
      <c r="Q603" s="99"/>
      <c r="R603" s="102"/>
      <c r="S603" s="96"/>
      <c r="T603" s="96"/>
      <c r="U603" s="96"/>
      <c r="V603" s="99"/>
      <c r="W603" s="102"/>
      <c r="X603" s="96"/>
      <c r="Y603" s="96"/>
      <c r="Z603" s="96"/>
      <c r="AA603" s="99"/>
      <c r="AB603" s="133"/>
    </row>
    <row r="604" spans="1:28" ht="14.25" customHeight="1" thickTop="1" thickBot="1" x14ac:dyDescent="0.3">
      <c r="A604" s="139"/>
      <c r="B604" s="137"/>
      <c r="C604" s="94"/>
      <c r="D604" s="124"/>
      <c r="E604" s="124"/>
      <c r="F604" s="124"/>
      <c r="G604" s="127"/>
      <c r="H604" s="112"/>
      <c r="I604" s="106"/>
      <c r="J604" s="106"/>
      <c r="K604" s="106"/>
      <c r="L604" s="109"/>
      <c r="M604" s="103"/>
      <c r="N604" s="97"/>
      <c r="O604" s="97"/>
      <c r="P604" s="97"/>
      <c r="Q604" s="100"/>
      <c r="R604" s="103"/>
      <c r="S604" s="97"/>
      <c r="T604" s="97"/>
      <c r="U604" s="97"/>
      <c r="V604" s="100"/>
      <c r="W604" s="103"/>
      <c r="X604" s="97"/>
      <c r="Y604" s="97"/>
      <c r="Z604" s="97"/>
      <c r="AA604" s="100"/>
      <c r="AB604" s="134"/>
    </row>
    <row r="605" spans="1:28" ht="13.5" customHeight="1" thickTop="1" thickBot="1" x14ac:dyDescent="0.3">
      <c r="A605" s="139"/>
      <c r="B605" s="138"/>
      <c r="C605" s="95"/>
      <c r="D605" s="125"/>
      <c r="E605" s="125"/>
      <c r="F605" s="125"/>
      <c r="G605" s="128"/>
      <c r="H605" s="113"/>
      <c r="I605" s="107"/>
      <c r="J605" s="107"/>
      <c r="K605" s="107"/>
      <c r="L605" s="110"/>
      <c r="M605" s="104"/>
      <c r="N605" s="98"/>
      <c r="O605" s="98"/>
      <c r="P605" s="98"/>
      <c r="Q605" s="101"/>
      <c r="R605" s="104"/>
      <c r="S605" s="98"/>
      <c r="T605" s="98"/>
      <c r="U605" s="98"/>
      <c r="V605" s="101"/>
      <c r="W605" s="104"/>
      <c r="X605" s="98"/>
      <c r="Y605" s="98"/>
      <c r="Z605" s="98"/>
      <c r="AA605" s="101"/>
      <c r="AB605" s="135"/>
    </row>
    <row r="606" spans="1:28" ht="13.5" customHeight="1" thickTop="1" x14ac:dyDescent="0.25">
      <c r="A606" s="140">
        <f>ESCUADRAS!B120</f>
        <v>114</v>
      </c>
      <c r="B606" s="136">
        <f>ESCUADRAS!C119</f>
        <v>0</v>
      </c>
      <c r="C606" s="111"/>
      <c r="D606" s="105"/>
      <c r="E606" s="105"/>
      <c r="F606" s="105"/>
      <c r="G606" s="108"/>
      <c r="H606" s="122"/>
      <c r="I606" s="120"/>
      <c r="J606" s="120"/>
      <c r="K606" s="120"/>
      <c r="L606" s="121"/>
      <c r="M606" s="122"/>
      <c r="N606" s="120"/>
      <c r="O606" s="120"/>
      <c r="P606" s="120"/>
      <c r="Q606" s="121"/>
      <c r="R606" s="122"/>
      <c r="S606" s="120"/>
      <c r="T606" s="120"/>
      <c r="U606" s="120"/>
      <c r="V606" s="121"/>
      <c r="W606" s="122"/>
      <c r="X606" s="120"/>
      <c r="Y606" s="120"/>
      <c r="Z606" s="120"/>
      <c r="AA606" s="121"/>
      <c r="AB606" s="133"/>
    </row>
    <row r="607" spans="1:28" ht="14.25" customHeight="1" x14ac:dyDescent="0.25">
      <c r="A607" s="141"/>
      <c r="B607" s="137"/>
      <c r="C607" s="112"/>
      <c r="D607" s="106"/>
      <c r="E607" s="106"/>
      <c r="F607" s="106"/>
      <c r="G607" s="109"/>
      <c r="H607" s="103"/>
      <c r="I607" s="97"/>
      <c r="J607" s="97"/>
      <c r="K607" s="97"/>
      <c r="L607" s="100"/>
      <c r="M607" s="103"/>
      <c r="N607" s="97"/>
      <c r="O607" s="97"/>
      <c r="P607" s="97"/>
      <c r="Q607" s="100"/>
      <c r="R607" s="103"/>
      <c r="S607" s="97"/>
      <c r="T607" s="97"/>
      <c r="U607" s="97"/>
      <c r="V607" s="100"/>
      <c r="W607" s="103"/>
      <c r="X607" s="97"/>
      <c r="Y607" s="97"/>
      <c r="Z607" s="97"/>
      <c r="AA607" s="100"/>
      <c r="AB607" s="134"/>
    </row>
    <row r="608" spans="1:28" ht="13.5" customHeight="1" thickBot="1" x14ac:dyDescent="0.3">
      <c r="A608" s="142"/>
      <c r="B608" s="138"/>
      <c r="C608" s="113"/>
      <c r="D608" s="107"/>
      <c r="E608" s="107"/>
      <c r="F608" s="107"/>
      <c r="G608" s="110"/>
      <c r="H608" s="104"/>
      <c r="I608" s="98"/>
      <c r="J608" s="98"/>
      <c r="K608" s="98"/>
      <c r="L608" s="101"/>
      <c r="M608" s="104"/>
      <c r="N608" s="98"/>
      <c r="O608" s="98"/>
      <c r="P608" s="98"/>
      <c r="Q608" s="101"/>
      <c r="R608" s="104"/>
      <c r="S608" s="98"/>
      <c r="T608" s="98"/>
      <c r="U608" s="98"/>
      <c r="V608" s="101"/>
      <c r="W608" s="104"/>
      <c r="X608" s="98"/>
      <c r="Y608" s="98"/>
      <c r="Z608" s="98"/>
      <c r="AA608" s="101"/>
      <c r="AB608" s="135"/>
    </row>
    <row r="610" spans="1:32" ht="15" x14ac:dyDescent="0.25">
      <c r="A610" s="28"/>
      <c r="B610" s="26" t="s">
        <v>35</v>
      </c>
      <c r="E610" s="21" t="s">
        <v>41</v>
      </c>
      <c r="I610" s="21" t="s">
        <v>42</v>
      </c>
      <c r="M610" s="21" t="s">
        <v>43</v>
      </c>
      <c r="Q610" s="21" t="s">
        <v>44</v>
      </c>
      <c r="U610" s="21" t="s">
        <v>45</v>
      </c>
      <c r="Y610" s="21" t="s">
        <v>46</v>
      </c>
    </row>
    <row r="616" spans="1:32" ht="27" customHeight="1" x14ac:dyDescent="0.25">
      <c r="A616" s="144" t="str">
        <f>'INSCRIPCION '!A$1</f>
        <v>TIRADA</v>
      </c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</row>
    <row r="617" spans="1:32" ht="24.6" customHeight="1" x14ac:dyDescent="0.4">
      <c r="A617" s="23"/>
      <c r="B617" s="23"/>
    </row>
    <row r="618" spans="1:32" ht="22.8" x14ac:dyDescent="0.25">
      <c r="A618" s="132" t="str">
        <f>'INSCRIPCION '!A$2</f>
        <v>CAMPO DE TIRO LA ISLA</v>
      </c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</row>
    <row r="619" spans="1:32" ht="20.399999999999999" x14ac:dyDescent="0.25">
      <c r="A619" s="143" t="str">
        <f>'INSCRIPCION '!A$3</f>
        <v>XXX PLATOS</v>
      </c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</row>
    <row r="620" spans="1:32" ht="22.8" x14ac:dyDescent="0.25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</row>
    <row r="621" spans="1:32" ht="22.8" x14ac:dyDescent="0.4">
      <c r="A621" s="24"/>
      <c r="B621" s="24"/>
    </row>
    <row r="622" spans="1:32" ht="17.399999999999999" x14ac:dyDescent="0.3">
      <c r="A622" s="25" t="s">
        <v>29</v>
      </c>
      <c r="B622" s="25"/>
      <c r="J622" s="9" t="s">
        <v>6</v>
      </c>
      <c r="K622" s="9"/>
      <c r="L622" s="9"/>
      <c r="M622" s="9"/>
      <c r="N622" s="9"/>
      <c r="O622" s="22">
        <v>1</v>
      </c>
      <c r="P622" s="22"/>
      <c r="Q622" s="8"/>
      <c r="R622" s="8"/>
      <c r="S622" s="7"/>
      <c r="T622" s="8"/>
      <c r="U622" s="8"/>
      <c r="V622" s="9" t="s">
        <v>7</v>
      </c>
      <c r="W622" s="9"/>
      <c r="X622" s="9"/>
      <c r="Y622" s="9"/>
      <c r="Z622" s="22">
        <v>2</v>
      </c>
      <c r="AA622" s="22"/>
    </row>
    <row r="623" spans="1:32" ht="13.8" thickBot="1" x14ac:dyDescent="0.3"/>
    <row r="624" spans="1:32" ht="15.6" thickBot="1" x14ac:dyDescent="0.3">
      <c r="A624" s="27" t="s">
        <v>0</v>
      </c>
      <c r="B624" s="27" t="s">
        <v>8</v>
      </c>
      <c r="C624" s="47">
        <v>1</v>
      </c>
      <c r="D624" s="48">
        <v>2</v>
      </c>
      <c r="E624" s="48">
        <v>3</v>
      </c>
      <c r="F624" s="48">
        <v>4</v>
      </c>
      <c r="G624" s="49">
        <v>5</v>
      </c>
      <c r="H624" s="47">
        <v>6</v>
      </c>
      <c r="I624" s="48">
        <v>7</v>
      </c>
      <c r="J624" s="48">
        <v>8</v>
      </c>
      <c r="K624" s="48">
        <v>9</v>
      </c>
      <c r="L624" s="49">
        <v>10</v>
      </c>
      <c r="M624" s="47">
        <v>11</v>
      </c>
      <c r="N624" s="48">
        <v>12</v>
      </c>
      <c r="O624" s="48">
        <v>13</v>
      </c>
      <c r="P624" s="48">
        <v>14</v>
      </c>
      <c r="Q624" s="49">
        <v>15</v>
      </c>
      <c r="R624" s="47">
        <v>16</v>
      </c>
      <c r="S624" s="48">
        <v>17</v>
      </c>
      <c r="T624" s="48">
        <v>18</v>
      </c>
      <c r="U624" s="48">
        <v>19</v>
      </c>
      <c r="V624" s="49">
        <v>20</v>
      </c>
      <c r="W624" s="47">
        <v>21</v>
      </c>
      <c r="X624" s="48">
        <v>22</v>
      </c>
      <c r="Y624" s="48">
        <v>23</v>
      </c>
      <c r="Z624" s="48">
        <v>24</v>
      </c>
      <c r="AA624" s="49">
        <v>25</v>
      </c>
      <c r="AB624" s="30" t="s">
        <v>1</v>
      </c>
    </row>
    <row r="625" spans="1:28" ht="12.75" customHeight="1" thickTop="1" thickBot="1" x14ac:dyDescent="0.3">
      <c r="A625" s="139">
        <f>ESCUADRAS!B121</f>
        <v>115</v>
      </c>
      <c r="B625" s="136">
        <f>ESCUADRAS!C126</f>
        <v>0</v>
      </c>
      <c r="C625" s="129"/>
      <c r="D625" s="114"/>
      <c r="E625" s="114"/>
      <c r="F625" s="114"/>
      <c r="G625" s="117"/>
      <c r="H625" s="111"/>
      <c r="I625" s="105"/>
      <c r="J625" s="105"/>
      <c r="K625" s="105"/>
      <c r="L625" s="108"/>
      <c r="M625" s="111"/>
      <c r="N625" s="105"/>
      <c r="O625" s="105"/>
      <c r="P625" s="105"/>
      <c r="Q625" s="108"/>
      <c r="R625" s="111"/>
      <c r="S625" s="105"/>
      <c r="T625" s="105"/>
      <c r="U625" s="105"/>
      <c r="V625" s="108"/>
      <c r="W625" s="111"/>
      <c r="X625" s="105"/>
      <c r="Y625" s="105"/>
      <c r="Z625" s="105"/>
      <c r="AA625" s="108"/>
      <c r="AB625" s="133"/>
    </row>
    <row r="626" spans="1:28" ht="14.25" customHeight="1" thickTop="1" thickBot="1" x14ac:dyDescent="0.3">
      <c r="A626" s="139"/>
      <c r="B626" s="137"/>
      <c r="C626" s="130"/>
      <c r="D626" s="115"/>
      <c r="E626" s="115"/>
      <c r="F626" s="115"/>
      <c r="G626" s="118"/>
      <c r="H626" s="112"/>
      <c r="I626" s="106"/>
      <c r="J626" s="106"/>
      <c r="K626" s="106"/>
      <c r="L626" s="109"/>
      <c r="M626" s="112"/>
      <c r="N626" s="106"/>
      <c r="O626" s="106"/>
      <c r="P626" s="106"/>
      <c r="Q626" s="109"/>
      <c r="R626" s="112"/>
      <c r="S626" s="106"/>
      <c r="T626" s="106"/>
      <c r="U626" s="106"/>
      <c r="V626" s="109"/>
      <c r="W626" s="112"/>
      <c r="X626" s="106"/>
      <c r="Y626" s="106"/>
      <c r="Z626" s="106"/>
      <c r="AA626" s="109"/>
      <c r="AB626" s="134"/>
    </row>
    <row r="627" spans="1:28" ht="13.5" customHeight="1" thickTop="1" thickBot="1" x14ac:dyDescent="0.3">
      <c r="A627" s="139"/>
      <c r="B627" s="138"/>
      <c r="C627" s="131"/>
      <c r="D627" s="116"/>
      <c r="E627" s="116"/>
      <c r="F627" s="116"/>
      <c r="G627" s="119"/>
      <c r="H627" s="113"/>
      <c r="I627" s="107"/>
      <c r="J627" s="107"/>
      <c r="K627" s="107"/>
      <c r="L627" s="110"/>
      <c r="M627" s="113"/>
      <c r="N627" s="107"/>
      <c r="O627" s="107"/>
      <c r="P627" s="107"/>
      <c r="Q627" s="110"/>
      <c r="R627" s="113"/>
      <c r="S627" s="107"/>
      <c r="T627" s="107"/>
      <c r="U627" s="107"/>
      <c r="V627" s="110"/>
      <c r="W627" s="113"/>
      <c r="X627" s="107"/>
      <c r="Y627" s="107"/>
      <c r="Z627" s="107"/>
      <c r="AA627" s="110"/>
      <c r="AB627" s="135"/>
    </row>
    <row r="628" spans="1:28" ht="14.25" customHeight="1" thickTop="1" x14ac:dyDescent="0.25">
      <c r="A628" s="140">
        <f>ESCUADRAS!B122</f>
        <v>116</v>
      </c>
      <c r="B628" s="136">
        <f>ESCUADRAS!C121</f>
        <v>0</v>
      </c>
      <c r="C628" s="93"/>
      <c r="D628" s="123"/>
      <c r="E628" s="123"/>
      <c r="F628" s="123"/>
      <c r="G628" s="126"/>
      <c r="H628" s="102"/>
      <c r="I628" s="96"/>
      <c r="J628" s="96"/>
      <c r="K628" s="96"/>
      <c r="L628" s="99"/>
      <c r="M628" s="102"/>
      <c r="N628" s="96"/>
      <c r="O628" s="96"/>
      <c r="P628" s="96"/>
      <c r="Q628" s="99"/>
      <c r="R628" s="102"/>
      <c r="S628" s="96"/>
      <c r="T628" s="96"/>
      <c r="U628" s="96"/>
      <c r="V628" s="99"/>
      <c r="W628" s="111"/>
      <c r="X628" s="105"/>
      <c r="Y628" s="105"/>
      <c r="Z628" s="105"/>
      <c r="AA628" s="108"/>
      <c r="AB628" s="133"/>
    </row>
    <row r="629" spans="1:28" ht="14.25" customHeight="1" x14ac:dyDescent="0.25">
      <c r="A629" s="141"/>
      <c r="B629" s="137"/>
      <c r="C629" s="94"/>
      <c r="D629" s="124"/>
      <c r="E629" s="124"/>
      <c r="F629" s="124"/>
      <c r="G629" s="127"/>
      <c r="H629" s="103"/>
      <c r="I629" s="97"/>
      <c r="J629" s="97"/>
      <c r="K629" s="97"/>
      <c r="L629" s="100"/>
      <c r="M629" s="103"/>
      <c r="N629" s="97"/>
      <c r="O629" s="97"/>
      <c r="P629" s="97"/>
      <c r="Q629" s="100"/>
      <c r="R629" s="103"/>
      <c r="S629" s="97"/>
      <c r="T629" s="97"/>
      <c r="U629" s="97"/>
      <c r="V629" s="100"/>
      <c r="W629" s="112"/>
      <c r="X629" s="106"/>
      <c r="Y629" s="106"/>
      <c r="Z629" s="106"/>
      <c r="AA629" s="109"/>
      <c r="AB629" s="134"/>
    </row>
    <row r="630" spans="1:28" ht="13.5" customHeight="1" thickBot="1" x14ac:dyDescent="0.3">
      <c r="A630" s="142"/>
      <c r="B630" s="138"/>
      <c r="C630" s="95"/>
      <c r="D630" s="125"/>
      <c r="E630" s="125"/>
      <c r="F630" s="125"/>
      <c r="G630" s="128"/>
      <c r="H630" s="104"/>
      <c r="I630" s="98"/>
      <c r="J630" s="98"/>
      <c r="K630" s="98"/>
      <c r="L630" s="101"/>
      <c r="M630" s="104"/>
      <c r="N630" s="98"/>
      <c r="O630" s="98"/>
      <c r="P630" s="98"/>
      <c r="Q630" s="101"/>
      <c r="R630" s="104"/>
      <c r="S630" s="98"/>
      <c r="T630" s="98"/>
      <c r="U630" s="98"/>
      <c r="V630" s="101"/>
      <c r="W630" s="113"/>
      <c r="X630" s="107"/>
      <c r="Y630" s="107"/>
      <c r="Z630" s="107"/>
      <c r="AA630" s="110"/>
      <c r="AB630" s="135"/>
    </row>
    <row r="631" spans="1:28" ht="14.25" customHeight="1" thickTop="1" thickBot="1" x14ac:dyDescent="0.3">
      <c r="A631" s="139">
        <f>ESCUADRAS!B123</f>
        <v>117</v>
      </c>
      <c r="B631" s="136">
        <f>ESCUADRAS!C122</f>
        <v>0</v>
      </c>
      <c r="C631" s="93"/>
      <c r="D631" s="123"/>
      <c r="E631" s="123"/>
      <c r="F631" s="123"/>
      <c r="G631" s="126"/>
      <c r="H631" s="102"/>
      <c r="I631" s="96"/>
      <c r="J631" s="96"/>
      <c r="K631" s="96"/>
      <c r="L631" s="99"/>
      <c r="M631" s="102"/>
      <c r="N631" s="96"/>
      <c r="O631" s="96"/>
      <c r="P631" s="96"/>
      <c r="Q631" s="99"/>
      <c r="R631" s="111"/>
      <c r="S631" s="105"/>
      <c r="T631" s="105"/>
      <c r="U631" s="105"/>
      <c r="V631" s="108"/>
      <c r="W631" s="102"/>
      <c r="X631" s="96"/>
      <c r="Y631" s="96"/>
      <c r="Z631" s="96"/>
      <c r="AA631" s="99"/>
      <c r="AB631" s="133"/>
    </row>
    <row r="632" spans="1:28" ht="14.25" customHeight="1" thickTop="1" thickBot="1" x14ac:dyDescent="0.3">
      <c r="A632" s="139"/>
      <c r="B632" s="137"/>
      <c r="C632" s="94"/>
      <c r="D632" s="124"/>
      <c r="E632" s="124"/>
      <c r="F632" s="124"/>
      <c r="G632" s="127"/>
      <c r="H632" s="103"/>
      <c r="I632" s="97"/>
      <c r="J632" s="97"/>
      <c r="K632" s="97"/>
      <c r="L632" s="100"/>
      <c r="M632" s="103"/>
      <c r="N632" s="97"/>
      <c r="O632" s="97"/>
      <c r="P632" s="97"/>
      <c r="Q632" s="100"/>
      <c r="R632" s="112"/>
      <c r="S632" s="106"/>
      <c r="T632" s="106"/>
      <c r="U632" s="106"/>
      <c r="V632" s="109"/>
      <c r="W632" s="103"/>
      <c r="X632" s="97"/>
      <c r="Y632" s="97"/>
      <c r="Z632" s="97"/>
      <c r="AA632" s="100"/>
      <c r="AB632" s="134"/>
    </row>
    <row r="633" spans="1:28" ht="13.5" customHeight="1" thickTop="1" thickBot="1" x14ac:dyDescent="0.3">
      <c r="A633" s="139"/>
      <c r="B633" s="138"/>
      <c r="C633" s="95"/>
      <c r="D633" s="125"/>
      <c r="E633" s="125"/>
      <c r="F633" s="125"/>
      <c r="G633" s="128"/>
      <c r="H633" s="104"/>
      <c r="I633" s="98"/>
      <c r="J633" s="98"/>
      <c r="K633" s="98"/>
      <c r="L633" s="101"/>
      <c r="M633" s="104"/>
      <c r="N633" s="98"/>
      <c r="O633" s="98"/>
      <c r="P633" s="98"/>
      <c r="Q633" s="101"/>
      <c r="R633" s="113"/>
      <c r="S633" s="107"/>
      <c r="T633" s="107"/>
      <c r="U633" s="107"/>
      <c r="V633" s="110"/>
      <c r="W633" s="104"/>
      <c r="X633" s="98"/>
      <c r="Y633" s="98"/>
      <c r="Z633" s="98"/>
      <c r="AA633" s="101"/>
      <c r="AB633" s="135"/>
    </row>
    <row r="634" spans="1:28" ht="13.5" customHeight="1" thickTop="1" x14ac:dyDescent="0.25">
      <c r="A634" s="140">
        <f>ESCUADRAS!B124</f>
        <v>118</v>
      </c>
      <c r="B634" s="136">
        <f>ESCUADRAS!C123</f>
        <v>0</v>
      </c>
      <c r="C634" s="93"/>
      <c r="D634" s="123"/>
      <c r="E634" s="123"/>
      <c r="F634" s="123"/>
      <c r="G634" s="126"/>
      <c r="H634" s="102"/>
      <c r="I634" s="96"/>
      <c r="J634" s="96"/>
      <c r="K634" s="96"/>
      <c r="L634" s="99"/>
      <c r="M634" s="111"/>
      <c r="N634" s="105"/>
      <c r="O634" s="105"/>
      <c r="P634" s="105"/>
      <c r="Q634" s="108"/>
      <c r="R634" s="102"/>
      <c r="S634" s="96"/>
      <c r="T634" s="96"/>
      <c r="U634" s="96"/>
      <c r="V634" s="99"/>
      <c r="W634" s="102"/>
      <c r="X634" s="96"/>
      <c r="Y634" s="96"/>
      <c r="Z634" s="96"/>
      <c r="AA634" s="99"/>
      <c r="AB634" s="133"/>
    </row>
    <row r="635" spans="1:28" ht="14.25" customHeight="1" x14ac:dyDescent="0.25">
      <c r="A635" s="141"/>
      <c r="B635" s="137"/>
      <c r="C635" s="94"/>
      <c r="D635" s="124"/>
      <c r="E635" s="124"/>
      <c r="F635" s="124"/>
      <c r="G635" s="127"/>
      <c r="H635" s="103"/>
      <c r="I635" s="97"/>
      <c r="J635" s="97"/>
      <c r="K635" s="97"/>
      <c r="L635" s="100"/>
      <c r="M635" s="112"/>
      <c r="N635" s="106"/>
      <c r="O635" s="106"/>
      <c r="P635" s="106"/>
      <c r="Q635" s="109"/>
      <c r="R635" s="103"/>
      <c r="S635" s="97"/>
      <c r="T635" s="97"/>
      <c r="U635" s="97"/>
      <c r="V635" s="100"/>
      <c r="W635" s="103"/>
      <c r="X635" s="97"/>
      <c r="Y635" s="97"/>
      <c r="Z635" s="97"/>
      <c r="AA635" s="100"/>
      <c r="AB635" s="134"/>
    </row>
    <row r="636" spans="1:28" ht="13.5" customHeight="1" thickBot="1" x14ac:dyDescent="0.3">
      <c r="A636" s="142"/>
      <c r="B636" s="138"/>
      <c r="C636" s="95"/>
      <c r="D636" s="125"/>
      <c r="E636" s="125"/>
      <c r="F636" s="125"/>
      <c r="G636" s="128"/>
      <c r="H636" s="104"/>
      <c r="I636" s="98"/>
      <c r="J636" s="98"/>
      <c r="K636" s="98"/>
      <c r="L636" s="101"/>
      <c r="M636" s="113"/>
      <c r="N636" s="107"/>
      <c r="O636" s="107"/>
      <c r="P636" s="107"/>
      <c r="Q636" s="110"/>
      <c r="R636" s="104"/>
      <c r="S636" s="98"/>
      <c r="T636" s="98"/>
      <c r="U636" s="98"/>
      <c r="V636" s="101"/>
      <c r="W636" s="104"/>
      <c r="X636" s="98"/>
      <c r="Y636" s="98"/>
      <c r="Z636" s="98"/>
      <c r="AA636" s="101"/>
      <c r="AB636" s="135"/>
    </row>
    <row r="637" spans="1:28" ht="13.5" customHeight="1" thickTop="1" thickBot="1" x14ac:dyDescent="0.3">
      <c r="A637" s="139">
        <f>ESCUADRAS!B125</f>
        <v>119</v>
      </c>
      <c r="B637" s="136">
        <f>ESCUADRAS!C124</f>
        <v>0</v>
      </c>
      <c r="C637" s="93"/>
      <c r="D637" s="123"/>
      <c r="E637" s="123"/>
      <c r="F637" s="123"/>
      <c r="G637" s="126"/>
      <c r="H637" s="111"/>
      <c r="I637" s="105"/>
      <c r="J637" s="105"/>
      <c r="K637" s="105"/>
      <c r="L637" s="108"/>
      <c r="M637" s="102"/>
      <c r="N637" s="96"/>
      <c r="O637" s="96"/>
      <c r="P637" s="96"/>
      <c r="Q637" s="99"/>
      <c r="R637" s="102"/>
      <c r="S637" s="96"/>
      <c r="T637" s="96"/>
      <c r="U637" s="96"/>
      <c r="V637" s="99"/>
      <c r="W637" s="102"/>
      <c r="X637" s="96"/>
      <c r="Y637" s="96"/>
      <c r="Z637" s="96"/>
      <c r="AA637" s="99"/>
      <c r="AB637" s="133"/>
    </row>
    <row r="638" spans="1:28" ht="14.25" customHeight="1" thickTop="1" thickBot="1" x14ac:dyDescent="0.3">
      <c r="A638" s="139"/>
      <c r="B638" s="137"/>
      <c r="C638" s="94"/>
      <c r="D638" s="124"/>
      <c r="E638" s="124"/>
      <c r="F638" s="124"/>
      <c r="G638" s="127"/>
      <c r="H638" s="112"/>
      <c r="I638" s="106"/>
      <c r="J638" s="106"/>
      <c r="K638" s="106"/>
      <c r="L638" s="109"/>
      <c r="M638" s="103"/>
      <c r="N638" s="97"/>
      <c r="O638" s="97"/>
      <c r="P638" s="97"/>
      <c r="Q638" s="100"/>
      <c r="R638" s="103"/>
      <c r="S638" s="97"/>
      <c r="T638" s="97"/>
      <c r="U638" s="97"/>
      <c r="V638" s="100"/>
      <c r="W638" s="103"/>
      <c r="X638" s="97"/>
      <c r="Y638" s="97"/>
      <c r="Z638" s="97"/>
      <c r="AA638" s="100"/>
      <c r="AB638" s="134"/>
    </row>
    <row r="639" spans="1:28" ht="13.5" customHeight="1" thickTop="1" thickBot="1" x14ac:dyDescent="0.3">
      <c r="A639" s="139"/>
      <c r="B639" s="138"/>
      <c r="C639" s="95"/>
      <c r="D639" s="125"/>
      <c r="E639" s="125"/>
      <c r="F639" s="125"/>
      <c r="G639" s="128"/>
      <c r="H639" s="113"/>
      <c r="I639" s="107"/>
      <c r="J639" s="107"/>
      <c r="K639" s="107"/>
      <c r="L639" s="110"/>
      <c r="M639" s="104"/>
      <c r="N639" s="98"/>
      <c r="O639" s="98"/>
      <c r="P639" s="98"/>
      <c r="Q639" s="101"/>
      <c r="R639" s="104"/>
      <c r="S639" s="98"/>
      <c r="T639" s="98"/>
      <c r="U639" s="98"/>
      <c r="V639" s="101"/>
      <c r="W639" s="104"/>
      <c r="X639" s="98"/>
      <c r="Y639" s="98"/>
      <c r="Z639" s="98"/>
      <c r="AA639" s="101"/>
      <c r="AB639" s="135"/>
    </row>
    <row r="640" spans="1:28" ht="12.75" customHeight="1" thickTop="1" x14ac:dyDescent="0.25">
      <c r="A640" s="140">
        <f>ESCUADRAS!B126</f>
        <v>120</v>
      </c>
      <c r="B640" s="136">
        <f>ESCUADRAS!C125</f>
        <v>0</v>
      </c>
      <c r="C640" s="111"/>
      <c r="D640" s="105"/>
      <c r="E640" s="105"/>
      <c r="F640" s="105"/>
      <c r="G640" s="108"/>
      <c r="H640" s="122"/>
      <c r="I640" s="120"/>
      <c r="J640" s="120"/>
      <c r="K640" s="120"/>
      <c r="L640" s="121"/>
      <c r="M640" s="122"/>
      <c r="N640" s="120"/>
      <c r="O640" s="120"/>
      <c r="P640" s="120"/>
      <c r="Q640" s="121"/>
      <c r="R640" s="122"/>
      <c r="S640" s="120"/>
      <c r="T640" s="120"/>
      <c r="U640" s="120"/>
      <c r="V640" s="121"/>
      <c r="W640" s="122"/>
      <c r="X640" s="120"/>
      <c r="Y640" s="120"/>
      <c r="Z640" s="120"/>
      <c r="AA640" s="121"/>
      <c r="AB640" s="133"/>
    </row>
    <row r="641" spans="1:32" ht="14.25" customHeight="1" x14ac:dyDescent="0.25">
      <c r="A641" s="141"/>
      <c r="B641" s="137"/>
      <c r="C641" s="112"/>
      <c r="D641" s="106"/>
      <c r="E641" s="106"/>
      <c r="F641" s="106"/>
      <c r="G641" s="109"/>
      <c r="H641" s="103"/>
      <c r="I641" s="97"/>
      <c r="J641" s="97"/>
      <c r="K641" s="97"/>
      <c r="L641" s="100"/>
      <c r="M641" s="103"/>
      <c r="N641" s="97"/>
      <c r="O641" s="97"/>
      <c r="P641" s="97"/>
      <c r="Q641" s="100"/>
      <c r="R641" s="103"/>
      <c r="S641" s="97"/>
      <c r="T641" s="97"/>
      <c r="U641" s="97"/>
      <c r="V641" s="100"/>
      <c r="W641" s="103"/>
      <c r="X641" s="97"/>
      <c r="Y641" s="97"/>
      <c r="Z641" s="97"/>
      <c r="AA641" s="100"/>
      <c r="AB641" s="134"/>
    </row>
    <row r="642" spans="1:32" ht="13.5" customHeight="1" thickBot="1" x14ac:dyDescent="0.3">
      <c r="A642" s="142"/>
      <c r="B642" s="138"/>
      <c r="C642" s="113"/>
      <c r="D642" s="107"/>
      <c r="E642" s="107"/>
      <c r="F642" s="107"/>
      <c r="G642" s="110"/>
      <c r="H642" s="104"/>
      <c r="I642" s="98"/>
      <c r="J642" s="98"/>
      <c r="K642" s="98"/>
      <c r="L642" s="101"/>
      <c r="M642" s="104"/>
      <c r="N642" s="98"/>
      <c r="O642" s="98"/>
      <c r="P642" s="98"/>
      <c r="Q642" s="101"/>
      <c r="R642" s="104"/>
      <c r="S642" s="98"/>
      <c r="T642" s="98"/>
      <c r="U642" s="98"/>
      <c r="V642" s="101"/>
      <c r="W642" s="104"/>
      <c r="X642" s="98"/>
      <c r="Y642" s="98"/>
      <c r="Z642" s="98"/>
      <c r="AA642" s="101"/>
      <c r="AB642" s="135"/>
    </row>
    <row r="644" spans="1:32" ht="15" x14ac:dyDescent="0.25">
      <c r="A644" s="28"/>
      <c r="B644" s="26" t="s">
        <v>35</v>
      </c>
      <c r="E644" s="21" t="s">
        <v>41</v>
      </c>
      <c r="I644" s="21" t="s">
        <v>42</v>
      </c>
      <c r="M644" s="21" t="s">
        <v>43</v>
      </c>
      <c r="Q644" s="21" t="s">
        <v>44</v>
      </c>
      <c r="U644" s="21" t="s">
        <v>45</v>
      </c>
      <c r="Y644" s="21" t="s">
        <v>46</v>
      </c>
    </row>
    <row r="651" spans="1:32" ht="24.6" x14ac:dyDescent="0.25">
      <c r="A651" s="144" t="str">
        <f>'INSCRIPCION '!A$1</f>
        <v>TIRADA</v>
      </c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</row>
    <row r="652" spans="1:32" ht="24.6" x14ac:dyDescent="0.4">
      <c r="A652" s="23"/>
      <c r="B652" s="23"/>
    </row>
    <row r="653" spans="1:32" ht="22.8" x14ac:dyDescent="0.25">
      <c r="A653" s="132" t="str">
        <f>'INSCRIPCION '!A$2</f>
        <v>CAMPO DE TIRO LA ISLA</v>
      </c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</row>
    <row r="654" spans="1:32" ht="20.399999999999999" x14ac:dyDescent="0.25">
      <c r="A654" s="143" t="str">
        <f>'INSCRIPCION '!A$3</f>
        <v>XXX PLATOS</v>
      </c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</row>
    <row r="655" spans="1:32" ht="22.8" x14ac:dyDescent="0.4">
      <c r="A655" s="24"/>
      <c r="B655" s="24"/>
    </row>
    <row r="656" spans="1:32" ht="17.399999999999999" x14ac:dyDescent="0.3">
      <c r="A656" s="25" t="s">
        <v>30</v>
      </c>
      <c r="B656" s="25"/>
      <c r="J656" s="9" t="s">
        <v>6</v>
      </c>
      <c r="K656" s="9"/>
      <c r="L656" s="9"/>
      <c r="M656" s="9"/>
      <c r="N656" s="9"/>
      <c r="O656" s="22">
        <v>2</v>
      </c>
      <c r="P656" s="22"/>
      <c r="Q656" s="8"/>
      <c r="R656" s="8"/>
      <c r="S656" s="7"/>
      <c r="T656" s="8"/>
      <c r="U656" s="8"/>
      <c r="V656" s="9" t="s">
        <v>7</v>
      </c>
      <c r="W656" s="9"/>
      <c r="X656" s="9"/>
      <c r="Y656" s="9"/>
      <c r="Z656" s="22">
        <v>2</v>
      </c>
      <c r="AA656" s="22"/>
    </row>
    <row r="657" spans="1:28" ht="13.8" thickBot="1" x14ac:dyDescent="0.3"/>
    <row r="658" spans="1:28" ht="15.6" thickBot="1" x14ac:dyDescent="0.3">
      <c r="A658" s="27" t="s">
        <v>0</v>
      </c>
      <c r="B658" s="27" t="s">
        <v>8</v>
      </c>
      <c r="C658" s="47">
        <v>1</v>
      </c>
      <c r="D658" s="48">
        <v>2</v>
      </c>
      <c r="E658" s="48">
        <v>3</v>
      </c>
      <c r="F658" s="48">
        <v>4</v>
      </c>
      <c r="G658" s="49">
        <v>5</v>
      </c>
      <c r="H658" s="47">
        <v>6</v>
      </c>
      <c r="I658" s="48">
        <v>7</v>
      </c>
      <c r="J658" s="48">
        <v>8</v>
      </c>
      <c r="K658" s="48">
        <v>9</v>
      </c>
      <c r="L658" s="49">
        <v>10</v>
      </c>
      <c r="M658" s="47">
        <v>11</v>
      </c>
      <c r="N658" s="48">
        <v>12</v>
      </c>
      <c r="O658" s="48">
        <v>13</v>
      </c>
      <c r="P658" s="48">
        <v>14</v>
      </c>
      <c r="Q658" s="49">
        <v>15</v>
      </c>
      <c r="R658" s="47">
        <v>16</v>
      </c>
      <c r="S658" s="48">
        <v>17</v>
      </c>
      <c r="T658" s="48">
        <v>18</v>
      </c>
      <c r="U658" s="48">
        <v>19</v>
      </c>
      <c r="V658" s="49">
        <v>20</v>
      </c>
      <c r="W658" s="47">
        <v>21</v>
      </c>
      <c r="X658" s="48">
        <v>22</v>
      </c>
      <c r="Y658" s="48">
        <v>23</v>
      </c>
      <c r="Z658" s="48">
        <v>24</v>
      </c>
      <c r="AA658" s="49">
        <v>25</v>
      </c>
      <c r="AB658" s="30" t="s">
        <v>1</v>
      </c>
    </row>
    <row r="659" spans="1:28" ht="14.25" customHeight="1" thickTop="1" thickBot="1" x14ac:dyDescent="0.3">
      <c r="A659" s="139">
        <f>ESCUADRAS!B127</f>
        <v>121</v>
      </c>
      <c r="B659" s="136">
        <f>ESCUADRAS!C132</f>
        <v>0</v>
      </c>
      <c r="C659" s="129"/>
      <c r="D659" s="114"/>
      <c r="E659" s="114"/>
      <c r="F659" s="114"/>
      <c r="G659" s="117"/>
      <c r="H659" s="111"/>
      <c r="I659" s="105"/>
      <c r="J659" s="105"/>
      <c r="K659" s="105"/>
      <c r="L659" s="108"/>
      <c r="M659" s="111"/>
      <c r="N659" s="105"/>
      <c r="O659" s="105"/>
      <c r="P659" s="105"/>
      <c r="Q659" s="108"/>
      <c r="R659" s="111"/>
      <c r="S659" s="105"/>
      <c r="T659" s="105"/>
      <c r="U659" s="105"/>
      <c r="V659" s="108"/>
      <c r="W659" s="111"/>
      <c r="X659" s="105"/>
      <c r="Y659" s="105"/>
      <c r="Z659" s="105"/>
      <c r="AA659" s="108"/>
      <c r="AB659" s="133"/>
    </row>
    <row r="660" spans="1:28" ht="14.25" customHeight="1" thickTop="1" thickBot="1" x14ac:dyDescent="0.3">
      <c r="A660" s="139"/>
      <c r="B660" s="137"/>
      <c r="C660" s="130"/>
      <c r="D660" s="115"/>
      <c r="E660" s="115"/>
      <c r="F660" s="115"/>
      <c r="G660" s="118"/>
      <c r="H660" s="112"/>
      <c r="I660" s="106"/>
      <c r="J660" s="106"/>
      <c r="K660" s="106"/>
      <c r="L660" s="109"/>
      <c r="M660" s="112"/>
      <c r="N660" s="106"/>
      <c r="O660" s="106"/>
      <c r="P660" s="106"/>
      <c r="Q660" s="109"/>
      <c r="R660" s="112"/>
      <c r="S660" s="106"/>
      <c r="T660" s="106"/>
      <c r="U660" s="106"/>
      <c r="V660" s="109"/>
      <c r="W660" s="112"/>
      <c r="X660" s="106"/>
      <c r="Y660" s="106"/>
      <c r="Z660" s="106"/>
      <c r="AA660" s="109"/>
      <c r="AB660" s="134"/>
    </row>
    <row r="661" spans="1:28" ht="13.5" customHeight="1" thickTop="1" thickBot="1" x14ac:dyDescent="0.3">
      <c r="A661" s="139"/>
      <c r="B661" s="138"/>
      <c r="C661" s="131"/>
      <c r="D661" s="116"/>
      <c r="E661" s="116"/>
      <c r="F661" s="116"/>
      <c r="G661" s="119"/>
      <c r="H661" s="113"/>
      <c r="I661" s="107"/>
      <c r="J661" s="107"/>
      <c r="K661" s="107"/>
      <c r="L661" s="110"/>
      <c r="M661" s="113"/>
      <c r="N661" s="107"/>
      <c r="O661" s="107"/>
      <c r="P661" s="107"/>
      <c r="Q661" s="110"/>
      <c r="R661" s="113"/>
      <c r="S661" s="107"/>
      <c r="T661" s="107"/>
      <c r="U661" s="107"/>
      <c r="V661" s="110"/>
      <c r="W661" s="113"/>
      <c r="X661" s="107"/>
      <c r="Y661" s="107"/>
      <c r="Z661" s="107"/>
      <c r="AA661" s="110"/>
      <c r="AB661" s="135"/>
    </row>
    <row r="662" spans="1:28" ht="14.25" customHeight="1" thickTop="1" x14ac:dyDescent="0.25">
      <c r="A662" s="140">
        <f>ESCUADRAS!B128</f>
        <v>122</v>
      </c>
      <c r="B662" s="136">
        <f>ESCUADRAS!C127</f>
        <v>0</v>
      </c>
      <c r="C662" s="93"/>
      <c r="D662" s="123"/>
      <c r="E662" s="123"/>
      <c r="F662" s="123"/>
      <c r="G662" s="126"/>
      <c r="H662" s="102"/>
      <c r="I662" s="96"/>
      <c r="J662" s="96"/>
      <c r="K662" s="96"/>
      <c r="L662" s="99"/>
      <c r="M662" s="102"/>
      <c r="N662" s="96"/>
      <c r="O662" s="96"/>
      <c r="P662" s="96"/>
      <c r="Q662" s="99"/>
      <c r="R662" s="102"/>
      <c r="S662" s="96"/>
      <c r="T662" s="96"/>
      <c r="U662" s="96"/>
      <c r="V662" s="99"/>
      <c r="W662" s="111"/>
      <c r="X662" s="105"/>
      <c r="Y662" s="105"/>
      <c r="Z662" s="105"/>
      <c r="AA662" s="108"/>
      <c r="AB662" s="133"/>
    </row>
    <row r="663" spans="1:28" ht="14.25" customHeight="1" x14ac:dyDescent="0.25">
      <c r="A663" s="141"/>
      <c r="B663" s="137"/>
      <c r="C663" s="94"/>
      <c r="D663" s="124"/>
      <c r="E663" s="124"/>
      <c r="F663" s="124"/>
      <c r="G663" s="127"/>
      <c r="H663" s="103"/>
      <c r="I663" s="97"/>
      <c r="J663" s="97"/>
      <c r="K663" s="97"/>
      <c r="L663" s="100"/>
      <c r="M663" s="103"/>
      <c r="N663" s="97"/>
      <c r="O663" s="97"/>
      <c r="P663" s="97"/>
      <c r="Q663" s="100"/>
      <c r="R663" s="103"/>
      <c r="S663" s="97"/>
      <c r="T663" s="97"/>
      <c r="U663" s="97"/>
      <c r="V663" s="100"/>
      <c r="W663" s="112"/>
      <c r="X663" s="106"/>
      <c r="Y663" s="106"/>
      <c r="Z663" s="106"/>
      <c r="AA663" s="109"/>
      <c r="AB663" s="134"/>
    </row>
    <row r="664" spans="1:28" ht="13.5" customHeight="1" thickBot="1" x14ac:dyDescent="0.3">
      <c r="A664" s="142"/>
      <c r="B664" s="138"/>
      <c r="C664" s="95"/>
      <c r="D664" s="125"/>
      <c r="E664" s="125"/>
      <c r="F664" s="125"/>
      <c r="G664" s="128"/>
      <c r="H664" s="104"/>
      <c r="I664" s="98"/>
      <c r="J664" s="98"/>
      <c r="K664" s="98"/>
      <c r="L664" s="101"/>
      <c r="M664" s="104"/>
      <c r="N664" s="98"/>
      <c r="O664" s="98"/>
      <c r="P664" s="98"/>
      <c r="Q664" s="101"/>
      <c r="R664" s="104"/>
      <c r="S664" s="98"/>
      <c r="T664" s="98"/>
      <c r="U664" s="98"/>
      <c r="V664" s="101"/>
      <c r="W664" s="113"/>
      <c r="X664" s="107"/>
      <c r="Y664" s="107"/>
      <c r="Z664" s="107"/>
      <c r="AA664" s="110"/>
      <c r="AB664" s="135"/>
    </row>
    <row r="665" spans="1:28" ht="14.25" customHeight="1" thickTop="1" thickBot="1" x14ac:dyDescent="0.3">
      <c r="A665" s="139">
        <f>ESCUADRAS!B129</f>
        <v>123</v>
      </c>
      <c r="B665" s="136">
        <f>ESCUADRAS!C128</f>
        <v>0</v>
      </c>
      <c r="C665" s="93"/>
      <c r="D665" s="123"/>
      <c r="E665" s="123"/>
      <c r="F665" s="123"/>
      <c r="G665" s="126"/>
      <c r="H665" s="102"/>
      <c r="I665" s="96"/>
      <c r="J665" s="96"/>
      <c r="K665" s="96"/>
      <c r="L665" s="99"/>
      <c r="M665" s="102"/>
      <c r="N665" s="96"/>
      <c r="O665" s="96"/>
      <c r="P665" s="96"/>
      <c r="Q665" s="99"/>
      <c r="R665" s="111"/>
      <c r="S665" s="105"/>
      <c r="T665" s="105"/>
      <c r="U665" s="105"/>
      <c r="V665" s="108"/>
      <c r="W665" s="102"/>
      <c r="X665" s="96"/>
      <c r="Y665" s="96"/>
      <c r="Z665" s="96"/>
      <c r="AA665" s="99"/>
      <c r="AB665" s="133"/>
    </row>
    <row r="666" spans="1:28" ht="14.25" customHeight="1" thickTop="1" thickBot="1" x14ac:dyDescent="0.3">
      <c r="A666" s="139"/>
      <c r="B666" s="137"/>
      <c r="C666" s="94"/>
      <c r="D666" s="124"/>
      <c r="E666" s="124"/>
      <c r="F666" s="124"/>
      <c r="G666" s="127"/>
      <c r="H666" s="103"/>
      <c r="I666" s="97"/>
      <c r="J666" s="97"/>
      <c r="K666" s="97"/>
      <c r="L666" s="100"/>
      <c r="M666" s="103"/>
      <c r="N666" s="97"/>
      <c r="O666" s="97"/>
      <c r="P666" s="97"/>
      <c r="Q666" s="100"/>
      <c r="R666" s="112"/>
      <c r="S666" s="106"/>
      <c r="T666" s="106"/>
      <c r="U666" s="106"/>
      <c r="V666" s="109"/>
      <c r="W666" s="103"/>
      <c r="X666" s="97"/>
      <c r="Y666" s="97"/>
      <c r="Z666" s="97"/>
      <c r="AA666" s="100"/>
      <c r="AB666" s="134"/>
    </row>
    <row r="667" spans="1:28" ht="13.5" customHeight="1" thickTop="1" thickBot="1" x14ac:dyDescent="0.3">
      <c r="A667" s="139"/>
      <c r="B667" s="138"/>
      <c r="C667" s="95"/>
      <c r="D667" s="125"/>
      <c r="E667" s="125"/>
      <c r="F667" s="125"/>
      <c r="G667" s="128"/>
      <c r="H667" s="104"/>
      <c r="I667" s="98"/>
      <c r="J667" s="98"/>
      <c r="K667" s="98"/>
      <c r="L667" s="101"/>
      <c r="M667" s="104"/>
      <c r="N667" s="98"/>
      <c r="O667" s="98"/>
      <c r="P667" s="98"/>
      <c r="Q667" s="101"/>
      <c r="R667" s="113"/>
      <c r="S667" s="107"/>
      <c r="T667" s="107"/>
      <c r="U667" s="107"/>
      <c r="V667" s="110"/>
      <c r="W667" s="104"/>
      <c r="X667" s="98"/>
      <c r="Y667" s="98"/>
      <c r="Z667" s="98"/>
      <c r="AA667" s="101"/>
      <c r="AB667" s="135"/>
    </row>
    <row r="668" spans="1:28" ht="13.5" customHeight="1" thickTop="1" x14ac:dyDescent="0.25">
      <c r="A668" s="140">
        <f>ESCUADRAS!B130</f>
        <v>124</v>
      </c>
      <c r="B668" s="136">
        <f>ESCUADRAS!C129</f>
        <v>0</v>
      </c>
      <c r="C668" s="93"/>
      <c r="D668" s="123"/>
      <c r="E668" s="123"/>
      <c r="F668" s="123"/>
      <c r="G668" s="126"/>
      <c r="H668" s="102"/>
      <c r="I668" s="96"/>
      <c r="J668" s="96"/>
      <c r="K668" s="96"/>
      <c r="L668" s="99"/>
      <c r="M668" s="111"/>
      <c r="N668" s="105"/>
      <c r="O668" s="105"/>
      <c r="P668" s="105"/>
      <c r="Q668" s="108"/>
      <c r="R668" s="102"/>
      <c r="S668" s="96"/>
      <c r="T668" s="96"/>
      <c r="U668" s="96"/>
      <c r="V668" s="99"/>
      <c r="W668" s="102"/>
      <c r="X668" s="96"/>
      <c r="Y668" s="96"/>
      <c r="Z668" s="96"/>
      <c r="AA668" s="99"/>
      <c r="AB668" s="133"/>
    </row>
    <row r="669" spans="1:28" ht="14.25" customHeight="1" x14ac:dyDescent="0.25">
      <c r="A669" s="141"/>
      <c r="B669" s="137"/>
      <c r="C669" s="94"/>
      <c r="D669" s="124"/>
      <c r="E669" s="124"/>
      <c r="F669" s="124"/>
      <c r="G669" s="127"/>
      <c r="H669" s="103"/>
      <c r="I669" s="97"/>
      <c r="J669" s="97"/>
      <c r="K669" s="97"/>
      <c r="L669" s="100"/>
      <c r="M669" s="112"/>
      <c r="N669" s="106"/>
      <c r="O669" s="106"/>
      <c r="P669" s="106"/>
      <c r="Q669" s="109"/>
      <c r="R669" s="103"/>
      <c r="S669" s="97"/>
      <c r="T669" s="97"/>
      <c r="U669" s="97"/>
      <c r="V669" s="100"/>
      <c r="W669" s="103"/>
      <c r="X669" s="97"/>
      <c r="Y669" s="97"/>
      <c r="Z669" s="97"/>
      <c r="AA669" s="100"/>
      <c r="AB669" s="134"/>
    </row>
    <row r="670" spans="1:28" ht="13.5" customHeight="1" thickBot="1" x14ac:dyDescent="0.3">
      <c r="A670" s="142"/>
      <c r="B670" s="138"/>
      <c r="C670" s="95"/>
      <c r="D670" s="125"/>
      <c r="E670" s="125"/>
      <c r="F670" s="125"/>
      <c r="G670" s="128"/>
      <c r="H670" s="104"/>
      <c r="I670" s="98"/>
      <c r="J670" s="98"/>
      <c r="K670" s="98"/>
      <c r="L670" s="101"/>
      <c r="M670" s="113"/>
      <c r="N670" s="107"/>
      <c r="O670" s="107"/>
      <c r="P670" s="107"/>
      <c r="Q670" s="110"/>
      <c r="R670" s="104"/>
      <c r="S670" s="98"/>
      <c r="T670" s="98"/>
      <c r="U670" s="98"/>
      <c r="V670" s="101"/>
      <c r="W670" s="104"/>
      <c r="X670" s="98"/>
      <c r="Y670" s="98"/>
      <c r="Z670" s="98"/>
      <c r="AA670" s="101"/>
      <c r="AB670" s="135"/>
    </row>
    <row r="671" spans="1:28" ht="14.25" customHeight="1" thickTop="1" thickBot="1" x14ac:dyDescent="0.3">
      <c r="A671" s="139">
        <f>ESCUADRAS!B131</f>
        <v>125</v>
      </c>
      <c r="B671" s="136">
        <f>ESCUADRAS!C130</f>
        <v>0</v>
      </c>
      <c r="C671" s="93"/>
      <c r="D671" s="123"/>
      <c r="E671" s="123"/>
      <c r="F671" s="123"/>
      <c r="G671" s="126"/>
      <c r="H671" s="111"/>
      <c r="I671" s="105"/>
      <c r="J671" s="105"/>
      <c r="K671" s="105"/>
      <c r="L671" s="108"/>
      <c r="M671" s="102"/>
      <c r="N671" s="96"/>
      <c r="O671" s="96"/>
      <c r="P671" s="96"/>
      <c r="Q671" s="99"/>
      <c r="R671" s="102"/>
      <c r="S671" s="96"/>
      <c r="T671" s="96"/>
      <c r="U671" s="96"/>
      <c r="V671" s="99"/>
      <c r="W671" s="102"/>
      <c r="X671" s="96"/>
      <c r="Y671" s="96"/>
      <c r="Z671" s="96"/>
      <c r="AA671" s="99"/>
      <c r="AB671" s="133"/>
    </row>
    <row r="672" spans="1:28" ht="14.25" customHeight="1" thickTop="1" thickBot="1" x14ac:dyDescent="0.3">
      <c r="A672" s="139"/>
      <c r="B672" s="137"/>
      <c r="C672" s="94"/>
      <c r="D672" s="124"/>
      <c r="E672" s="124"/>
      <c r="F672" s="124"/>
      <c r="G672" s="127"/>
      <c r="H672" s="112"/>
      <c r="I672" s="106"/>
      <c r="J672" s="106"/>
      <c r="K672" s="106"/>
      <c r="L672" s="109"/>
      <c r="M672" s="103"/>
      <c r="N672" s="97"/>
      <c r="O672" s="97"/>
      <c r="P672" s="97"/>
      <c r="Q672" s="100"/>
      <c r="R672" s="103"/>
      <c r="S672" s="97"/>
      <c r="T672" s="97"/>
      <c r="U672" s="97"/>
      <c r="V672" s="100"/>
      <c r="W672" s="103"/>
      <c r="X672" s="97"/>
      <c r="Y672" s="97"/>
      <c r="Z672" s="97"/>
      <c r="AA672" s="100"/>
      <c r="AB672" s="134"/>
    </row>
    <row r="673" spans="1:32" ht="13.5" customHeight="1" thickTop="1" thickBot="1" x14ac:dyDescent="0.3">
      <c r="A673" s="139"/>
      <c r="B673" s="138"/>
      <c r="C673" s="95"/>
      <c r="D673" s="125"/>
      <c r="E673" s="125"/>
      <c r="F673" s="125"/>
      <c r="G673" s="128"/>
      <c r="H673" s="113"/>
      <c r="I673" s="107"/>
      <c r="J673" s="107"/>
      <c r="K673" s="107"/>
      <c r="L673" s="110"/>
      <c r="M673" s="104"/>
      <c r="N673" s="98"/>
      <c r="O673" s="98"/>
      <c r="P673" s="98"/>
      <c r="Q673" s="101"/>
      <c r="R673" s="104"/>
      <c r="S673" s="98"/>
      <c r="T673" s="98"/>
      <c r="U673" s="98"/>
      <c r="V673" s="101"/>
      <c r="W673" s="104"/>
      <c r="X673" s="98"/>
      <c r="Y673" s="98"/>
      <c r="Z673" s="98"/>
      <c r="AA673" s="101"/>
      <c r="AB673" s="135"/>
    </row>
    <row r="674" spans="1:32" ht="13.5" customHeight="1" thickTop="1" x14ac:dyDescent="0.25">
      <c r="A674" s="140">
        <f>ESCUADRAS!B132</f>
        <v>126</v>
      </c>
      <c r="B674" s="136">
        <f>ESCUADRAS!C131</f>
        <v>0</v>
      </c>
      <c r="C674" s="111"/>
      <c r="D674" s="105"/>
      <c r="E674" s="105"/>
      <c r="F674" s="105"/>
      <c r="G674" s="108"/>
      <c r="H674" s="122"/>
      <c r="I674" s="120"/>
      <c r="J674" s="120"/>
      <c r="K674" s="120"/>
      <c r="L674" s="121"/>
      <c r="M674" s="122"/>
      <c r="N674" s="120"/>
      <c r="O674" s="120"/>
      <c r="P674" s="120"/>
      <c r="Q674" s="121"/>
      <c r="R674" s="122"/>
      <c r="S674" s="120"/>
      <c r="T674" s="120"/>
      <c r="U674" s="120"/>
      <c r="V674" s="121"/>
      <c r="W674" s="122"/>
      <c r="X674" s="120"/>
      <c r="Y674" s="120"/>
      <c r="Z674" s="120"/>
      <c r="AA674" s="121"/>
      <c r="AB674" s="133"/>
    </row>
    <row r="675" spans="1:32" ht="14.25" customHeight="1" x14ac:dyDescent="0.25">
      <c r="A675" s="141"/>
      <c r="B675" s="137"/>
      <c r="C675" s="112"/>
      <c r="D675" s="106"/>
      <c r="E675" s="106"/>
      <c r="F675" s="106"/>
      <c r="G675" s="109"/>
      <c r="H675" s="103"/>
      <c r="I675" s="97"/>
      <c r="J675" s="97"/>
      <c r="K675" s="97"/>
      <c r="L675" s="100"/>
      <c r="M675" s="103"/>
      <c r="N675" s="97"/>
      <c r="O675" s="97"/>
      <c r="P675" s="97"/>
      <c r="Q675" s="100"/>
      <c r="R675" s="103"/>
      <c r="S675" s="97"/>
      <c r="T675" s="97"/>
      <c r="U675" s="97"/>
      <c r="V675" s="100"/>
      <c r="W675" s="103"/>
      <c r="X675" s="97"/>
      <c r="Y675" s="97"/>
      <c r="Z675" s="97"/>
      <c r="AA675" s="100"/>
      <c r="AB675" s="134"/>
    </row>
    <row r="676" spans="1:32" ht="13.5" customHeight="1" thickBot="1" x14ac:dyDescent="0.3">
      <c r="A676" s="142"/>
      <c r="B676" s="138"/>
      <c r="C676" s="113"/>
      <c r="D676" s="107"/>
      <c r="E676" s="107"/>
      <c r="F676" s="107"/>
      <c r="G676" s="110"/>
      <c r="H676" s="104"/>
      <c r="I676" s="98"/>
      <c r="J676" s="98"/>
      <c r="K676" s="98"/>
      <c r="L676" s="101"/>
      <c r="M676" s="104"/>
      <c r="N676" s="98"/>
      <c r="O676" s="98"/>
      <c r="P676" s="98"/>
      <c r="Q676" s="101"/>
      <c r="R676" s="104"/>
      <c r="S676" s="98"/>
      <c r="T676" s="98"/>
      <c r="U676" s="98"/>
      <c r="V676" s="101"/>
      <c r="W676" s="104"/>
      <c r="X676" s="98"/>
      <c r="Y676" s="98"/>
      <c r="Z676" s="98"/>
      <c r="AA676" s="101"/>
      <c r="AB676" s="135"/>
    </row>
    <row r="678" spans="1:32" ht="15" x14ac:dyDescent="0.25">
      <c r="A678" s="28"/>
      <c r="B678" s="26" t="s">
        <v>35</v>
      </c>
      <c r="E678" s="21" t="s">
        <v>41</v>
      </c>
      <c r="I678" s="21" t="s">
        <v>42</v>
      </c>
      <c r="M678" s="21" t="s">
        <v>43</v>
      </c>
      <c r="Q678" s="21" t="s">
        <v>44</v>
      </c>
      <c r="U678" s="21" t="s">
        <v>45</v>
      </c>
      <c r="Y678" s="21" t="s">
        <v>46</v>
      </c>
    </row>
    <row r="685" spans="1:32" ht="24.6" x14ac:dyDescent="0.25">
      <c r="A685" s="144" t="str">
        <f>'INSCRIPCION '!A$1</f>
        <v>TIRADA</v>
      </c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</row>
    <row r="686" spans="1:32" ht="24.6" x14ac:dyDescent="0.4">
      <c r="A686" s="23"/>
      <c r="B686" s="23"/>
    </row>
    <row r="687" spans="1:32" ht="22.8" x14ac:dyDescent="0.25">
      <c r="A687" s="132" t="str">
        <f>'INSCRIPCION '!A$2</f>
        <v>CAMPO DE TIRO LA ISLA</v>
      </c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</row>
    <row r="688" spans="1:32" ht="20.399999999999999" x14ac:dyDescent="0.25">
      <c r="A688" s="143" t="str">
        <f>'INSCRIPCION '!A$3</f>
        <v>XXX PLATOS</v>
      </c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</row>
    <row r="689" spans="1:28" ht="22.8" x14ac:dyDescent="0.4">
      <c r="A689" s="24"/>
      <c r="B689" s="24"/>
    </row>
    <row r="690" spans="1:28" ht="17.399999999999999" x14ac:dyDescent="0.3">
      <c r="A690" s="25" t="s">
        <v>31</v>
      </c>
      <c r="B690" s="25"/>
      <c r="J690" s="9" t="s">
        <v>6</v>
      </c>
      <c r="K690" s="9"/>
      <c r="L690" s="9"/>
      <c r="M690" s="9"/>
      <c r="N690" s="9"/>
      <c r="O690" s="22">
        <v>3</v>
      </c>
      <c r="P690" s="22"/>
      <c r="Q690" s="8"/>
      <c r="R690" s="8"/>
      <c r="S690" s="7"/>
      <c r="T690" s="8"/>
      <c r="U690" s="8"/>
      <c r="V690" s="9" t="s">
        <v>7</v>
      </c>
      <c r="W690" s="9"/>
      <c r="X690" s="9"/>
      <c r="Y690" s="9"/>
      <c r="Z690" s="22">
        <v>2</v>
      </c>
      <c r="AA690" s="22"/>
    </row>
    <row r="691" spans="1:28" ht="13.8" thickBot="1" x14ac:dyDescent="0.3"/>
    <row r="692" spans="1:28" ht="15.6" thickBot="1" x14ac:dyDescent="0.3">
      <c r="A692" s="27" t="s">
        <v>0</v>
      </c>
      <c r="B692" s="27" t="s">
        <v>8</v>
      </c>
      <c r="C692" s="47">
        <v>1</v>
      </c>
      <c r="D692" s="48">
        <v>2</v>
      </c>
      <c r="E692" s="48">
        <v>3</v>
      </c>
      <c r="F692" s="48">
        <v>4</v>
      </c>
      <c r="G692" s="49">
        <v>5</v>
      </c>
      <c r="H692" s="47">
        <v>6</v>
      </c>
      <c r="I692" s="48">
        <v>7</v>
      </c>
      <c r="J692" s="48">
        <v>8</v>
      </c>
      <c r="K692" s="48">
        <v>9</v>
      </c>
      <c r="L692" s="49">
        <v>10</v>
      </c>
      <c r="M692" s="47">
        <v>11</v>
      </c>
      <c r="N692" s="48">
        <v>12</v>
      </c>
      <c r="O692" s="48">
        <v>13</v>
      </c>
      <c r="P692" s="48">
        <v>14</v>
      </c>
      <c r="Q692" s="49">
        <v>15</v>
      </c>
      <c r="R692" s="47">
        <v>16</v>
      </c>
      <c r="S692" s="48">
        <v>17</v>
      </c>
      <c r="T692" s="48">
        <v>18</v>
      </c>
      <c r="U692" s="48">
        <v>19</v>
      </c>
      <c r="V692" s="49">
        <v>20</v>
      </c>
      <c r="W692" s="47">
        <v>21</v>
      </c>
      <c r="X692" s="48">
        <v>22</v>
      </c>
      <c r="Y692" s="48">
        <v>23</v>
      </c>
      <c r="Z692" s="48">
        <v>24</v>
      </c>
      <c r="AA692" s="49">
        <v>25</v>
      </c>
      <c r="AB692" s="30" t="s">
        <v>1</v>
      </c>
    </row>
    <row r="693" spans="1:28" ht="12.75" customHeight="1" thickTop="1" thickBot="1" x14ac:dyDescent="0.3">
      <c r="A693" s="139">
        <f>ESCUADRAS!B133</f>
        <v>127</v>
      </c>
      <c r="B693" s="136">
        <f>ESCUADRAS!C138</f>
        <v>0</v>
      </c>
      <c r="C693" s="129"/>
      <c r="D693" s="114"/>
      <c r="E693" s="114"/>
      <c r="F693" s="114"/>
      <c r="G693" s="117"/>
      <c r="H693" s="111"/>
      <c r="I693" s="105"/>
      <c r="J693" s="105"/>
      <c r="K693" s="105"/>
      <c r="L693" s="108"/>
      <c r="M693" s="111"/>
      <c r="N693" s="105"/>
      <c r="O693" s="105"/>
      <c r="P693" s="105"/>
      <c r="Q693" s="108"/>
      <c r="R693" s="111"/>
      <c r="S693" s="105"/>
      <c r="T693" s="105"/>
      <c r="U693" s="105"/>
      <c r="V693" s="108"/>
      <c r="W693" s="111"/>
      <c r="X693" s="105"/>
      <c r="Y693" s="105"/>
      <c r="Z693" s="105"/>
      <c r="AA693" s="108"/>
      <c r="AB693" s="133"/>
    </row>
    <row r="694" spans="1:28" ht="14.25" customHeight="1" thickTop="1" thickBot="1" x14ac:dyDescent="0.3">
      <c r="A694" s="139"/>
      <c r="B694" s="137"/>
      <c r="C694" s="130"/>
      <c r="D694" s="115"/>
      <c r="E694" s="115"/>
      <c r="F694" s="115"/>
      <c r="G694" s="118"/>
      <c r="H694" s="112"/>
      <c r="I694" s="106"/>
      <c r="J694" s="106"/>
      <c r="K694" s="106"/>
      <c r="L694" s="109"/>
      <c r="M694" s="112"/>
      <c r="N694" s="106"/>
      <c r="O694" s="106"/>
      <c r="P694" s="106"/>
      <c r="Q694" s="109"/>
      <c r="R694" s="112"/>
      <c r="S694" s="106"/>
      <c r="T694" s="106"/>
      <c r="U694" s="106"/>
      <c r="V694" s="109"/>
      <c r="W694" s="112"/>
      <c r="X694" s="106"/>
      <c r="Y694" s="106"/>
      <c r="Z694" s="106"/>
      <c r="AA694" s="109"/>
      <c r="AB694" s="134"/>
    </row>
    <row r="695" spans="1:28" ht="13.5" customHeight="1" thickTop="1" thickBot="1" x14ac:dyDescent="0.3">
      <c r="A695" s="139"/>
      <c r="B695" s="138"/>
      <c r="C695" s="131"/>
      <c r="D695" s="116"/>
      <c r="E695" s="116"/>
      <c r="F695" s="116"/>
      <c r="G695" s="119"/>
      <c r="H695" s="113"/>
      <c r="I695" s="107"/>
      <c r="J695" s="107"/>
      <c r="K695" s="107"/>
      <c r="L695" s="110"/>
      <c r="M695" s="113"/>
      <c r="N695" s="107"/>
      <c r="O695" s="107"/>
      <c r="P695" s="107"/>
      <c r="Q695" s="110"/>
      <c r="R695" s="113"/>
      <c r="S695" s="107"/>
      <c r="T695" s="107"/>
      <c r="U695" s="107"/>
      <c r="V695" s="110"/>
      <c r="W695" s="113"/>
      <c r="X695" s="107"/>
      <c r="Y695" s="107"/>
      <c r="Z695" s="107"/>
      <c r="AA695" s="110"/>
      <c r="AB695" s="135"/>
    </row>
    <row r="696" spans="1:28" ht="14.25" customHeight="1" thickTop="1" x14ac:dyDescent="0.25">
      <c r="A696" s="140">
        <f>ESCUADRAS!B134</f>
        <v>128</v>
      </c>
      <c r="B696" s="136">
        <f>ESCUADRAS!C133</f>
        <v>0</v>
      </c>
      <c r="C696" s="93"/>
      <c r="D696" s="123"/>
      <c r="E696" s="123"/>
      <c r="F696" s="123"/>
      <c r="G696" s="126"/>
      <c r="H696" s="102"/>
      <c r="I696" s="96"/>
      <c r="J696" s="96"/>
      <c r="K696" s="96"/>
      <c r="L696" s="99"/>
      <c r="M696" s="102"/>
      <c r="N696" s="96"/>
      <c r="O696" s="96"/>
      <c r="P696" s="96"/>
      <c r="Q696" s="99"/>
      <c r="R696" s="102"/>
      <c r="S696" s="96"/>
      <c r="T696" s="96"/>
      <c r="U696" s="96"/>
      <c r="V696" s="99"/>
      <c r="W696" s="111"/>
      <c r="X696" s="105"/>
      <c r="Y696" s="105"/>
      <c r="Z696" s="105"/>
      <c r="AA696" s="108"/>
      <c r="AB696" s="133"/>
    </row>
    <row r="697" spans="1:28" ht="14.25" customHeight="1" x14ac:dyDescent="0.25">
      <c r="A697" s="141"/>
      <c r="B697" s="137"/>
      <c r="C697" s="94"/>
      <c r="D697" s="124"/>
      <c r="E697" s="124"/>
      <c r="F697" s="124"/>
      <c r="G697" s="127"/>
      <c r="H697" s="103"/>
      <c r="I697" s="97"/>
      <c r="J697" s="97"/>
      <c r="K697" s="97"/>
      <c r="L697" s="100"/>
      <c r="M697" s="103"/>
      <c r="N697" s="97"/>
      <c r="O697" s="97"/>
      <c r="P697" s="97"/>
      <c r="Q697" s="100"/>
      <c r="R697" s="103"/>
      <c r="S697" s="97"/>
      <c r="T697" s="97"/>
      <c r="U697" s="97"/>
      <c r="V697" s="100"/>
      <c r="W697" s="112"/>
      <c r="X697" s="106"/>
      <c r="Y697" s="106"/>
      <c r="Z697" s="106"/>
      <c r="AA697" s="109"/>
      <c r="AB697" s="134"/>
    </row>
    <row r="698" spans="1:28" ht="13.5" customHeight="1" thickBot="1" x14ac:dyDescent="0.3">
      <c r="A698" s="142"/>
      <c r="B698" s="138"/>
      <c r="C698" s="95"/>
      <c r="D698" s="125"/>
      <c r="E698" s="125"/>
      <c r="F698" s="125"/>
      <c r="G698" s="128"/>
      <c r="H698" s="104"/>
      <c r="I698" s="98"/>
      <c r="J698" s="98"/>
      <c r="K698" s="98"/>
      <c r="L698" s="101"/>
      <c r="M698" s="104"/>
      <c r="N698" s="98"/>
      <c r="O698" s="98"/>
      <c r="P698" s="98"/>
      <c r="Q698" s="101"/>
      <c r="R698" s="104"/>
      <c r="S698" s="98"/>
      <c r="T698" s="98"/>
      <c r="U698" s="98"/>
      <c r="V698" s="101"/>
      <c r="W698" s="113"/>
      <c r="X698" s="107"/>
      <c r="Y698" s="107"/>
      <c r="Z698" s="107"/>
      <c r="AA698" s="110"/>
      <c r="AB698" s="135"/>
    </row>
    <row r="699" spans="1:28" ht="14.25" customHeight="1" thickTop="1" thickBot="1" x14ac:dyDescent="0.3">
      <c r="A699" s="139">
        <f>ESCUADRAS!B135</f>
        <v>129</v>
      </c>
      <c r="B699" s="136">
        <f>ESCUADRAS!C134</f>
        <v>0</v>
      </c>
      <c r="C699" s="93"/>
      <c r="D699" s="123"/>
      <c r="E699" s="123"/>
      <c r="F699" s="123"/>
      <c r="G699" s="126"/>
      <c r="H699" s="102"/>
      <c r="I699" s="96"/>
      <c r="J699" s="96"/>
      <c r="K699" s="96"/>
      <c r="L699" s="99"/>
      <c r="M699" s="102"/>
      <c r="N699" s="96"/>
      <c r="O699" s="96"/>
      <c r="P699" s="96"/>
      <c r="Q699" s="99"/>
      <c r="R699" s="111"/>
      <c r="S699" s="105"/>
      <c r="T699" s="105"/>
      <c r="U699" s="105"/>
      <c r="V699" s="108"/>
      <c r="W699" s="102"/>
      <c r="X699" s="96"/>
      <c r="Y699" s="96"/>
      <c r="Z699" s="96"/>
      <c r="AA699" s="99"/>
      <c r="AB699" s="133"/>
    </row>
    <row r="700" spans="1:28" ht="14.25" customHeight="1" thickTop="1" thickBot="1" x14ac:dyDescent="0.3">
      <c r="A700" s="139"/>
      <c r="B700" s="137"/>
      <c r="C700" s="94"/>
      <c r="D700" s="124"/>
      <c r="E700" s="124"/>
      <c r="F700" s="124"/>
      <c r="G700" s="127"/>
      <c r="H700" s="103"/>
      <c r="I700" s="97"/>
      <c r="J700" s="97"/>
      <c r="K700" s="97"/>
      <c r="L700" s="100"/>
      <c r="M700" s="103"/>
      <c r="N700" s="97"/>
      <c r="O700" s="97"/>
      <c r="P700" s="97"/>
      <c r="Q700" s="100"/>
      <c r="R700" s="112"/>
      <c r="S700" s="106"/>
      <c r="T700" s="106"/>
      <c r="U700" s="106"/>
      <c r="V700" s="109"/>
      <c r="W700" s="103"/>
      <c r="X700" s="97"/>
      <c r="Y700" s="97"/>
      <c r="Z700" s="97"/>
      <c r="AA700" s="100"/>
      <c r="AB700" s="134"/>
    </row>
    <row r="701" spans="1:28" ht="13.5" customHeight="1" thickTop="1" thickBot="1" x14ac:dyDescent="0.3">
      <c r="A701" s="139"/>
      <c r="B701" s="138"/>
      <c r="C701" s="95"/>
      <c r="D701" s="125"/>
      <c r="E701" s="125"/>
      <c r="F701" s="125"/>
      <c r="G701" s="128"/>
      <c r="H701" s="104"/>
      <c r="I701" s="98"/>
      <c r="J701" s="98"/>
      <c r="K701" s="98"/>
      <c r="L701" s="101"/>
      <c r="M701" s="104"/>
      <c r="N701" s="98"/>
      <c r="O701" s="98"/>
      <c r="P701" s="98"/>
      <c r="Q701" s="101"/>
      <c r="R701" s="113"/>
      <c r="S701" s="107"/>
      <c r="T701" s="107"/>
      <c r="U701" s="107"/>
      <c r="V701" s="110"/>
      <c r="W701" s="104"/>
      <c r="X701" s="98"/>
      <c r="Y701" s="98"/>
      <c r="Z701" s="98"/>
      <c r="AA701" s="101"/>
      <c r="AB701" s="135"/>
    </row>
    <row r="702" spans="1:28" ht="13.5" customHeight="1" thickTop="1" x14ac:dyDescent="0.25">
      <c r="A702" s="140">
        <f>ESCUADRAS!B136</f>
        <v>130</v>
      </c>
      <c r="B702" s="136">
        <f>ESCUADRAS!C135</f>
        <v>0</v>
      </c>
      <c r="C702" s="93"/>
      <c r="D702" s="123"/>
      <c r="E702" s="123"/>
      <c r="F702" s="123"/>
      <c r="G702" s="126"/>
      <c r="H702" s="102"/>
      <c r="I702" s="96"/>
      <c r="J702" s="96"/>
      <c r="K702" s="96"/>
      <c r="L702" s="99"/>
      <c r="M702" s="111"/>
      <c r="N702" s="105"/>
      <c r="O702" s="105"/>
      <c r="P702" s="105"/>
      <c r="Q702" s="108"/>
      <c r="R702" s="102"/>
      <c r="S702" s="96"/>
      <c r="T702" s="96"/>
      <c r="U702" s="96"/>
      <c r="V702" s="99"/>
      <c r="W702" s="102"/>
      <c r="X702" s="96"/>
      <c r="Y702" s="96"/>
      <c r="Z702" s="96"/>
      <c r="AA702" s="99"/>
      <c r="AB702" s="133"/>
    </row>
    <row r="703" spans="1:28" ht="14.25" customHeight="1" x14ac:dyDescent="0.25">
      <c r="A703" s="141"/>
      <c r="B703" s="137"/>
      <c r="C703" s="94"/>
      <c r="D703" s="124"/>
      <c r="E703" s="124"/>
      <c r="F703" s="124"/>
      <c r="G703" s="127"/>
      <c r="H703" s="103"/>
      <c r="I703" s="97"/>
      <c r="J703" s="97"/>
      <c r="K703" s="97"/>
      <c r="L703" s="100"/>
      <c r="M703" s="112"/>
      <c r="N703" s="106"/>
      <c r="O703" s="106"/>
      <c r="P703" s="106"/>
      <c r="Q703" s="109"/>
      <c r="R703" s="103"/>
      <c r="S703" s="97"/>
      <c r="T703" s="97"/>
      <c r="U703" s="97"/>
      <c r="V703" s="100"/>
      <c r="W703" s="103"/>
      <c r="X703" s="97"/>
      <c r="Y703" s="97"/>
      <c r="Z703" s="97"/>
      <c r="AA703" s="100"/>
      <c r="AB703" s="134"/>
    </row>
    <row r="704" spans="1:28" ht="13.5" customHeight="1" thickBot="1" x14ac:dyDescent="0.3">
      <c r="A704" s="142"/>
      <c r="B704" s="138"/>
      <c r="C704" s="95"/>
      <c r="D704" s="125"/>
      <c r="E704" s="125"/>
      <c r="F704" s="125"/>
      <c r="G704" s="128"/>
      <c r="H704" s="104"/>
      <c r="I704" s="98"/>
      <c r="J704" s="98"/>
      <c r="K704" s="98"/>
      <c r="L704" s="101"/>
      <c r="M704" s="113"/>
      <c r="N704" s="107"/>
      <c r="O704" s="107"/>
      <c r="P704" s="107"/>
      <c r="Q704" s="110"/>
      <c r="R704" s="104"/>
      <c r="S704" s="98"/>
      <c r="T704" s="98"/>
      <c r="U704" s="98"/>
      <c r="V704" s="101"/>
      <c r="W704" s="104"/>
      <c r="X704" s="98"/>
      <c r="Y704" s="98"/>
      <c r="Z704" s="98"/>
      <c r="AA704" s="101"/>
      <c r="AB704" s="135"/>
    </row>
    <row r="705" spans="1:32" ht="13.5" customHeight="1" thickTop="1" thickBot="1" x14ac:dyDescent="0.3">
      <c r="A705" s="139">
        <f>ESCUADRAS!B137</f>
        <v>131</v>
      </c>
      <c r="B705" s="136">
        <f>ESCUADRAS!C136</f>
        <v>0</v>
      </c>
      <c r="C705" s="93"/>
      <c r="D705" s="123"/>
      <c r="E705" s="123"/>
      <c r="F705" s="123"/>
      <c r="G705" s="126"/>
      <c r="H705" s="111"/>
      <c r="I705" s="105"/>
      <c r="J705" s="105"/>
      <c r="K705" s="105"/>
      <c r="L705" s="108"/>
      <c r="M705" s="102"/>
      <c r="N705" s="96"/>
      <c r="O705" s="96"/>
      <c r="P705" s="96"/>
      <c r="Q705" s="99"/>
      <c r="R705" s="102"/>
      <c r="S705" s="96"/>
      <c r="T705" s="96"/>
      <c r="U705" s="96"/>
      <c r="V705" s="99"/>
      <c r="W705" s="102"/>
      <c r="X705" s="96"/>
      <c r="Y705" s="96"/>
      <c r="Z705" s="96"/>
      <c r="AA705" s="99"/>
      <c r="AB705" s="133"/>
    </row>
    <row r="706" spans="1:32" ht="14.25" customHeight="1" thickTop="1" thickBot="1" x14ac:dyDescent="0.3">
      <c r="A706" s="139"/>
      <c r="B706" s="137"/>
      <c r="C706" s="94"/>
      <c r="D706" s="124"/>
      <c r="E706" s="124"/>
      <c r="F706" s="124"/>
      <c r="G706" s="127"/>
      <c r="H706" s="112"/>
      <c r="I706" s="106"/>
      <c r="J706" s="106"/>
      <c r="K706" s="106"/>
      <c r="L706" s="109"/>
      <c r="M706" s="103"/>
      <c r="N706" s="97"/>
      <c r="O706" s="97"/>
      <c r="P706" s="97"/>
      <c r="Q706" s="100"/>
      <c r="R706" s="103"/>
      <c r="S706" s="97"/>
      <c r="T706" s="97"/>
      <c r="U706" s="97"/>
      <c r="V706" s="100"/>
      <c r="W706" s="103"/>
      <c r="X706" s="97"/>
      <c r="Y706" s="97"/>
      <c r="Z706" s="97"/>
      <c r="AA706" s="100"/>
      <c r="AB706" s="134"/>
    </row>
    <row r="707" spans="1:32" ht="13.5" customHeight="1" thickTop="1" thickBot="1" x14ac:dyDescent="0.3">
      <c r="A707" s="139"/>
      <c r="B707" s="138"/>
      <c r="C707" s="95"/>
      <c r="D707" s="125"/>
      <c r="E707" s="125"/>
      <c r="F707" s="125"/>
      <c r="G707" s="128"/>
      <c r="H707" s="113"/>
      <c r="I707" s="107"/>
      <c r="J707" s="107"/>
      <c r="K707" s="107"/>
      <c r="L707" s="110"/>
      <c r="M707" s="104"/>
      <c r="N707" s="98"/>
      <c r="O707" s="98"/>
      <c r="P707" s="98"/>
      <c r="Q707" s="101"/>
      <c r="R707" s="104"/>
      <c r="S707" s="98"/>
      <c r="T707" s="98"/>
      <c r="U707" s="98"/>
      <c r="V707" s="101"/>
      <c r="W707" s="104"/>
      <c r="X707" s="98"/>
      <c r="Y707" s="98"/>
      <c r="Z707" s="98"/>
      <c r="AA707" s="101"/>
      <c r="AB707" s="135"/>
    </row>
    <row r="708" spans="1:32" ht="12.75" customHeight="1" thickTop="1" x14ac:dyDescent="0.25">
      <c r="A708" s="140">
        <f>ESCUADRAS!B138</f>
        <v>132</v>
      </c>
      <c r="B708" s="136">
        <f>ESCUADRAS!C137</f>
        <v>0</v>
      </c>
      <c r="C708" s="111"/>
      <c r="D708" s="105"/>
      <c r="E708" s="105"/>
      <c r="F708" s="105"/>
      <c r="G708" s="108"/>
      <c r="H708" s="122"/>
      <c r="I708" s="120"/>
      <c r="J708" s="120"/>
      <c r="K708" s="120"/>
      <c r="L708" s="121"/>
      <c r="M708" s="122"/>
      <c r="N708" s="120"/>
      <c r="O708" s="120"/>
      <c r="P708" s="120"/>
      <c r="Q708" s="121"/>
      <c r="R708" s="122"/>
      <c r="S708" s="120"/>
      <c r="T708" s="120"/>
      <c r="U708" s="120"/>
      <c r="V708" s="121"/>
      <c r="W708" s="122"/>
      <c r="X708" s="120"/>
      <c r="Y708" s="120"/>
      <c r="Z708" s="120"/>
      <c r="AA708" s="121"/>
      <c r="AB708" s="133"/>
    </row>
    <row r="709" spans="1:32" ht="14.25" customHeight="1" x14ac:dyDescent="0.25">
      <c r="A709" s="141"/>
      <c r="B709" s="137"/>
      <c r="C709" s="112"/>
      <c r="D709" s="106"/>
      <c r="E709" s="106"/>
      <c r="F709" s="106"/>
      <c r="G709" s="109"/>
      <c r="H709" s="103"/>
      <c r="I709" s="97"/>
      <c r="J709" s="97"/>
      <c r="K709" s="97"/>
      <c r="L709" s="100"/>
      <c r="M709" s="103"/>
      <c r="N709" s="97"/>
      <c r="O709" s="97"/>
      <c r="P709" s="97"/>
      <c r="Q709" s="100"/>
      <c r="R709" s="103"/>
      <c r="S709" s="97"/>
      <c r="T709" s="97"/>
      <c r="U709" s="97"/>
      <c r="V709" s="100"/>
      <c r="W709" s="103"/>
      <c r="X709" s="97"/>
      <c r="Y709" s="97"/>
      <c r="Z709" s="97"/>
      <c r="AA709" s="100"/>
      <c r="AB709" s="134"/>
    </row>
    <row r="710" spans="1:32" ht="13.5" customHeight="1" thickBot="1" x14ac:dyDescent="0.3">
      <c r="A710" s="142"/>
      <c r="B710" s="138"/>
      <c r="C710" s="113"/>
      <c r="D710" s="107"/>
      <c r="E710" s="107"/>
      <c r="F710" s="107"/>
      <c r="G710" s="110"/>
      <c r="H710" s="104"/>
      <c r="I710" s="98"/>
      <c r="J710" s="98"/>
      <c r="K710" s="98"/>
      <c r="L710" s="101"/>
      <c r="M710" s="104"/>
      <c r="N710" s="98"/>
      <c r="O710" s="98"/>
      <c r="P710" s="98"/>
      <c r="Q710" s="101"/>
      <c r="R710" s="104"/>
      <c r="S710" s="98"/>
      <c r="T710" s="98"/>
      <c r="U710" s="98"/>
      <c r="V710" s="101"/>
      <c r="W710" s="104"/>
      <c r="X710" s="98"/>
      <c r="Y710" s="98"/>
      <c r="Z710" s="98"/>
      <c r="AA710" s="101"/>
      <c r="AB710" s="135"/>
    </row>
    <row r="712" spans="1:32" ht="15" x14ac:dyDescent="0.25">
      <c r="A712" s="28"/>
      <c r="B712" s="26" t="s">
        <v>35</v>
      </c>
      <c r="E712" s="21" t="s">
        <v>41</v>
      </c>
      <c r="I712" s="21" t="s">
        <v>42</v>
      </c>
      <c r="M712" s="21" t="s">
        <v>43</v>
      </c>
      <c r="Q712" s="21" t="s">
        <v>44</v>
      </c>
      <c r="U712" s="21" t="s">
        <v>45</v>
      </c>
      <c r="Y712" s="21" t="s">
        <v>46</v>
      </c>
    </row>
    <row r="719" spans="1:32" ht="24.6" x14ac:dyDescent="0.25">
      <c r="A719" s="144" t="str">
        <f>'INSCRIPCION '!A$1</f>
        <v>TIRADA</v>
      </c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</row>
    <row r="720" spans="1:32" ht="24.6" x14ac:dyDescent="0.4">
      <c r="A720" s="23"/>
      <c r="B720" s="23"/>
    </row>
    <row r="721" spans="1:32" ht="22.8" x14ac:dyDescent="0.25">
      <c r="A721" s="132" t="str">
        <f>'INSCRIPCION '!A$2</f>
        <v>CAMPO DE TIRO LA ISLA</v>
      </c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</row>
    <row r="722" spans="1:32" ht="20.399999999999999" x14ac:dyDescent="0.25">
      <c r="A722" s="143" t="str">
        <f>'INSCRIPCION '!A$3</f>
        <v>XXX PLATOS</v>
      </c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</row>
    <row r="723" spans="1:32" ht="22.8" x14ac:dyDescent="0.4">
      <c r="A723" s="24"/>
      <c r="B723" s="24"/>
    </row>
    <row r="724" spans="1:32" ht="17.399999999999999" x14ac:dyDescent="0.3">
      <c r="A724" s="25" t="s">
        <v>32</v>
      </c>
      <c r="B724" s="25"/>
      <c r="J724" s="9" t="s">
        <v>6</v>
      </c>
      <c r="K724" s="9"/>
      <c r="L724" s="9"/>
      <c r="M724" s="9"/>
      <c r="N724" s="9"/>
      <c r="O724" s="22">
        <v>4</v>
      </c>
      <c r="P724" s="22"/>
      <c r="Q724" s="8"/>
      <c r="R724" s="8"/>
      <c r="S724" s="7"/>
      <c r="T724" s="8"/>
      <c r="U724" s="8"/>
      <c r="V724" s="9" t="s">
        <v>7</v>
      </c>
      <c r="W724" s="9"/>
      <c r="X724" s="9"/>
      <c r="Y724" s="9"/>
      <c r="Z724" s="22">
        <v>2</v>
      </c>
      <c r="AA724" s="22"/>
    </row>
    <row r="725" spans="1:32" ht="13.8" thickBot="1" x14ac:dyDescent="0.3"/>
    <row r="726" spans="1:32" ht="15.6" thickBot="1" x14ac:dyDescent="0.3">
      <c r="A726" s="27" t="s">
        <v>0</v>
      </c>
      <c r="B726" s="27" t="s">
        <v>8</v>
      </c>
      <c r="C726" s="47">
        <v>1</v>
      </c>
      <c r="D726" s="48">
        <v>2</v>
      </c>
      <c r="E726" s="48">
        <v>3</v>
      </c>
      <c r="F726" s="48">
        <v>4</v>
      </c>
      <c r="G726" s="49">
        <v>5</v>
      </c>
      <c r="H726" s="47">
        <v>6</v>
      </c>
      <c r="I726" s="48">
        <v>7</v>
      </c>
      <c r="J726" s="48">
        <v>8</v>
      </c>
      <c r="K726" s="48">
        <v>9</v>
      </c>
      <c r="L726" s="49">
        <v>10</v>
      </c>
      <c r="M726" s="47">
        <v>11</v>
      </c>
      <c r="N726" s="48">
        <v>12</v>
      </c>
      <c r="O726" s="48">
        <v>13</v>
      </c>
      <c r="P726" s="48">
        <v>14</v>
      </c>
      <c r="Q726" s="49">
        <v>15</v>
      </c>
      <c r="R726" s="47">
        <v>16</v>
      </c>
      <c r="S726" s="48">
        <v>17</v>
      </c>
      <c r="T726" s="48">
        <v>18</v>
      </c>
      <c r="U726" s="48">
        <v>19</v>
      </c>
      <c r="V726" s="49">
        <v>20</v>
      </c>
      <c r="W726" s="47">
        <v>21</v>
      </c>
      <c r="X726" s="48">
        <v>22</v>
      </c>
      <c r="Y726" s="48">
        <v>23</v>
      </c>
      <c r="Z726" s="48">
        <v>24</v>
      </c>
      <c r="AA726" s="49">
        <v>25</v>
      </c>
      <c r="AB726" s="30" t="s">
        <v>1</v>
      </c>
    </row>
    <row r="727" spans="1:32" ht="12.75" customHeight="1" x14ac:dyDescent="0.25">
      <c r="A727" s="136">
        <f>ESCUADRAS!B144</f>
        <v>138</v>
      </c>
      <c r="B727" s="136">
        <f>ESCUADRAS!C144</f>
        <v>0</v>
      </c>
      <c r="C727" s="129"/>
      <c r="D727" s="114"/>
      <c r="E727" s="114"/>
      <c r="F727" s="114"/>
      <c r="G727" s="117"/>
      <c r="H727" s="111"/>
      <c r="I727" s="105"/>
      <c r="J727" s="105"/>
      <c r="K727" s="105"/>
      <c r="L727" s="108"/>
      <c r="M727" s="111"/>
      <c r="N727" s="105"/>
      <c r="O727" s="105"/>
      <c r="P727" s="105"/>
      <c r="Q727" s="108"/>
      <c r="R727" s="111"/>
      <c r="S727" s="105"/>
      <c r="T727" s="105"/>
      <c r="U727" s="105"/>
      <c r="V727" s="108"/>
      <c r="W727" s="111"/>
      <c r="X727" s="105"/>
      <c r="Y727" s="105"/>
      <c r="Z727" s="105"/>
      <c r="AA727" s="108"/>
      <c r="AB727" s="133"/>
    </row>
    <row r="728" spans="1:32" ht="14.25" customHeight="1" x14ac:dyDescent="0.25">
      <c r="A728" s="137"/>
      <c r="B728" s="137"/>
      <c r="C728" s="130"/>
      <c r="D728" s="115"/>
      <c r="E728" s="115"/>
      <c r="F728" s="115"/>
      <c r="G728" s="118"/>
      <c r="H728" s="112"/>
      <c r="I728" s="106"/>
      <c r="J728" s="106"/>
      <c r="K728" s="106"/>
      <c r="L728" s="109"/>
      <c r="M728" s="112"/>
      <c r="N728" s="106"/>
      <c r="O728" s="106"/>
      <c r="P728" s="106"/>
      <c r="Q728" s="109"/>
      <c r="R728" s="112"/>
      <c r="S728" s="106"/>
      <c r="T728" s="106"/>
      <c r="U728" s="106"/>
      <c r="V728" s="109"/>
      <c r="W728" s="112"/>
      <c r="X728" s="106"/>
      <c r="Y728" s="106"/>
      <c r="Z728" s="106"/>
      <c r="AA728" s="109"/>
      <c r="AB728" s="134"/>
    </row>
    <row r="729" spans="1:32" ht="13.5" customHeight="1" thickBot="1" x14ac:dyDescent="0.3">
      <c r="A729" s="138"/>
      <c r="B729" s="138"/>
      <c r="C729" s="131"/>
      <c r="D729" s="116"/>
      <c r="E729" s="116"/>
      <c r="F729" s="116"/>
      <c r="G729" s="119"/>
      <c r="H729" s="113"/>
      <c r="I729" s="107"/>
      <c r="J729" s="107"/>
      <c r="K729" s="107"/>
      <c r="L729" s="110"/>
      <c r="M729" s="113"/>
      <c r="N729" s="107"/>
      <c r="O729" s="107"/>
      <c r="P729" s="107"/>
      <c r="Q729" s="110"/>
      <c r="R729" s="113"/>
      <c r="S729" s="107"/>
      <c r="T729" s="107"/>
      <c r="U729" s="107"/>
      <c r="V729" s="110"/>
      <c r="W729" s="113"/>
      <c r="X729" s="107"/>
      <c r="Y729" s="107"/>
      <c r="Z729" s="107"/>
      <c r="AA729" s="110"/>
      <c r="AB729" s="135"/>
    </row>
    <row r="730" spans="1:32" ht="14.25" customHeight="1" x14ac:dyDescent="0.25">
      <c r="A730" s="136">
        <f>ESCUADRAS!B139</f>
        <v>133</v>
      </c>
      <c r="B730" s="136">
        <f>ESCUADRAS!C139</f>
        <v>0</v>
      </c>
      <c r="C730" s="93"/>
      <c r="D730" s="123"/>
      <c r="E730" s="123"/>
      <c r="F730" s="123"/>
      <c r="G730" s="126"/>
      <c r="H730" s="102"/>
      <c r="I730" s="96"/>
      <c r="J730" s="96"/>
      <c r="K730" s="96"/>
      <c r="L730" s="99"/>
      <c r="M730" s="102"/>
      <c r="N730" s="96"/>
      <c r="O730" s="96"/>
      <c r="P730" s="96"/>
      <c r="Q730" s="99"/>
      <c r="R730" s="102"/>
      <c r="S730" s="96"/>
      <c r="T730" s="96"/>
      <c r="U730" s="96"/>
      <c r="V730" s="99"/>
      <c r="W730" s="111"/>
      <c r="X730" s="105"/>
      <c r="Y730" s="105"/>
      <c r="Z730" s="105"/>
      <c r="AA730" s="108"/>
      <c r="AB730" s="133"/>
    </row>
    <row r="731" spans="1:32" ht="14.25" customHeight="1" x14ac:dyDescent="0.25">
      <c r="A731" s="137"/>
      <c r="B731" s="137"/>
      <c r="C731" s="94"/>
      <c r="D731" s="124"/>
      <c r="E731" s="124"/>
      <c r="F731" s="124"/>
      <c r="G731" s="127"/>
      <c r="H731" s="103"/>
      <c r="I731" s="97"/>
      <c r="J731" s="97"/>
      <c r="K731" s="97"/>
      <c r="L731" s="100"/>
      <c r="M731" s="103"/>
      <c r="N731" s="97"/>
      <c r="O731" s="97"/>
      <c r="P731" s="97"/>
      <c r="Q731" s="100"/>
      <c r="R731" s="103"/>
      <c r="S731" s="97"/>
      <c r="T731" s="97"/>
      <c r="U731" s="97"/>
      <c r="V731" s="100"/>
      <c r="W731" s="112"/>
      <c r="X731" s="106"/>
      <c r="Y731" s="106"/>
      <c r="Z731" s="106"/>
      <c r="AA731" s="109"/>
      <c r="AB731" s="134"/>
    </row>
    <row r="732" spans="1:32" ht="13.5" customHeight="1" thickBot="1" x14ac:dyDescent="0.3">
      <c r="A732" s="138"/>
      <c r="B732" s="138"/>
      <c r="C732" s="95"/>
      <c r="D732" s="125"/>
      <c r="E732" s="125"/>
      <c r="F732" s="125"/>
      <c r="G732" s="128"/>
      <c r="H732" s="104"/>
      <c r="I732" s="98"/>
      <c r="J732" s="98"/>
      <c r="K732" s="98"/>
      <c r="L732" s="101"/>
      <c r="M732" s="104"/>
      <c r="N732" s="98"/>
      <c r="O732" s="98"/>
      <c r="P732" s="98"/>
      <c r="Q732" s="101"/>
      <c r="R732" s="104"/>
      <c r="S732" s="98"/>
      <c r="T732" s="98"/>
      <c r="U732" s="98"/>
      <c r="V732" s="101"/>
      <c r="W732" s="113"/>
      <c r="X732" s="107"/>
      <c r="Y732" s="107"/>
      <c r="Z732" s="107"/>
      <c r="AA732" s="110"/>
      <c r="AB732" s="135"/>
    </row>
    <row r="733" spans="1:32" ht="14.25" customHeight="1" x14ac:dyDescent="0.25">
      <c r="A733" s="136">
        <f>ESCUADRAS!B140</f>
        <v>134</v>
      </c>
      <c r="B733" s="136">
        <f>ESCUADRAS!C140</f>
        <v>0</v>
      </c>
      <c r="C733" s="93"/>
      <c r="D733" s="123"/>
      <c r="E733" s="123"/>
      <c r="F733" s="123"/>
      <c r="G733" s="126"/>
      <c r="H733" s="102"/>
      <c r="I733" s="96"/>
      <c r="J733" s="96"/>
      <c r="K733" s="96"/>
      <c r="L733" s="99"/>
      <c r="M733" s="102"/>
      <c r="N733" s="96"/>
      <c r="O733" s="96"/>
      <c r="P733" s="96"/>
      <c r="Q733" s="99"/>
      <c r="R733" s="111"/>
      <c r="S733" s="105"/>
      <c r="T733" s="105"/>
      <c r="U733" s="105"/>
      <c r="V733" s="108"/>
      <c r="W733" s="102"/>
      <c r="X733" s="96"/>
      <c r="Y733" s="96"/>
      <c r="Z733" s="96"/>
      <c r="AA733" s="99"/>
      <c r="AB733" s="133"/>
    </row>
    <row r="734" spans="1:32" ht="14.25" customHeight="1" x14ac:dyDescent="0.25">
      <c r="A734" s="137"/>
      <c r="B734" s="137"/>
      <c r="C734" s="94"/>
      <c r="D734" s="124"/>
      <c r="E734" s="124"/>
      <c r="F734" s="124"/>
      <c r="G734" s="127"/>
      <c r="H734" s="103"/>
      <c r="I734" s="97"/>
      <c r="J734" s="97"/>
      <c r="K734" s="97"/>
      <c r="L734" s="100"/>
      <c r="M734" s="103"/>
      <c r="N734" s="97"/>
      <c r="O734" s="97"/>
      <c r="P734" s="97"/>
      <c r="Q734" s="100"/>
      <c r="R734" s="112"/>
      <c r="S734" s="106"/>
      <c r="T734" s="106"/>
      <c r="U734" s="106"/>
      <c r="V734" s="109"/>
      <c r="W734" s="103"/>
      <c r="X734" s="97"/>
      <c r="Y734" s="97"/>
      <c r="Z734" s="97"/>
      <c r="AA734" s="100"/>
      <c r="AB734" s="134"/>
    </row>
    <row r="735" spans="1:32" ht="13.5" customHeight="1" thickBot="1" x14ac:dyDescent="0.3">
      <c r="A735" s="138"/>
      <c r="B735" s="138"/>
      <c r="C735" s="95"/>
      <c r="D735" s="125"/>
      <c r="E735" s="125"/>
      <c r="F735" s="125"/>
      <c r="G735" s="128"/>
      <c r="H735" s="104"/>
      <c r="I735" s="98"/>
      <c r="J735" s="98"/>
      <c r="K735" s="98"/>
      <c r="L735" s="101"/>
      <c r="M735" s="104"/>
      <c r="N735" s="98"/>
      <c r="O735" s="98"/>
      <c r="P735" s="98"/>
      <c r="Q735" s="101"/>
      <c r="R735" s="113"/>
      <c r="S735" s="107"/>
      <c r="T735" s="107"/>
      <c r="U735" s="107"/>
      <c r="V735" s="110"/>
      <c r="W735" s="104"/>
      <c r="X735" s="98"/>
      <c r="Y735" s="98"/>
      <c r="Z735" s="98"/>
      <c r="AA735" s="101"/>
      <c r="AB735" s="135"/>
    </row>
    <row r="736" spans="1:32" ht="13.5" customHeight="1" x14ac:dyDescent="0.25">
      <c r="A736" s="136">
        <f>ESCUADRAS!B141</f>
        <v>135</v>
      </c>
      <c r="B736" s="136">
        <f>ESCUADRAS!C141</f>
        <v>0</v>
      </c>
      <c r="C736" s="93"/>
      <c r="D736" s="123"/>
      <c r="E736" s="123"/>
      <c r="F736" s="123"/>
      <c r="G736" s="126"/>
      <c r="H736" s="102"/>
      <c r="I736" s="96"/>
      <c r="J736" s="96"/>
      <c r="K736" s="96"/>
      <c r="L736" s="99"/>
      <c r="M736" s="111"/>
      <c r="N736" s="105"/>
      <c r="O736" s="105"/>
      <c r="P736" s="105"/>
      <c r="Q736" s="108"/>
      <c r="R736" s="102"/>
      <c r="S736" s="96"/>
      <c r="T736" s="96"/>
      <c r="U736" s="96"/>
      <c r="V736" s="99"/>
      <c r="W736" s="102"/>
      <c r="X736" s="96"/>
      <c r="Y736" s="96"/>
      <c r="Z736" s="96"/>
      <c r="AA736" s="99"/>
      <c r="AB736" s="133"/>
    </row>
    <row r="737" spans="1:28" ht="14.25" customHeight="1" x14ac:dyDescent="0.25">
      <c r="A737" s="137"/>
      <c r="B737" s="137"/>
      <c r="C737" s="94"/>
      <c r="D737" s="124"/>
      <c r="E737" s="124"/>
      <c r="F737" s="124"/>
      <c r="G737" s="127"/>
      <c r="H737" s="103"/>
      <c r="I737" s="97"/>
      <c r="J737" s="97"/>
      <c r="K737" s="97"/>
      <c r="L737" s="100"/>
      <c r="M737" s="112"/>
      <c r="N737" s="106"/>
      <c r="O737" s="106"/>
      <c r="P737" s="106"/>
      <c r="Q737" s="109"/>
      <c r="R737" s="103"/>
      <c r="S737" s="97"/>
      <c r="T737" s="97"/>
      <c r="U737" s="97"/>
      <c r="V737" s="100"/>
      <c r="W737" s="103"/>
      <c r="X737" s="97"/>
      <c r="Y737" s="97"/>
      <c r="Z737" s="97"/>
      <c r="AA737" s="100"/>
      <c r="AB737" s="134"/>
    </row>
    <row r="738" spans="1:28" ht="13.5" customHeight="1" thickBot="1" x14ac:dyDescent="0.3">
      <c r="A738" s="138"/>
      <c r="B738" s="138"/>
      <c r="C738" s="95"/>
      <c r="D738" s="125"/>
      <c r="E738" s="125"/>
      <c r="F738" s="125"/>
      <c r="G738" s="128"/>
      <c r="H738" s="104"/>
      <c r="I738" s="98"/>
      <c r="J738" s="98"/>
      <c r="K738" s="98"/>
      <c r="L738" s="101"/>
      <c r="M738" s="113"/>
      <c r="N738" s="107"/>
      <c r="O738" s="107"/>
      <c r="P738" s="107"/>
      <c r="Q738" s="110"/>
      <c r="R738" s="104"/>
      <c r="S738" s="98"/>
      <c r="T738" s="98"/>
      <c r="U738" s="98"/>
      <c r="V738" s="101"/>
      <c r="W738" s="104"/>
      <c r="X738" s="98"/>
      <c r="Y738" s="98"/>
      <c r="Z738" s="98"/>
      <c r="AA738" s="101"/>
      <c r="AB738" s="135"/>
    </row>
    <row r="739" spans="1:28" ht="13.5" customHeight="1" x14ac:dyDescent="0.25">
      <c r="A739" s="136">
        <f>ESCUADRAS!B142</f>
        <v>136</v>
      </c>
      <c r="B739" s="136">
        <f>ESCUADRAS!C142</f>
        <v>0</v>
      </c>
      <c r="C739" s="93"/>
      <c r="D739" s="123"/>
      <c r="E739" s="123"/>
      <c r="F739" s="123"/>
      <c r="G739" s="126"/>
      <c r="H739" s="111"/>
      <c r="I739" s="105"/>
      <c r="J739" s="105"/>
      <c r="K739" s="105"/>
      <c r="L739" s="108"/>
      <c r="M739" s="102"/>
      <c r="N739" s="96"/>
      <c r="O739" s="96"/>
      <c r="P739" s="96"/>
      <c r="Q739" s="99"/>
      <c r="R739" s="102"/>
      <c r="S739" s="96"/>
      <c r="T739" s="96"/>
      <c r="U739" s="96"/>
      <c r="V739" s="99"/>
      <c r="W739" s="102"/>
      <c r="X739" s="96"/>
      <c r="Y739" s="96"/>
      <c r="Z739" s="96"/>
      <c r="AA739" s="99"/>
      <c r="AB739" s="133"/>
    </row>
    <row r="740" spans="1:28" ht="14.25" customHeight="1" x14ac:dyDescent="0.25">
      <c r="A740" s="137"/>
      <c r="B740" s="137"/>
      <c r="C740" s="94"/>
      <c r="D740" s="124"/>
      <c r="E740" s="124"/>
      <c r="F740" s="124"/>
      <c r="G740" s="127"/>
      <c r="H740" s="112"/>
      <c r="I740" s="106"/>
      <c r="J740" s="106"/>
      <c r="K740" s="106"/>
      <c r="L740" s="109"/>
      <c r="M740" s="103"/>
      <c r="N740" s="97"/>
      <c r="O740" s="97"/>
      <c r="P740" s="97"/>
      <c r="Q740" s="100"/>
      <c r="R740" s="103"/>
      <c r="S740" s="97"/>
      <c r="T740" s="97"/>
      <c r="U740" s="97"/>
      <c r="V740" s="100"/>
      <c r="W740" s="103"/>
      <c r="X740" s="97"/>
      <c r="Y740" s="97"/>
      <c r="Z740" s="97"/>
      <c r="AA740" s="100"/>
      <c r="AB740" s="134"/>
    </row>
    <row r="741" spans="1:28" ht="13.5" customHeight="1" thickBot="1" x14ac:dyDescent="0.3">
      <c r="A741" s="138"/>
      <c r="B741" s="138"/>
      <c r="C741" s="95"/>
      <c r="D741" s="125"/>
      <c r="E741" s="125"/>
      <c r="F741" s="125"/>
      <c r="G741" s="128"/>
      <c r="H741" s="113"/>
      <c r="I741" s="107"/>
      <c r="J741" s="107"/>
      <c r="K741" s="107"/>
      <c r="L741" s="110"/>
      <c r="M741" s="104"/>
      <c r="N741" s="98"/>
      <c r="O741" s="98"/>
      <c r="P741" s="98"/>
      <c r="Q741" s="101"/>
      <c r="R741" s="104"/>
      <c r="S741" s="98"/>
      <c r="T741" s="98"/>
      <c r="U741" s="98"/>
      <c r="V741" s="101"/>
      <c r="W741" s="104"/>
      <c r="X741" s="98"/>
      <c r="Y741" s="98"/>
      <c r="Z741" s="98"/>
      <c r="AA741" s="101"/>
      <c r="AB741" s="135"/>
    </row>
    <row r="742" spans="1:28" ht="12.75" customHeight="1" x14ac:dyDescent="0.25">
      <c r="A742" s="136">
        <f>ESCUADRAS!B143</f>
        <v>137</v>
      </c>
      <c r="B742" s="136">
        <f>ESCUADRAS!C143</f>
        <v>0</v>
      </c>
      <c r="C742" s="111"/>
      <c r="D742" s="105"/>
      <c r="E742" s="105"/>
      <c r="F742" s="105"/>
      <c r="G742" s="108"/>
      <c r="H742" s="122"/>
      <c r="I742" s="120"/>
      <c r="J742" s="120"/>
      <c r="K742" s="120"/>
      <c r="L742" s="121"/>
      <c r="M742" s="122"/>
      <c r="N742" s="120"/>
      <c r="O742" s="120"/>
      <c r="P742" s="120"/>
      <c r="Q742" s="121"/>
      <c r="R742" s="122"/>
      <c r="S742" s="120"/>
      <c r="T742" s="120"/>
      <c r="U742" s="120"/>
      <c r="V742" s="121"/>
      <c r="W742" s="122"/>
      <c r="X742" s="120"/>
      <c r="Y742" s="120"/>
      <c r="Z742" s="120"/>
      <c r="AA742" s="121"/>
      <c r="AB742" s="133"/>
    </row>
    <row r="743" spans="1:28" ht="14.25" customHeight="1" x14ac:dyDescent="0.25">
      <c r="A743" s="137"/>
      <c r="B743" s="137"/>
      <c r="C743" s="112"/>
      <c r="D743" s="106"/>
      <c r="E743" s="106"/>
      <c r="F743" s="106"/>
      <c r="G743" s="109"/>
      <c r="H743" s="103"/>
      <c r="I743" s="97"/>
      <c r="J743" s="97"/>
      <c r="K743" s="97"/>
      <c r="L743" s="100"/>
      <c r="M743" s="103"/>
      <c r="N743" s="97"/>
      <c r="O743" s="97"/>
      <c r="P743" s="97"/>
      <c r="Q743" s="100"/>
      <c r="R743" s="103"/>
      <c r="S743" s="97"/>
      <c r="T743" s="97"/>
      <c r="U743" s="97"/>
      <c r="V743" s="100"/>
      <c r="W743" s="103"/>
      <c r="X743" s="97"/>
      <c r="Y743" s="97"/>
      <c r="Z743" s="97"/>
      <c r="AA743" s="100"/>
      <c r="AB743" s="134"/>
    </row>
    <row r="744" spans="1:28" ht="13.5" customHeight="1" thickBot="1" x14ac:dyDescent="0.3">
      <c r="A744" s="138"/>
      <c r="B744" s="138"/>
      <c r="C744" s="113"/>
      <c r="D744" s="107"/>
      <c r="E744" s="107"/>
      <c r="F744" s="107"/>
      <c r="G744" s="110"/>
      <c r="H744" s="104"/>
      <c r="I744" s="98"/>
      <c r="J744" s="98"/>
      <c r="K744" s="98"/>
      <c r="L744" s="101"/>
      <c r="M744" s="104"/>
      <c r="N744" s="98"/>
      <c r="O744" s="98"/>
      <c r="P744" s="98"/>
      <c r="Q744" s="101"/>
      <c r="R744" s="104"/>
      <c r="S744" s="98"/>
      <c r="T744" s="98"/>
      <c r="U744" s="98"/>
      <c r="V744" s="101"/>
      <c r="W744" s="104"/>
      <c r="X744" s="98"/>
      <c r="Y744" s="98"/>
      <c r="Z744" s="98"/>
      <c r="AA744" s="101"/>
      <c r="AB744" s="135"/>
    </row>
    <row r="746" spans="1:28" ht="15" x14ac:dyDescent="0.25">
      <c r="A746" s="28"/>
      <c r="B746" s="26" t="s">
        <v>35</v>
      </c>
      <c r="E746" s="21" t="s">
        <v>41</v>
      </c>
      <c r="I746" s="21" t="s">
        <v>42</v>
      </c>
      <c r="M746" s="21" t="s">
        <v>43</v>
      </c>
      <c r="Q746" s="21" t="s">
        <v>44</v>
      </c>
      <c r="U746" s="21" t="s">
        <v>45</v>
      </c>
      <c r="Y746" s="21" t="s">
        <v>46</v>
      </c>
    </row>
    <row r="753" spans="1:32" ht="24.6" x14ac:dyDescent="0.25">
      <c r="A753" s="144" t="str">
        <f>'INSCRIPCION '!A$1</f>
        <v>TIRADA</v>
      </c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</row>
    <row r="754" spans="1:32" ht="24.6" x14ac:dyDescent="0.4">
      <c r="A754" s="23"/>
      <c r="B754" s="23"/>
    </row>
    <row r="755" spans="1:32" ht="22.8" x14ac:dyDescent="0.25">
      <c r="A755" s="132" t="str">
        <f>'INSCRIPCION '!A$2</f>
        <v>CAMPO DE TIRO LA ISLA</v>
      </c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</row>
    <row r="756" spans="1:32" ht="20.399999999999999" x14ac:dyDescent="0.25">
      <c r="A756" s="143" t="str">
        <f>'INSCRIPCION '!A$3</f>
        <v>XXX PLATOS</v>
      </c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</row>
    <row r="757" spans="1:32" ht="22.8" x14ac:dyDescent="0.4">
      <c r="A757" s="24"/>
      <c r="B757" s="24"/>
    </row>
    <row r="758" spans="1:32" ht="17.399999999999999" x14ac:dyDescent="0.3">
      <c r="A758" s="25" t="s">
        <v>33</v>
      </c>
      <c r="B758" s="25"/>
      <c r="J758" s="9" t="s">
        <v>6</v>
      </c>
      <c r="K758" s="9"/>
      <c r="L758" s="9"/>
      <c r="M758" s="9"/>
      <c r="N758" s="9"/>
      <c r="O758" s="22">
        <v>1</v>
      </c>
      <c r="P758" s="22"/>
      <c r="Q758" s="8"/>
      <c r="R758" s="8"/>
      <c r="S758" s="7"/>
      <c r="T758" s="8"/>
      <c r="U758" s="8"/>
      <c r="V758" s="9" t="s">
        <v>7</v>
      </c>
      <c r="W758" s="9"/>
      <c r="X758" s="9"/>
      <c r="Y758" s="9"/>
      <c r="Z758" s="22">
        <v>2</v>
      </c>
      <c r="AA758" s="22"/>
    </row>
    <row r="759" spans="1:32" ht="13.8" thickBot="1" x14ac:dyDescent="0.3"/>
    <row r="760" spans="1:32" ht="15.6" thickBot="1" x14ac:dyDescent="0.3">
      <c r="A760" s="27" t="s">
        <v>0</v>
      </c>
      <c r="B760" s="27" t="s">
        <v>8</v>
      </c>
      <c r="C760" s="47">
        <v>1</v>
      </c>
      <c r="D760" s="48">
        <v>2</v>
      </c>
      <c r="E760" s="48">
        <v>3</v>
      </c>
      <c r="F760" s="48">
        <v>4</v>
      </c>
      <c r="G760" s="49">
        <v>5</v>
      </c>
      <c r="H760" s="47">
        <v>6</v>
      </c>
      <c r="I760" s="48">
        <v>7</v>
      </c>
      <c r="J760" s="48">
        <v>8</v>
      </c>
      <c r="K760" s="48">
        <v>9</v>
      </c>
      <c r="L760" s="49">
        <v>10</v>
      </c>
      <c r="M760" s="47">
        <v>11</v>
      </c>
      <c r="N760" s="48">
        <v>12</v>
      </c>
      <c r="O760" s="48">
        <v>13</v>
      </c>
      <c r="P760" s="48">
        <v>14</v>
      </c>
      <c r="Q760" s="49">
        <v>15</v>
      </c>
      <c r="R760" s="47">
        <v>16</v>
      </c>
      <c r="S760" s="48">
        <v>17</v>
      </c>
      <c r="T760" s="48">
        <v>18</v>
      </c>
      <c r="U760" s="48">
        <v>19</v>
      </c>
      <c r="V760" s="49">
        <v>20</v>
      </c>
      <c r="W760" s="47">
        <v>21</v>
      </c>
      <c r="X760" s="48">
        <v>22</v>
      </c>
      <c r="Y760" s="48">
        <v>23</v>
      </c>
      <c r="Z760" s="48">
        <v>24</v>
      </c>
      <c r="AA760" s="49">
        <v>25</v>
      </c>
      <c r="AB760" s="30" t="s">
        <v>1</v>
      </c>
    </row>
    <row r="761" spans="1:32" ht="14.25" customHeight="1" thickTop="1" thickBot="1" x14ac:dyDescent="0.3">
      <c r="A761" s="139">
        <f>ESCUADRAS!B145</f>
        <v>139</v>
      </c>
      <c r="B761" s="136">
        <f>ESCUADRAS!C150</f>
        <v>0</v>
      </c>
      <c r="C761" s="129"/>
      <c r="D761" s="114"/>
      <c r="E761" s="114"/>
      <c r="F761" s="114"/>
      <c r="G761" s="117"/>
      <c r="H761" s="111"/>
      <c r="I761" s="105"/>
      <c r="J761" s="105"/>
      <c r="K761" s="105"/>
      <c r="L761" s="108"/>
      <c r="M761" s="111"/>
      <c r="N761" s="105"/>
      <c r="O761" s="105"/>
      <c r="P761" s="105"/>
      <c r="Q761" s="108"/>
      <c r="R761" s="111"/>
      <c r="S761" s="105"/>
      <c r="T761" s="105"/>
      <c r="U761" s="105"/>
      <c r="V761" s="108"/>
      <c r="W761" s="111"/>
      <c r="X761" s="105"/>
      <c r="Y761" s="105"/>
      <c r="Z761" s="105"/>
      <c r="AA761" s="108"/>
      <c r="AB761" s="133"/>
    </row>
    <row r="762" spans="1:32" ht="14.25" customHeight="1" thickTop="1" thickBot="1" x14ac:dyDescent="0.3">
      <c r="A762" s="139"/>
      <c r="B762" s="137"/>
      <c r="C762" s="130"/>
      <c r="D762" s="115"/>
      <c r="E762" s="115"/>
      <c r="F762" s="115"/>
      <c r="G762" s="118"/>
      <c r="H762" s="112"/>
      <c r="I762" s="106"/>
      <c r="J762" s="106"/>
      <c r="K762" s="106"/>
      <c r="L762" s="109"/>
      <c r="M762" s="112"/>
      <c r="N762" s="106"/>
      <c r="O762" s="106"/>
      <c r="P762" s="106"/>
      <c r="Q762" s="109"/>
      <c r="R762" s="112"/>
      <c r="S762" s="106"/>
      <c r="T762" s="106"/>
      <c r="U762" s="106"/>
      <c r="V762" s="109"/>
      <c r="W762" s="112"/>
      <c r="X762" s="106"/>
      <c r="Y762" s="106"/>
      <c r="Z762" s="106"/>
      <c r="AA762" s="109"/>
      <c r="AB762" s="134"/>
    </row>
    <row r="763" spans="1:32" ht="13.5" customHeight="1" thickTop="1" thickBot="1" x14ac:dyDescent="0.3">
      <c r="A763" s="139"/>
      <c r="B763" s="138"/>
      <c r="C763" s="131"/>
      <c r="D763" s="116"/>
      <c r="E763" s="116"/>
      <c r="F763" s="116"/>
      <c r="G763" s="119"/>
      <c r="H763" s="113"/>
      <c r="I763" s="107"/>
      <c r="J763" s="107"/>
      <c r="K763" s="107"/>
      <c r="L763" s="110"/>
      <c r="M763" s="113"/>
      <c r="N763" s="107"/>
      <c r="O763" s="107"/>
      <c r="P763" s="107"/>
      <c r="Q763" s="110"/>
      <c r="R763" s="113"/>
      <c r="S763" s="107"/>
      <c r="T763" s="107"/>
      <c r="U763" s="107"/>
      <c r="V763" s="110"/>
      <c r="W763" s="113"/>
      <c r="X763" s="107"/>
      <c r="Y763" s="107"/>
      <c r="Z763" s="107"/>
      <c r="AA763" s="110"/>
      <c r="AB763" s="135"/>
    </row>
    <row r="764" spans="1:32" ht="14.25" customHeight="1" thickTop="1" x14ac:dyDescent="0.25">
      <c r="A764" s="140">
        <f>ESCUADRAS!B146</f>
        <v>140</v>
      </c>
      <c r="B764" s="136">
        <f>ESCUADRAS!C145</f>
        <v>0</v>
      </c>
      <c r="C764" s="93"/>
      <c r="D764" s="123"/>
      <c r="E764" s="123"/>
      <c r="F764" s="123"/>
      <c r="G764" s="126"/>
      <c r="H764" s="102"/>
      <c r="I764" s="96"/>
      <c r="J764" s="96"/>
      <c r="K764" s="96"/>
      <c r="L764" s="99"/>
      <c r="M764" s="102"/>
      <c r="N764" s="96"/>
      <c r="O764" s="96"/>
      <c r="P764" s="96"/>
      <c r="Q764" s="99"/>
      <c r="R764" s="102"/>
      <c r="S764" s="96"/>
      <c r="T764" s="96"/>
      <c r="U764" s="96"/>
      <c r="V764" s="99"/>
      <c r="W764" s="111"/>
      <c r="X764" s="105"/>
      <c r="Y764" s="105"/>
      <c r="Z764" s="105"/>
      <c r="AA764" s="108"/>
      <c r="AB764" s="133"/>
    </row>
    <row r="765" spans="1:32" ht="14.25" customHeight="1" x14ac:dyDescent="0.25">
      <c r="A765" s="141"/>
      <c r="B765" s="137"/>
      <c r="C765" s="94"/>
      <c r="D765" s="124"/>
      <c r="E765" s="124"/>
      <c r="F765" s="124"/>
      <c r="G765" s="127"/>
      <c r="H765" s="103"/>
      <c r="I765" s="97"/>
      <c r="J765" s="97"/>
      <c r="K765" s="97"/>
      <c r="L765" s="100"/>
      <c r="M765" s="103"/>
      <c r="N765" s="97"/>
      <c r="O765" s="97"/>
      <c r="P765" s="97"/>
      <c r="Q765" s="100"/>
      <c r="R765" s="103"/>
      <c r="S765" s="97"/>
      <c r="T765" s="97"/>
      <c r="U765" s="97"/>
      <c r="V765" s="100"/>
      <c r="W765" s="112"/>
      <c r="X765" s="106"/>
      <c r="Y765" s="106"/>
      <c r="Z765" s="106"/>
      <c r="AA765" s="109"/>
      <c r="AB765" s="134"/>
    </row>
    <row r="766" spans="1:32" ht="13.5" customHeight="1" thickBot="1" x14ac:dyDescent="0.3">
      <c r="A766" s="142"/>
      <c r="B766" s="138"/>
      <c r="C766" s="95"/>
      <c r="D766" s="125"/>
      <c r="E766" s="125"/>
      <c r="F766" s="125"/>
      <c r="G766" s="128"/>
      <c r="H766" s="104"/>
      <c r="I766" s="98"/>
      <c r="J766" s="98"/>
      <c r="K766" s="98"/>
      <c r="L766" s="101"/>
      <c r="M766" s="104"/>
      <c r="N766" s="98"/>
      <c r="O766" s="98"/>
      <c r="P766" s="98"/>
      <c r="Q766" s="101"/>
      <c r="R766" s="104"/>
      <c r="S766" s="98"/>
      <c r="T766" s="98"/>
      <c r="U766" s="98"/>
      <c r="V766" s="101"/>
      <c r="W766" s="113"/>
      <c r="X766" s="107"/>
      <c r="Y766" s="107"/>
      <c r="Z766" s="107"/>
      <c r="AA766" s="110"/>
      <c r="AB766" s="135"/>
    </row>
    <row r="767" spans="1:32" ht="14.25" customHeight="1" thickTop="1" thickBot="1" x14ac:dyDescent="0.3">
      <c r="A767" s="139">
        <f>ESCUADRAS!B147</f>
        <v>141</v>
      </c>
      <c r="B767" s="136">
        <f>ESCUADRAS!C146</f>
        <v>0</v>
      </c>
      <c r="C767" s="93"/>
      <c r="D767" s="123"/>
      <c r="E767" s="123"/>
      <c r="F767" s="123"/>
      <c r="G767" s="126"/>
      <c r="H767" s="102"/>
      <c r="I767" s="96"/>
      <c r="J767" s="96"/>
      <c r="K767" s="96"/>
      <c r="L767" s="99"/>
      <c r="M767" s="102"/>
      <c r="N767" s="96"/>
      <c r="O767" s="96"/>
      <c r="P767" s="96"/>
      <c r="Q767" s="99"/>
      <c r="R767" s="111"/>
      <c r="S767" s="105"/>
      <c r="T767" s="105"/>
      <c r="U767" s="105"/>
      <c r="V767" s="108"/>
      <c r="W767" s="102"/>
      <c r="X767" s="96"/>
      <c r="Y767" s="96"/>
      <c r="Z767" s="96"/>
      <c r="AA767" s="99"/>
      <c r="AB767" s="133"/>
    </row>
    <row r="768" spans="1:32" ht="14.25" customHeight="1" thickTop="1" thickBot="1" x14ac:dyDescent="0.3">
      <c r="A768" s="139"/>
      <c r="B768" s="137"/>
      <c r="C768" s="94"/>
      <c r="D768" s="124"/>
      <c r="E768" s="124"/>
      <c r="F768" s="124"/>
      <c r="G768" s="127"/>
      <c r="H768" s="103"/>
      <c r="I768" s="97"/>
      <c r="J768" s="97"/>
      <c r="K768" s="97"/>
      <c r="L768" s="100"/>
      <c r="M768" s="103"/>
      <c r="N768" s="97"/>
      <c r="O768" s="97"/>
      <c r="P768" s="97"/>
      <c r="Q768" s="100"/>
      <c r="R768" s="112"/>
      <c r="S768" s="106"/>
      <c r="T768" s="106"/>
      <c r="U768" s="106"/>
      <c r="V768" s="109"/>
      <c r="W768" s="103"/>
      <c r="X768" s="97"/>
      <c r="Y768" s="97"/>
      <c r="Z768" s="97"/>
      <c r="AA768" s="100"/>
      <c r="AB768" s="134"/>
    </row>
    <row r="769" spans="1:28" ht="13.5" customHeight="1" thickTop="1" thickBot="1" x14ac:dyDescent="0.3">
      <c r="A769" s="139"/>
      <c r="B769" s="138"/>
      <c r="C769" s="95"/>
      <c r="D769" s="125"/>
      <c r="E769" s="125"/>
      <c r="F769" s="125"/>
      <c r="G769" s="128"/>
      <c r="H769" s="104"/>
      <c r="I769" s="98"/>
      <c r="J769" s="98"/>
      <c r="K769" s="98"/>
      <c r="L769" s="101"/>
      <c r="M769" s="104"/>
      <c r="N769" s="98"/>
      <c r="O769" s="98"/>
      <c r="P769" s="98"/>
      <c r="Q769" s="101"/>
      <c r="R769" s="113"/>
      <c r="S769" s="107"/>
      <c r="T769" s="107"/>
      <c r="U769" s="107"/>
      <c r="V769" s="110"/>
      <c r="W769" s="104"/>
      <c r="X769" s="98"/>
      <c r="Y769" s="98"/>
      <c r="Z769" s="98"/>
      <c r="AA769" s="101"/>
      <c r="AB769" s="135"/>
    </row>
    <row r="770" spans="1:28" ht="13.5" customHeight="1" thickTop="1" x14ac:dyDescent="0.25">
      <c r="A770" s="140">
        <f>ESCUADRAS!B148</f>
        <v>142</v>
      </c>
      <c r="B770" s="136">
        <f>ESCUADRAS!C147</f>
        <v>0</v>
      </c>
      <c r="C770" s="93"/>
      <c r="D770" s="123"/>
      <c r="E770" s="123"/>
      <c r="F770" s="123"/>
      <c r="G770" s="126"/>
      <c r="H770" s="102"/>
      <c r="I770" s="96"/>
      <c r="J770" s="96"/>
      <c r="K770" s="96"/>
      <c r="L770" s="99"/>
      <c r="M770" s="111"/>
      <c r="N770" s="105"/>
      <c r="O770" s="105"/>
      <c r="P770" s="105"/>
      <c r="Q770" s="108"/>
      <c r="R770" s="102"/>
      <c r="S770" s="96"/>
      <c r="T770" s="96"/>
      <c r="U770" s="96"/>
      <c r="V770" s="99"/>
      <c r="W770" s="102"/>
      <c r="X770" s="96"/>
      <c r="Y770" s="96"/>
      <c r="Z770" s="96"/>
      <c r="AA770" s="99"/>
      <c r="AB770" s="133"/>
    </row>
    <row r="771" spans="1:28" ht="14.25" customHeight="1" x14ac:dyDescent="0.25">
      <c r="A771" s="141"/>
      <c r="B771" s="137"/>
      <c r="C771" s="94"/>
      <c r="D771" s="124"/>
      <c r="E771" s="124"/>
      <c r="F771" s="124"/>
      <c r="G771" s="127"/>
      <c r="H771" s="103"/>
      <c r="I771" s="97"/>
      <c r="J771" s="97"/>
      <c r="K771" s="97"/>
      <c r="L771" s="100"/>
      <c r="M771" s="112"/>
      <c r="N771" s="106"/>
      <c r="O771" s="106"/>
      <c r="P771" s="106"/>
      <c r="Q771" s="109"/>
      <c r="R771" s="103"/>
      <c r="S771" s="97"/>
      <c r="T771" s="97"/>
      <c r="U771" s="97"/>
      <c r="V771" s="100"/>
      <c r="W771" s="103"/>
      <c r="X771" s="97"/>
      <c r="Y771" s="97"/>
      <c r="Z771" s="97"/>
      <c r="AA771" s="100"/>
      <c r="AB771" s="134"/>
    </row>
    <row r="772" spans="1:28" ht="13.5" customHeight="1" thickBot="1" x14ac:dyDescent="0.3">
      <c r="A772" s="142"/>
      <c r="B772" s="138"/>
      <c r="C772" s="95"/>
      <c r="D772" s="125"/>
      <c r="E772" s="125"/>
      <c r="F772" s="125"/>
      <c r="G772" s="128"/>
      <c r="H772" s="104"/>
      <c r="I772" s="98"/>
      <c r="J772" s="98"/>
      <c r="K772" s="98"/>
      <c r="L772" s="101"/>
      <c r="M772" s="113"/>
      <c r="N772" s="107"/>
      <c r="O772" s="107"/>
      <c r="P772" s="107"/>
      <c r="Q772" s="110"/>
      <c r="R772" s="104"/>
      <c r="S772" s="98"/>
      <c r="T772" s="98"/>
      <c r="U772" s="98"/>
      <c r="V772" s="101"/>
      <c r="W772" s="104"/>
      <c r="X772" s="98"/>
      <c r="Y772" s="98"/>
      <c r="Z772" s="98"/>
      <c r="AA772" s="101"/>
      <c r="AB772" s="135"/>
    </row>
    <row r="773" spans="1:28" ht="14.25" customHeight="1" thickTop="1" thickBot="1" x14ac:dyDescent="0.3">
      <c r="A773" s="139">
        <f>ESCUADRAS!B149</f>
        <v>143</v>
      </c>
      <c r="B773" s="136">
        <f>ESCUADRAS!C148</f>
        <v>0</v>
      </c>
      <c r="C773" s="93"/>
      <c r="D773" s="123"/>
      <c r="E773" s="123"/>
      <c r="F773" s="123"/>
      <c r="G773" s="126"/>
      <c r="H773" s="111"/>
      <c r="I773" s="105"/>
      <c r="J773" s="105"/>
      <c r="K773" s="105"/>
      <c r="L773" s="108"/>
      <c r="M773" s="102"/>
      <c r="N773" s="96"/>
      <c r="O773" s="96"/>
      <c r="P773" s="96"/>
      <c r="Q773" s="99"/>
      <c r="R773" s="102"/>
      <c r="S773" s="96"/>
      <c r="T773" s="96"/>
      <c r="U773" s="96"/>
      <c r="V773" s="99"/>
      <c r="W773" s="102"/>
      <c r="X773" s="96"/>
      <c r="Y773" s="96"/>
      <c r="Z773" s="96"/>
      <c r="AA773" s="99"/>
      <c r="AB773" s="133"/>
    </row>
    <row r="774" spans="1:28" ht="14.25" customHeight="1" thickTop="1" thickBot="1" x14ac:dyDescent="0.3">
      <c r="A774" s="139"/>
      <c r="B774" s="137"/>
      <c r="C774" s="94"/>
      <c r="D774" s="124"/>
      <c r="E774" s="124"/>
      <c r="F774" s="124"/>
      <c r="G774" s="127"/>
      <c r="H774" s="112"/>
      <c r="I774" s="106"/>
      <c r="J774" s="106"/>
      <c r="K774" s="106"/>
      <c r="L774" s="109"/>
      <c r="M774" s="103"/>
      <c r="N774" s="97"/>
      <c r="O774" s="97"/>
      <c r="P774" s="97"/>
      <c r="Q774" s="100"/>
      <c r="R774" s="103"/>
      <c r="S774" s="97"/>
      <c r="T774" s="97"/>
      <c r="U774" s="97"/>
      <c r="V774" s="100"/>
      <c r="W774" s="103"/>
      <c r="X774" s="97"/>
      <c r="Y774" s="97"/>
      <c r="Z774" s="97"/>
      <c r="AA774" s="100"/>
      <c r="AB774" s="134"/>
    </row>
    <row r="775" spans="1:28" ht="13.5" customHeight="1" thickTop="1" thickBot="1" x14ac:dyDescent="0.3">
      <c r="A775" s="139"/>
      <c r="B775" s="138"/>
      <c r="C775" s="95"/>
      <c r="D775" s="125"/>
      <c r="E775" s="125"/>
      <c r="F775" s="125"/>
      <c r="G775" s="128"/>
      <c r="H775" s="113"/>
      <c r="I775" s="107"/>
      <c r="J775" s="107"/>
      <c r="K775" s="107"/>
      <c r="L775" s="110"/>
      <c r="M775" s="104"/>
      <c r="N775" s="98"/>
      <c r="O775" s="98"/>
      <c r="P775" s="98"/>
      <c r="Q775" s="101"/>
      <c r="R775" s="104"/>
      <c r="S775" s="98"/>
      <c r="T775" s="98"/>
      <c r="U775" s="98"/>
      <c r="V775" s="101"/>
      <c r="W775" s="104"/>
      <c r="X775" s="98"/>
      <c r="Y775" s="98"/>
      <c r="Z775" s="98"/>
      <c r="AA775" s="101"/>
      <c r="AB775" s="135"/>
    </row>
    <row r="776" spans="1:28" ht="13.5" customHeight="1" thickTop="1" x14ac:dyDescent="0.25">
      <c r="A776" s="140">
        <f>ESCUADRAS!B150</f>
        <v>144</v>
      </c>
      <c r="B776" s="136">
        <f>ESCUADRAS!C149</f>
        <v>0</v>
      </c>
      <c r="C776" s="111"/>
      <c r="D776" s="105"/>
      <c r="E776" s="105"/>
      <c r="F776" s="105"/>
      <c r="G776" s="108"/>
      <c r="H776" s="122"/>
      <c r="I776" s="120"/>
      <c r="J776" s="120"/>
      <c r="K776" s="120"/>
      <c r="L776" s="121"/>
      <c r="M776" s="122"/>
      <c r="N776" s="120"/>
      <c r="O776" s="120"/>
      <c r="P776" s="120"/>
      <c r="Q776" s="121"/>
      <c r="R776" s="122"/>
      <c r="S776" s="120"/>
      <c r="T776" s="120"/>
      <c r="U776" s="120"/>
      <c r="V776" s="121"/>
      <c r="W776" s="122"/>
      <c r="X776" s="120"/>
      <c r="Y776" s="120"/>
      <c r="Z776" s="120"/>
      <c r="AA776" s="121"/>
      <c r="AB776" s="133"/>
    </row>
    <row r="777" spans="1:28" ht="14.25" customHeight="1" x14ac:dyDescent="0.25">
      <c r="A777" s="141"/>
      <c r="B777" s="137"/>
      <c r="C777" s="112"/>
      <c r="D777" s="106"/>
      <c r="E777" s="106"/>
      <c r="F777" s="106"/>
      <c r="G777" s="109"/>
      <c r="H777" s="103"/>
      <c r="I777" s="97"/>
      <c r="J777" s="97"/>
      <c r="K777" s="97"/>
      <c r="L777" s="100"/>
      <c r="M777" s="103"/>
      <c r="N777" s="97"/>
      <c r="O777" s="97"/>
      <c r="P777" s="97"/>
      <c r="Q777" s="100"/>
      <c r="R777" s="103"/>
      <c r="S777" s="97"/>
      <c r="T777" s="97"/>
      <c r="U777" s="97"/>
      <c r="V777" s="100"/>
      <c r="W777" s="103"/>
      <c r="X777" s="97"/>
      <c r="Y777" s="97"/>
      <c r="Z777" s="97"/>
      <c r="AA777" s="100"/>
      <c r="AB777" s="134"/>
    </row>
    <row r="778" spans="1:28" ht="13.5" customHeight="1" thickBot="1" x14ac:dyDescent="0.3">
      <c r="A778" s="142"/>
      <c r="B778" s="138"/>
      <c r="C778" s="113"/>
      <c r="D778" s="107"/>
      <c r="E778" s="107"/>
      <c r="F778" s="107"/>
      <c r="G778" s="110"/>
      <c r="H778" s="104"/>
      <c r="I778" s="98"/>
      <c r="J778" s="98"/>
      <c r="K778" s="98"/>
      <c r="L778" s="101"/>
      <c r="M778" s="104"/>
      <c r="N778" s="98"/>
      <c r="O778" s="98"/>
      <c r="P778" s="98"/>
      <c r="Q778" s="101"/>
      <c r="R778" s="104"/>
      <c r="S778" s="98"/>
      <c r="T778" s="98"/>
      <c r="U778" s="98"/>
      <c r="V778" s="101"/>
      <c r="W778" s="104"/>
      <c r="X778" s="98"/>
      <c r="Y778" s="98"/>
      <c r="Z778" s="98"/>
      <c r="AA778" s="101"/>
      <c r="AB778" s="135"/>
    </row>
    <row r="780" spans="1:28" ht="15" x14ac:dyDescent="0.25">
      <c r="A780" s="28"/>
      <c r="B780" s="26" t="s">
        <v>35</v>
      </c>
      <c r="E780" s="21" t="s">
        <v>41</v>
      </c>
      <c r="I780" s="21" t="s">
        <v>42</v>
      </c>
      <c r="M780" s="21" t="s">
        <v>43</v>
      </c>
      <c r="Q780" s="21" t="s">
        <v>44</v>
      </c>
      <c r="U780" s="21" t="s">
        <v>45</v>
      </c>
      <c r="Y780" s="21" t="s">
        <v>46</v>
      </c>
    </row>
    <row r="787" spans="1:32" ht="24.6" x14ac:dyDescent="0.25">
      <c r="A787" s="144" t="str">
        <f>'INSCRIPCION '!A$1</f>
        <v>TIRADA</v>
      </c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</row>
    <row r="788" spans="1:32" ht="24.6" x14ac:dyDescent="0.4">
      <c r="A788" s="23"/>
      <c r="B788" s="23"/>
    </row>
    <row r="789" spans="1:32" ht="22.8" x14ac:dyDescent="0.25">
      <c r="A789" s="132" t="str">
        <f>'INSCRIPCION '!A$2</f>
        <v>CAMPO DE TIRO LA ISLA</v>
      </c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</row>
    <row r="790" spans="1:32" ht="20.399999999999999" x14ac:dyDescent="0.25">
      <c r="A790" s="143" t="str">
        <f>'INSCRIPCION '!A$3</f>
        <v>XXX PLATOS</v>
      </c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</row>
    <row r="791" spans="1:32" ht="22.8" x14ac:dyDescent="0.4">
      <c r="A791" s="24"/>
      <c r="B791" s="24"/>
    </row>
    <row r="792" spans="1:32" ht="17.399999999999999" x14ac:dyDescent="0.3">
      <c r="A792" s="25" t="s">
        <v>34</v>
      </c>
      <c r="B792" s="25"/>
      <c r="J792" s="9" t="s">
        <v>6</v>
      </c>
      <c r="K792" s="9"/>
      <c r="L792" s="9"/>
      <c r="M792" s="9"/>
      <c r="N792" s="9"/>
      <c r="O792" s="22">
        <v>2</v>
      </c>
      <c r="P792" s="22"/>
      <c r="Q792" s="8"/>
      <c r="R792" s="8"/>
      <c r="S792" s="7"/>
      <c r="T792" s="8"/>
      <c r="U792" s="8"/>
      <c r="V792" s="9" t="s">
        <v>7</v>
      </c>
      <c r="W792" s="9"/>
      <c r="X792" s="9"/>
      <c r="Y792" s="9"/>
      <c r="Z792" s="22">
        <v>2</v>
      </c>
      <c r="AA792" s="22"/>
    </row>
    <row r="793" spans="1:32" ht="13.8" thickBot="1" x14ac:dyDescent="0.3"/>
    <row r="794" spans="1:32" ht="15.6" thickBot="1" x14ac:dyDescent="0.3">
      <c r="A794" s="27" t="s">
        <v>0</v>
      </c>
      <c r="B794" s="27" t="s">
        <v>8</v>
      </c>
      <c r="C794" s="47">
        <v>1</v>
      </c>
      <c r="D794" s="48">
        <v>2</v>
      </c>
      <c r="E794" s="48">
        <v>3</v>
      </c>
      <c r="F794" s="48">
        <v>4</v>
      </c>
      <c r="G794" s="49">
        <v>5</v>
      </c>
      <c r="H794" s="47">
        <v>6</v>
      </c>
      <c r="I794" s="48">
        <v>7</v>
      </c>
      <c r="J794" s="48">
        <v>8</v>
      </c>
      <c r="K794" s="48">
        <v>9</v>
      </c>
      <c r="L794" s="49">
        <v>10</v>
      </c>
      <c r="M794" s="47">
        <v>11</v>
      </c>
      <c r="N794" s="48">
        <v>12</v>
      </c>
      <c r="O794" s="48">
        <v>13</v>
      </c>
      <c r="P794" s="48">
        <v>14</v>
      </c>
      <c r="Q794" s="49">
        <v>15</v>
      </c>
      <c r="R794" s="47">
        <v>16</v>
      </c>
      <c r="S794" s="48">
        <v>17</v>
      </c>
      <c r="T794" s="48">
        <v>18</v>
      </c>
      <c r="U794" s="48">
        <v>19</v>
      </c>
      <c r="V794" s="49">
        <v>20</v>
      </c>
      <c r="W794" s="47">
        <v>21</v>
      </c>
      <c r="X794" s="48">
        <v>22</v>
      </c>
      <c r="Y794" s="48">
        <v>23</v>
      </c>
      <c r="Z794" s="48">
        <v>24</v>
      </c>
      <c r="AA794" s="49">
        <v>25</v>
      </c>
      <c r="AB794" s="30" t="s">
        <v>1</v>
      </c>
    </row>
    <row r="795" spans="1:32" ht="14.25" customHeight="1" thickTop="1" thickBot="1" x14ac:dyDescent="0.3">
      <c r="A795" s="139">
        <f>ESCUADRAS!B151</f>
        <v>145</v>
      </c>
      <c r="B795" s="136">
        <f>ESCUADRAS!C156</f>
        <v>0</v>
      </c>
      <c r="C795" s="129"/>
      <c r="D795" s="114"/>
      <c r="E795" s="114"/>
      <c r="F795" s="114"/>
      <c r="G795" s="117"/>
      <c r="H795" s="111"/>
      <c r="I795" s="105"/>
      <c r="J795" s="105"/>
      <c r="K795" s="105"/>
      <c r="L795" s="108"/>
      <c r="M795" s="111"/>
      <c r="N795" s="105"/>
      <c r="O795" s="105"/>
      <c r="P795" s="105"/>
      <c r="Q795" s="108"/>
      <c r="R795" s="111"/>
      <c r="S795" s="105"/>
      <c r="T795" s="105"/>
      <c r="U795" s="105"/>
      <c r="V795" s="108"/>
      <c r="W795" s="111"/>
      <c r="X795" s="105"/>
      <c r="Y795" s="105"/>
      <c r="Z795" s="105"/>
      <c r="AA795" s="108"/>
      <c r="AB795" s="133"/>
    </row>
    <row r="796" spans="1:32" ht="14.25" customHeight="1" thickTop="1" thickBot="1" x14ac:dyDescent="0.3">
      <c r="A796" s="139"/>
      <c r="B796" s="137"/>
      <c r="C796" s="130"/>
      <c r="D796" s="115"/>
      <c r="E796" s="115"/>
      <c r="F796" s="115"/>
      <c r="G796" s="118"/>
      <c r="H796" s="112"/>
      <c r="I796" s="106"/>
      <c r="J796" s="106"/>
      <c r="K796" s="106"/>
      <c r="L796" s="109"/>
      <c r="M796" s="112"/>
      <c r="N796" s="106"/>
      <c r="O796" s="106"/>
      <c r="P796" s="106"/>
      <c r="Q796" s="109"/>
      <c r="R796" s="112"/>
      <c r="S796" s="106"/>
      <c r="T796" s="106"/>
      <c r="U796" s="106"/>
      <c r="V796" s="109"/>
      <c r="W796" s="112"/>
      <c r="X796" s="106"/>
      <c r="Y796" s="106"/>
      <c r="Z796" s="106"/>
      <c r="AA796" s="109"/>
      <c r="AB796" s="134"/>
    </row>
    <row r="797" spans="1:32" ht="13.5" customHeight="1" thickTop="1" thickBot="1" x14ac:dyDescent="0.3">
      <c r="A797" s="139"/>
      <c r="B797" s="138"/>
      <c r="C797" s="131"/>
      <c r="D797" s="116"/>
      <c r="E797" s="116"/>
      <c r="F797" s="116"/>
      <c r="G797" s="119"/>
      <c r="H797" s="113"/>
      <c r="I797" s="107"/>
      <c r="J797" s="107"/>
      <c r="K797" s="107"/>
      <c r="L797" s="110"/>
      <c r="M797" s="113"/>
      <c r="N797" s="107"/>
      <c r="O797" s="107"/>
      <c r="P797" s="107"/>
      <c r="Q797" s="110"/>
      <c r="R797" s="113"/>
      <c r="S797" s="107"/>
      <c r="T797" s="107"/>
      <c r="U797" s="107"/>
      <c r="V797" s="110"/>
      <c r="W797" s="113"/>
      <c r="X797" s="107"/>
      <c r="Y797" s="107"/>
      <c r="Z797" s="107"/>
      <c r="AA797" s="110"/>
      <c r="AB797" s="135"/>
    </row>
    <row r="798" spans="1:32" ht="14.25" customHeight="1" thickTop="1" x14ac:dyDescent="0.25">
      <c r="A798" s="140">
        <f>ESCUADRAS!B152</f>
        <v>146</v>
      </c>
      <c r="B798" s="136">
        <f>ESCUADRAS!C151</f>
        <v>0</v>
      </c>
      <c r="C798" s="93"/>
      <c r="D798" s="123"/>
      <c r="E798" s="123"/>
      <c r="F798" s="123"/>
      <c r="G798" s="126"/>
      <c r="H798" s="102"/>
      <c r="I798" s="96"/>
      <c r="J798" s="96"/>
      <c r="K798" s="96"/>
      <c r="L798" s="99"/>
      <c r="M798" s="102"/>
      <c r="N798" s="96"/>
      <c r="O798" s="96"/>
      <c r="P798" s="96"/>
      <c r="Q798" s="99"/>
      <c r="R798" s="102"/>
      <c r="S798" s="96"/>
      <c r="T798" s="96"/>
      <c r="U798" s="96"/>
      <c r="V798" s="99"/>
      <c r="W798" s="111"/>
      <c r="X798" s="105"/>
      <c r="Y798" s="105"/>
      <c r="Z798" s="105"/>
      <c r="AA798" s="108"/>
      <c r="AB798" s="133"/>
    </row>
    <row r="799" spans="1:32" ht="14.25" customHeight="1" x14ac:dyDescent="0.25">
      <c r="A799" s="141"/>
      <c r="B799" s="137"/>
      <c r="C799" s="94"/>
      <c r="D799" s="124"/>
      <c r="E799" s="124"/>
      <c r="F799" s="124"/>
      <c r="G799" s="127"/>
      <c r="H799" s="103"/>
      <c r="I799" s="97"/>
      <c r="J799" s="97"/>
      <c r="K799" s="97"/>
      <c r="L799" s="100"/>
      <c r="M799" s="103"/>
      <c r="N799" s="97"/>
      <c r="O799" s="97"/>
      <c r="P799" s="97"/>
      <c r="Q799" s="100"/>
      <c r="R799" s="103"/>
      <c r="S799" s="97"/>
      <c r="T799" s="97"/>
      <c r="U799" s="97"/>
      <c r="V799" s="100"/>
      <c r="W799" s="112"/>
      <c r="X799" s="106"/>
      <c r="Y799" s="106"/>
      <c r="Z799" s="106"/>
      <c r="AA799" s="109"/>
      <c r="AB799" s="134"/>
    </row>
    <row r="800" spans="1:32" ht="13.5" customHeight="1" thickBot="1" x14ac:dyDescent="0.3">
      <c r="A800" s="142"/>
      <c r="B800" s="138"/>
      <c r="C800" s="95"/>
      <c r="D800" s="125"/>
      <c r="E800" s="125"/>
      <c r="F800" s="125"/>
      <c r="G800" s="128"/>
      <c r="H800" s="104"/>
      <c r="I800" s="98"/>
      <c r="J800" s="98"/>
      <c r="K800" s="98"/>
      <c r="L800" s="101"/>
      <c r="M800" s="104"/>
      <c r="N800" s="98"/>
      <c r="O800" s="98"/>
      <c r="P800" s="98"/>
      <c r="Q800" s="101"/>
      <c r="R800" s="104"/>
      <c r="S800" s="98"/>
      <c r="T800" s="98"/>
      <c r="U800" s="98"/>
      <c r="V800" s="101"/>
      <c r="W800" s="113"/>
      <c r="X800" s="107"/>
      <c r="Y800" s="107"/>
      <c r="Z800" s="107"/>
      <c r="AA800" s="110"/>
      <c r="AB800" s="135"/>
    </row>
    <row r="801" spans="1:28" ht="14.25" customHeight="1" thickTop="1" thickBot="1" x14ac:dyDescent="0.3">
      <c r="A801" s="139">
        <f>ESCUADRAS!B153</f>
        <v>147</v>
      </c>
      <c r="B801" s="136">
        <f>ESCUADRAS!C152</f>
        <v>0</v>
      </c>
      <c r="C801" s="93"/>
      <c r="D801" s="123"/>
      <c r="E801" s="123"/>
      <c r="F801" s="123"/>
      <c r="G801" s="126"/>
      <c r="H801" s="102"/>
      <c r="I801" s="96"/>
      <c r="J801" s="96"/>
      <c r="K801" s="96"/>
      <c r="L801" s="99"/>
      <c r="M801" s="102"/>
      <c r="N801" s="96"/>
      <c r="O801" s="96"/>
      <c r="P801" s="96"/>
      <c r="Q801" s="99"/>
      <c r="R801" s="111"/>
      <c r="S801" s="105"/>
      <c r="T801" s="105"/>
      <c r="U801" s="105"/>
      <c r="V801" s="108"/>
      <c r="W801" s="102"/>
      <c r="X801" s="96"/>
      <c r="Y801" s="96"/>
      <c r="Z801" s="96"/>
      <c r="AA801" s="99"/>
      <c r="AB801" s="133"/>
    </row>
    <row r="802" spans="1:28" ht="14.25" customHeight="1" thickTop="1" thickBot="1" x14ac:dyDescent="0.3">
      <c r="A802" s="139"/>
      <c r="B802" s="137"/>
      <c r="C802" s="94"/>
      <c r="D802" s="124"/>
      <c r="E802" s="124"/>
      <c r="F802" s="124"/>
      <c r="G802" s="127"/>
      <c r="H802" s="103"/>
      <c r="I802" s="97"/>
      <c r="J802" s="97"/>
      <c r="K802" s="97"/>
      <c r="L802" s="100"/>
      <c r="M802" s="103"/>
      <c r="N802" s="97"/>
      <c r="O802" s="97"/>
      <c r="P802" s="97"/>
      <c r="Q802" s="100"/>
      <c r="R802" s="112"/>
      <c r="S802" s="106"/>
      <c r="T802" s="106"/>
      <c r="U802" s="106"/>
      <c r="V802" s="109"/>
      <c r="W802" s="103"/>
      <c r="X802" s="97"/>
      <c r="Y802" s="97"/>
      <c r="Z802" s="97"/>
      <c r="AA802" s="100"/>
      <c r="AB802" s="134"/>
    </row>
    <row r="803" spans="1:28" ht="13.5" customHeight="1" thickTop="1" thickBot="1" x14ac:dyDescent="0.3">
      <c r="A803" s="139"/>
      <c r="B803" s="138"/>
      <c r="C803" s="95"/>
      <c r="D803" s="125"/>
      <c r="E803" s="125"/>
      <c r="F803" s="125"/>
      <c r="G803" s="128"/>
      <c r="H803" s="104"/>
      <c r="I803" s="98"/>
      <c r="J803" s="98"/>
      <c r="K803" s="98"/>
      <c r="L803" s="101"/>
      <c r="M803" s="104"/>
      <c r="N803" s="98"/>
      <c r="O803" s="98"/>
      <c r="P803" s="98"/>
      <c r="Q803" s="101"/>
      <c r="R803" s="113"/>
      <c r="S803" s="107"/>
      <c r="T803" s="107"/>
      <c r="U803" s="107"/>
      <c r="V803" s="110"/>
      <c r="W803" s="104"/>
      <c r="X803" s="98"/>
      <c r="Y803" s="98"/>
      <c r="Z803" s="98"/>
      <c r="AA803" s="101"/>
      <c r="AB803" s="135"/>
    </row>
    <row r="804" spans="1:28" ht="13.5" customHeight="1" thickTop="1" x14ac:dyDescent="0.25">
      <c r="A804" s="140">
        <f>ESCUADRAS!B154</f>
        <v>148</v>
      </c>
      <c r="B804" s="136">
        <f>ESCUADRAS!C153</f>
        <v>0</v>
      </c>
      <c r="C804" s="93"/>
      <c r="D804" s="123"/>
      <c r="E804" s="123"/>
      <c r="F804" s="123"/>
      <c r="G804" s="126"/>
      <c r="H804" s="102"/>
      <c r="I804" s="96"/>
      <c r="J804" s="96"/>
      <c r="K804" s="96"/>
      <c r="L804" s="99"/>
      <c r="M804" s="111"/>
      <c r="N804" s="105"/>
      <c r="O804" s="105"/>
      <c r="P804" s="105"/>
      <c r="Q804" s="108"/>
      <c r="R804" s="102"/>
      <c r="S804" s="96"/>
      <c r="T804" s="96"/>
      <c r="U804" s="96"/>
      <c r="V804" s="99"/>
      <c r="W804" s="102"/>
      <c r="X804" s="96"/>
      <c r="Y804" s="96"/>
      <c r="Z804" s="96"/>
      <c r="AA804" s="99"/>
      <c r="AB804" s="133"/>
    </row>
    <row r="805" spans="1:28" ht="14.25" customHeight="1" x14ac:dyDescent="0.25">
      <c r="A805" s="141"/>
      <c r="B805" s="137"/>
      <c r="C805" s="94"/>
      <c r="D805" s="124"/>
      <c r="E805" s="124"/>
      <c r="F805" s="124"/>
      <c r="G805" s="127"/>
      <c r="H805" s="103"/>
      <c r="I805" s="97"/>
      <c r="J805" s="97"/>
      <c r="K805" s="97"/>
      <c r="L805" s="100"/>
      <c r="M805" s="112"/>
      <c r="N805" s="106"/>
      <c r="O805" s="106"/>
      <c r="P805" s="106"/>
      <c r="Q805" s="109"/>
      <c r="R805" s="103"/>
      <c r="S805" s="97"/>
      <c r="T805" s="97"/>
      <c r="U805" s="97"/>
      <c r="V805" s="100"/>
      <c r="W805" s="103"/>
      <c r="X805" s="97"/>
      <c r="Y805" s="97"/>
      <c r="Z805" s="97"/>
      <c r="AA805" s="100"/>
      <c r="AB805" s="134"/>
    </row>
    <row r="806" spans="1:28" ht="13.5" customHeight="1" thickBot="1" x14ac:dyDescent="0.3">
      <c r="A806" s="142"/>
      <c r="B806" s="138"/>
      <c r="C806" s="95"/>
      <c r="D806" s="125"/>
      <c r="E806" s="125"/>
      <c r="F806" s="125"/>
      <c r="G806" s="128"/>
      <c r="H806" s="104"/>
      <c r="I806" s="98"/>
      <c r="J806" s="98"/>
      <c r="K806" s="98"/>
      <c r="L806" s="101"/>
      <c r="M806" s="113"/>
      <c r="N806" s="107"/>
      <c r="O806" s="107"/>
      <c r="P806" s="107"/>
      <c r="Q806" s="110"/>
      <c r="R806" s="104"/>
      <c r="S806" s="98"/>
      <c r="T806" s="98"/>
      <c r="U806" s="98"/>
      <c r="V806" s="101"/>
      <c r="W806" s="104"/>
      <c r="X806" s="98"/>
      <c r="Y806" s="98"/>
      <c r="Z806" s="98"/>
      <c r="AA806" s="101"/>
      <c r="AB806" s="135"/>
    </row>
    <row r="807" spans="1:28" ht="14.25" customHeight="1" thickTop="1" thickBot="1" x14ac:dyDescent="0.3">
      <c r="A807" s="139">
        <f>ESCUADRAS!B155</f>
        <v>149</v>
      </c>
      <c r="B807" s="136">
        <f>ESCUADRAS!C154</f>
        <v>0</v>
      </c>
      <c r="C807" s="93"/>
      <c r="D807" s="123"/>
      <c r="E807" s="123"/>
      <c r="F807" s="123"/>
      <c r="G807" s="126"/>
      <c r="H807" s="111"/>
      <c r="I807" s="105"/>
      <c r="J807" s="105"/>
      <c r="K807" s="105"/>
      <c r="L807" s="108"/>
      <c r="M807" s="102"/>
      <c r="N807" s="96"/>
      <c r="O807" s="96"/>
      <c r="P807" s="96"/>
      <c r="Q807" s="99"/>
      <c r="R807" s="102"/>
      <c r="S807" s="96"/>
      <c r="T807" s="96"/>
      <c r="U807" s="96"/>
      <c r="V807" s="99"/>
      <c r="W807" s="102"/>
      <c r="X807" s="96"/>
      <c r="Y807" s="96"/>
      <c r="Z807" s="96"/>
      <c r="AA807" s="99"/>
      <c r="AB807" s="133"/>
    </row>
    <row r="808" spans="1:28" ht="14.25" customHeight="1" thickTop="1" thickBot="1" x14ac:dyDescent="0.3">
      <c r="A808" s="139"/>
      <c r="B808" s="137"/>
      <c r="C808" s="94"/>
      <c r="D808" s="124"/>
      <c r="E808" s="124"/>
      <c r="F808" s="124"/>
      <c r="G808" s="127"/>
      <c r="H808" s="112"/>
      <c r="I808" s="106"/>
      <c r="J808" s="106"/>
      <c r="K808" s="106"/>
      <c r="L808" s="109"/>
      <c r="M808" s="103"/>
      <c r="N808" s="97"/>
      <c r="O808" s="97"/>
      <c r="P808" s="97"/>
      <c r="Q808" s="100"/>
      <c r="R808" s="103"/>
      <c r="S808" s="97"/>
      <c r="T808" s="97"/>
      <c r="U808" s="97"/>
      <c r="V808" s="100"/>
      <c r="W808" s="103"/>
      <c r="X808" s="97"/>
      <c r="Y808" s="97"/>
      <c r="Z808" s="97"/>
      <c r="AA808" s="100"/>
      <c r="AB808" s="134"/>
    </row>
    <row r="809" spans="1:28" ht="13.5" customHeight="1" thickTop="1" thickBot="1" x14ac:dyDescent="0.3">
      <c r="A809" s="139"/>
      <c r="B809" s="138"/>
      <c r="C809" s="95"/>
      <c r="D809" s="125"/>
      <c r="E809" s="125"/>
      <c r="F809" s="125"/>
      <c r="G809" s="128"/>
      <c r="H809" s="113"/>
      <c r="I809" s="107"/>
      <c r="J809" s="107"/>
      <c r="K809" s="107"/>
      <c r="L809" s="110"/>
      <c r="M809" s="104"/>
      <c r="N809" s="98"/>
      <c r="O809" s="98"/>
      <c r="P809" s="98"/>
      <c r="Q809" s="101"/>
      <c r="R809" s="104"/>
      <c r="S809" s="98"/>
      <c r="T809" s="98"/>
      <c r="U809" s="98"/>
      <c r="V809" s="101"/>
      <c r="W809" s="104"/>
      <c r="X809" s="98"/>
      <c r="Y809" s="98"/>
      <c r="Z809" s="98"/>
      <c r="AA809" s="101"/>
      <c r="AB809" s="135"/>
    </row>
    <row r="810" spans="1:28" ht="13.5" customHeight="1" thickTop="1" x14ac:dyDescent="0.25">
      <c r="A810" s="140">
        <f>ESCUADRAS!B156</f>
        <v>150</v>
      </c>
      <c r="B810" s="136">
        <f>ESCUADRAS!C155</f>
        <v>0</v>
      </c>
      <c r="C810" s="111"/>
      <c r="D810" s="105"/>
      <c r="E810" s="105"/>
      <c r="F810" s="105"/>
      <c r="G810" s="108"/>
      <c r="H810" s="122"/>
      <c r="I810" s="120"/>
      <c r="J810" s="120"/>
      <c r="K810" s="120"/>
      <c r="L810" s="121"/>
      <c r="M810" s="122"/>
      <c r="N810" s="120"/>
      <c r="O810" s="120"/>
      <c r="P810" s="120"/>
      <c r="Q810" s="121"/>
      <c r="R810" s="122"/>
      <c r="S810" s="120"/>
      <c r="T810" s="120"/>
      <c r="U810" s="120"/>
      <c r="V810" s="121"/>
      <c r="W810" s="122"/>
      <c r="X810" s="120"/>
      <c r="Y810" s="120"/>
      <c r="Z810" s="120"/>
      <c r="AA810" s="121"/>
      <c r="AB810" s="133"/>
    </row>
    <row r="811" spans="1:28" ht="14.25" customHeight="1" x14ac:dyDescent="0.25">
      <c r="A811" s="141"/>
      <c r="B811" s="137"/>
      <c r="C811" s="112"/>
      <c r="D811" s="106"/>
      <c r="E811" s="106"/>
      <c r="F811" s="106"/>
      <c r="G811" s="109"/>
      <c r="H811" s="103"/>
      <c r="I811" s="97"/>
      <c r="J811" s="97"/>
      <c r="K811" s="97"/>
      <c r="L811" s="100"/>
      <c r="M811" s="103"/>
      <c r="N811" s="97"/>
      <c r="O811" s="97"/>
      <c r="P811" s="97"/>
      <c r="Q811" s="100"/>
      <c r="R811" s="103"/>
      <c r="S811" s="97"/>
      <c r="T811" s="97"/>
      <c r="U811" s="97"/>
      <c r="V811" s="100"/>
      <c r="W811" s="103"/>
      <c r="X811" s="97"/>
      <c r="Y811" s="97"/>
      <c r="Z811" s="97"/>
      <c r="AA811" s="100"/>
      <c r="AB811" s="134"/>
    </row>
    <row r="812" spans="1:28" ht="13.5" customHeight="1" thickBot="1" x14ac:dyDescent="0.3">
      <c r="A812" s="142"/>
      <c r="B812" s="138"/>
      <c r="C812" s="113"/>
      <c r="D812" s="107"/>
      <c r="E812" s="107"/>
      <c r="F812" s="107"/>
      <c r="G812" s="110"/>
      <c r="H812" s="104"/>
      <c r="I812" s="98"/>
      <c r="J812" s="98"/>
      <c r="K812" s="98"/>
      <c r="L812" s="101"/>
      <c r="M812" s="104"/>
      <c r="N812" s="98"/>
      <c r="O812" s="98"/>
      <c r="P812" s="98"/>
      <c r="Q812" s="101"/>
      <c r="R812" s="104"/>
      <c r="S812" s="98"/>
      <c r="T812" s="98"/>
      <c r="U812" s="98"/>
      <c r="V812" s="101"/>
      <c r="W812" s="104"/>
      <c r="X812" s="98"/>
      <c r="Y812" s="98"/>
      <c r="Z812" s="98"/>
      <c r="AA812" s="101"/>
      <c r="AB812" s="135"/>
    </row>
    <row r="814" spans="1:28" ht="15" x14ac:dyDescent="0.25">
      <c r="A814" s="28"/>
      <c r="B814" s="26" t="s">
        <v>35</v>
      </c>
      <c r="E814" s="21" t="s">
        <v>41</v>
      </c>
      <c r="I814" s="21" t="s">
        <v>42</v>
      </c>
      <c r="M814" s="21" t="s">
        <v>43</v>
      </c>
      <c r="Q814" s="21" t="s">
        <v>44</v>
      </c>
      <c r="U814" s="21" t="s">
        <v>45</v>
      </c>
      <c r="Y814" s="21" t="s">
        <v>46</v>
      </c>
    </row>
    <row r="821" spans="1:32" ht="24.6" x14ac:dyDescent="0.25">
      <c r="A821" s="144" t="str">
        <f>'INSCRIPCION '!A$1</f>
        <v>TIRADA</v>
      </c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</row>
    <row r="822" spans="1:32" ht="24.6" x14ac:dyDescent="0.4">
      <c r="A822" s="23"/>
      <c r="B822" s="23"/>
    </row>
    <row r="823" spans="1:32" ht="22.8" x14ac:dyDescent="0.25">
      <c r="A823" s="132" t="str">
        <f>'INSCRIPCION '!A$2</f>
        <v>CAMPO DE TIRO LA ISLA</v>
      </c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</row>
    <row r="824" spans="1:32" ht="20.399999999999999" x14ac:dyDescent="0.25">
      <c r="A824" s="143" t="str">
        <f>'INSCRIPCION '!A$3</f>
        <v>XXX PLATOS</v>
      </c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</row>
    <row r="825" spans="1:32" ht="22.8" x14ac:dyDescent="0.4">
      <c r="A825" s="24"/>
      <c r="B825" s="24"/>
    </row>
    <row r="826" spans="1:32" ht="17.399999999999999" x14ac:dyDescent="0.3">
      <c r="A826" s="25" t="s">
        <v>36</v>
      </c>
      <c r="B826" s="25"/>
      <c r="J826" s="9" t="s">
        <v>6</v>
      </c>
      <c r="K826" s="9"/>
      <c r="L826" s="9"/>
      <c r="M826" s="9"/>
      <c r="N826" s="9"/>
      <c r="O826" s="22">
        <v>3</v>
      </c>
      <c r="P826" s="22"/>
      <c r="Q826" s="8"/>
      <c r="R826" s="8"/>
      <c r="S826" s="7"/>
      <c r="T826" s="8"/>
      <c r="U826" s="8"/>
      <c r="V826" s="9" t="s">
        <v>7</v>
      </c>
      <c r="W826" s="9"/>
      <c r="X826" s="9"/>
      <c r="Y826" s="9"/>
      <c r="Z826" s="22">
        <v>2</v>
      </c>
      <c r="AA826" s="22"/>
    </row>
    <row r="827" spans="1:32" ht="13.8" thickBot="1" x14ac:dyDescent="0.3"/>
    <row r="828" spans="1:32" ht="15.6" thickBot="1" x14ac:dyDescent="0.3">
      <c r="A828" s="27" t="s">
        <v>0</v>
      </c>
      <c r="B828" s="27" t="s">
        <v>8</v>
      </c>
      <c r="C828" s="47">
        <v>1</v>
      </c>
      <c r="D828" s="48">
        <v>2</v>
      </c>
      <c r="E828" s="48">
        <v>3</v>
      </c>
      <c r="F828" s="48">
        <v>4</v>
      </c>
      <c r="G828" s="49">
        <v>5</v>
      </c>
      <c r="H828" s="47">
        <v>6</v>
      </c>
      <c r="I828" s="48">
        <v>7</v>
      </c>
      <c r="J828" s="48">
        <v>8</v>
      </c>
      <c r="K828" s="48">
        <v>9</v>
      </c>
      <c r="L828" s="49">
        <v>10</v>
      </c>
      <c r="M828" s="47">
        <v>11</v>
      </c>
      <c r="N828" s="48">
        <v>12</v>
      </c>
      <c r="O828" s="48">
        <v>13</v>
      </c>
      <c r="P828" s="48">
        <v>14</v>
      </c>
      <c r="Q828" s="49">
        <v>15</v>
      </c>
      <c r="R828" s="47">
        <v>16</v>
      </c>
      <c r="S828" s="48">
        <v>17</v>
      </c>
      <c r="T828" s="48">
        <v>18</v>
      </c>
      <c r="U828" s="48">
        <v>19</v>
      </c>
      <c r="V828" s="49">
        <v>20</v>
      </c>
      <c r="W828" s="47">
        <v>21</v>
      </c>
      <c r="X828" s="48">
        <v>22</v>
      </c>
      <c r="Y828" s="48">
        <v>23</v>
      </c>
      <c r="Z828" s="48">
        <v>24</v>
      </c>
      <c r="AA828" s="49">
        <v>25</v>
      </c>
      <c r="AB828" s="30" t="s">
        <v>1</v>
      </c>
    </row>
    <row r="829" spans="1:32" ht="14.25" customHeight="1" thickTop="1" thickBot="1" x14ac:dyDescent="0.3">
      <c r="A829" s="139">
        <f>ESCUADRAS!B157</f>
        <v>151</v>
      </c>
      <c r="B829" s="136">
        <f>ESCUADRAS!C162</f>
        <v>0</v>
      </c>
      <c r="C829" s="129"/>
      <c r="D829" s="114"/>
      <c r="E829" s="114"/>
      <c r="F829" s="114"/>
      <c r="G829" s="117"/>
      <c r="H829" s="111"/>
      <c r="I829" s="105"/>
      <c r="J829" s="105"/>
      <c r="K829" s="105"/>
      <c r="L829" s="108"/>
      <c r="M829" s="111"/>
      <c r="N829" s="105"/>
      <c r="O829" s="105"/>
      <c r="P829" s="105"/>
      <c r="Q829" s="108"/>
      <c r="R829" s="111"/>
      <c r="S829" s="105"/>
      <c r="T829" s="105"/>
      <c r="U829" s="105"/>
      <c r="V829" s="108"/>
      <c r="W829" s="111"/>
      <c r="X829" s="105"/>
      <c r="Y829" s="105"/>
      <c r="Z829" s="105"/>
      <c r="AA829" s="108"/>
      <c r="AB829" s="133"/>
    </row>
    <row r="830" spans="1:32" ht="13.95" customHeight="1" thickTop="1" thickBot="1" x14ac:dyDescent="0.3">
      <c r="A830" s="139"/>
      <c r="B830" s="137"/>
      <c r="C830" s="130"/>
      <c r="D830" s="115"/>
      <c r="E830" s="115"/>
      <c r="F830" s="115"/>
      <c r="G830" s="118"/>
      <c r="H830" s="112"/>
      <c r="I830" s="106"/>
      <c r="J830" s="106"/>
      <c r="K830" s="106"/>
      <c r="L830" s="109"/>
      <c r="M830" s="112"/>
      <c r="N830" s="106"/>
      <c r="O830" s="106"/>
      <c r="P830" s="106"/>
      <c r="Q830" s="109"/>
      <c r="R830" s="112"/>
      <c r="S830" s="106"/>
      <c r="T830" s="106"/>
      <c r="U830" s="106"/>
      <c r="V830" s="109"/>
      <c r="W830" s="112"/>
      <c r="X830" s="106"/>
      <c r="Y830" s="106"/>
      <c r="Z830" s="106"/>
      <c r="AA830" s="109"/>
      <c r="AB830" s="134"/>
    </row>
    <row r="831" spans="1:32" ht="13.95" customHeight="1" thickTop="1" thickBot="1" x14ac:dyDescent="0.3">
      <c r="A831" s="139"/>
      <c r="B831" s="138"/>
      <c r="C831" s="131"/>
      <c r="D831" s="116"/>
      <c r="E831" s="116"/>
      <c r="F831" s="116"/>
      <c r="G831" s="119"/>
      <c r="H831" s="113"/>
      <c r="I831" s="107"/>
      <c r="J831" s="107"/>
      <c r="K831" s="107"/>
      <c r="L831" s="110"/>
      <c r="M831" s="113"/>
      <c r="N831" s="107"/>
      <c r="O831" s="107"/>
      <c r="P831" s="107"/>
      <c r="Q831" s="110"/>
      <c r="R831" s="113"/>
      <c r="S831" s="107"/>
      <c r="T831" s="107"/>
      <c r="U831" s="107"/>
      <c r="V831" s="110"/>
      <c r="W831" s="113"/>
      <c r="X831" s="107"/>
      <c r="Y831" s="107"/>
      <c r="Z831" s="107"/>
      <c r="AA831" s="110"/>
      <c r="AB831" s="135"/>
    </row>
    <row r="832" spans="1:32" ht="14.25" customHeight="1" thickTop="1" x14ac:dyDescent="0.25">
      <c r="A832" s="140">
        <f>ESCUADRAS!B158</f>
        <v>152</v>
      </c>
      <c r="B832" s="136">
        <f>ESCUADRAS!C157</f>
        <v>0</v>
      </c>
      <c r="C832" s="93"/>
      <c r="D832" s="123"/>
      <c r="E832" s="123"/>
      <c r="F832" s="123"/>
      <c r="G832" s="126"/>
      <c r="H832" s="102"/>
      <c r="I832" s="96"/>
      <c r="J832" s="96"/>
      <c r="K832" s="96"/>
      <c r="L832" s="99"/>
      <c r="M832" s="102"/>
      <c r="N832" s="96"/>
      <c r="O832" s="96"/>
      <c r="P832" s="96"/>
      <c r="Q832" s="99"/>
      <c r="R832" s="102"/>
      <c r="S832" s="96"/>
      <c r="T832" s="96"/>
      <c r="U832" s="96"/>
      <c r="V832" s="99"/>
      <c r="W832" s="111"/>
      <c r="X832" s="105"/>
      <c r="Y832" s="105"/>
      <c r="Z832" s="105"/>
      <c r="AA832" s="108"/>
      <c r="AB832" s="133"/>
    </row>
    <row r="833" spans="1:28" ht="14.25" customHeight="1" x14ac:dyDescent="0.25">
      <c r="A833" s="141"/>
      <c r="B833" s="137"/>
      <c r="C833" s="94"/>
      <c r="D833" s="124"/>
      <c r="E833" s="124"/>
      <c r="F833" s="124"/>
      <c r="G833" s="127"/>
      <c r="H833" s="103"/>
      <c r="I833" s="97"/>
      <c r="J833" s="97"/>
      <c r="K833" s="97"/>
      <c r="L833" s="100"/>
      <c r="M833" s="103"/>
      <c r="N833" s="97"/>
      <c r="O833" s="97"/>
      <c r="P833" s="97"/>
      <c r="Q833" s="100"/>
      <c r="R833" s="103"/>
      <c r="S833" s="97"/>
      <c r="T833" s="97"/>
      <c r="U833" s="97"/>
      <c r="V833" s="100"/>
      <c r="W833" s="112"/>
      <c r="X833" s="106"/>
      <c r="Y833" s="106"/>
      <c r="Z833" s="106"/>
      <c r="AA833" s="109"/>
      <c r="AB833" s="134"/>
    </row>
    <row r="834" spans="1:28" ht="13.5" customHeight="1" thickBot="1" x14ac:dyDescent="0.3">
      <c r="A834" s="142"/>
      <c r="B834" s="138"/>
      <c r="C834" s="95"/>
      <c r="D834" s="125"/>
      <c r="E834" s="125"/>
      <c r="F834" s="125"/>
      <c r="G834" s="128"/>
      <c r="H834" s="104"/>
      <c r="I834" s="98"/>
      <c r="J834" s="98"/>
      <c r="K834" s="98"/>
      <c r="L834" s="101"/>
      <c r="M834" s="104"/>
      <c r="N834" s="98"/>
      <c r="O834" s="98"/>
      <c r="P834" s="98"/>
      <c r="Q834" s="101"/>
      <c r="R834" s="104"/>
      <c r="S834" s="98"/>
      <c r="T834" s="98"/>
      <c r="U834" s="98"/>
      <c r="V834" s="101"/>
      <c r="W834" s="113"/>
      <c r="X834" s="107"/>
      <c r="Y834" s="107"/>
      <c r="Z834" s="107"/>
      <c r="AA834" s="110"/>
      <c r="AB834" s="135"/>
    </row>
    <row r="835" spans="1:28" ht="14.25" customHeight="1" thickTop="1" thickBot="1" x14ac:dyDescent="0.3">
      <c r="A835" s="139">
        <f>ESCUADRAS!B159</f>
        <v>153</v>
      </c>
      <c r="B835" s="145">
        <f>ESCUADRAS!C158</f>
        <v>0</v>
      </c>
      <c r="C835" s="93"/>
      <c r="D835" s="123"/>
      <c r="E835" s="123"/>
      <c r="F835" s="123"/>
      <c r="G835" s="126"/>
      <c r="H835" s="102"/>
      <c r="I835" s="96"/>
      <c r="J835" s="96"/>
      <c r="K835" s="96"/>
      <c r="L835" s="99"/>
      <c r="M835" s="102"/>
      <c r="N835" s="96"/>
      <c r="O835" s="96"/>
      <c r="P835" s="96"/>
      <c r="Q835" s="99"/>
      <c r="R835" s="111"/>
      <c r="S835" s="105"/>
      <c r="T835" s="105"/>
      <c r="U835" s="105"/>
      <c r="V835" s="108"/>
      <c r="W835" s="102"/>
      <c r="X835" s="96"/>
      <c r="Y835" s="96"/>
      <c r="Z835" s="96"/>
      <c r="AA835" s="99"/>
      <c r="AB835" s="133"/>
    </row>
    <row r="836" spans="1:28" ht="14.25" customHeight="1" thickTop="1" thickBot="1" x14ac:dyDescent="0.3">
      <c r="A836" s="139"/>
      <c r="B836" s="146"/>
      <c r="C836" s="94"/>
      <c r="D836" s="124"/>
      <c r="E836" s="124"/>
      <c r="F836" s="124"/>
      <c r="G836" s="127"/>
      <c r="H836" s="103"/>
      <c r="I836" s="97"/>
      <c r="J836" s="97"/>
      <c r="K836" s="97"/>
      <c r="L836" s="100"/>
      <c r="M836" s="103"/>
      <c r="N836" s="97"/>
      <c r="O836" s="97"/>
      <c r="P836" s="97"/>
      <c r="Q836" s="100"/>
      <c r="R836" s="112"/>
      <c r="S836" s="106"/>
      <c r="T836" s="106"/>
      <c r="U836" s="106"/>
      <c r="V836" s="109"/>
      <c r="W836" s="103"/>
      <c r="X836" s="97"/>
      <c r="Y836" s="97"/>
      <c r="Z836" s="97"/>
      <c r="AA836" s="100"/>
      <c r="AB836" s="134"/>
    </row>
    <row r="837" spans="1:28" ht="13.5" customHeight="1" thickTop="1" thickBot="1" x14ac:dyDescent="0.3">
      <c r="A837" s="139"/>
      <c r="B837" s="147"/>
      <c r="C837" s="95"/>
      <c r="D837" s="125"/>
      <c r="E837" s="125"/>
      <c r="F837" s="125"/>
      <c r="G837" s="128"/>
      <c r="H837" s="104"/>
      <c r="I837" s="98"/>
      <c r="J837" s="98"/>
      <c r="K837" s="98"/>
      <c r="L837" s="101"/>
      <c r="M837" s="104"/>
      <c r="N837" s="98"/>
      <c r="O837" s="98"/>
      <c r="P837" s="98"/>
      <c r="Q837" s="101"/>
      <c r="R837" s="113"/>
      <c r="S837" s="107"/>
      <c r="T837" s="107"/>
      <c r="U837" s="107"/>
      <c r="V837" s="110"/>
      <c r="W837" s="104"/>
      <c r="X837" s="98"/>
      <c r="Y837" s="98"/>
      <c r="Z837" s="98"/>
      <c r="AA837" s="101"/>
      <c r="AB837" s="135"/>
    </row>
    <row r="838" spans="1:28" ht="13.5" customHeight="1" thickTop="1" x14ac:dyDescent="0.25">
      <c r="A838" s="140">
        <f>ESCUADRAS!B160</f>
        <v>154</v>
      </c>
      <c r="B838" s="136">
        <f>ESCUADRAS!C159</f>
        <v>0</v>
      </c>
      <c r="C838" s="93"/>
      <c r="D838" s="123"/>
      <c r="E838" s="123"/>
      <c r="F838" s="123"/>
      <c r="G838" s="126"/>
      <c r="H838" s="102"/>
      <c r="I838" s="96"/>
      <c r="J838" s="96"/>
      <c r="K838" s="96"/>
      <c r="L838" s="99"/>
      <c r="M838" s="111"/>
      <c r="N838" s="105"/>
      <c r="O838" s="105"/>
      <c r="P838" s="105"/>
      <c r="Q838" s="108"/>
      <c r="R838" s="102"/>
      <c r="S838" s="96"/>
      <c r="T838" s="96"/>
      <c r="U838" s="96"/>
      <c r="V838" s="99"/>
      <c r="W838" s="102"/>
      <c r="X838" s="96"/>
      <c r="Y838" s="96"/>
      <c r="Z838" s="96"/>
      <c r="AA838" s="99"/>
      <c r="AB838" s="133"/>
    </row>
    <row r="839" spans="1:28" ht="14.25" customHeight="1" x14ac:dyDescent="0.25">
      <c r="A839" s="141"/>
      <c r="B839" s="137"/>
      <c r="C839" s="94"/>
      <c r="D839" s="124"/>
      <c r="E839" s="124"/>
      <c r="F839" s="124"/>
      <c r="G839" s="127"/>
      <c r="H839" s="103"/>
      <c r="I839" s="97"/>
      <c r="J839" s="97"/>
      <c r="K839" s="97"/>
      <c r="L839" s="100"/>
      <c r="M839" s="112"/>
      <c r="N839" s="106"/>
      <c r="O839" s="106"/>
      <c r="P839" s="106"/>
      <c r="Q839" s="109"/>
      <c r="R839" s="103"/>
      <c r="S839" s="97"/>
      <c r="T839" s="97"/>
      <c r="U839" s="97"/>
      <c r="V839" s="100"/>
      <c r="W839" s="103"/>
      <c r="X839" s="97"/>
      <c r="Y839" s="97"/>
      <c r="Z839" s="97"/>
      <c r="AA839" s="100"/>
      <c r="AB839" s="134"/>
    </row>
    <row r="840" spans="1:28" ht="13.5" customHeight="1" thickBot="1" x14ac:dyDescent="0.3">
      <c r="A840" s="142"/>
      <c r="B840" s="138"/>
      <c r="C840" s="95"/>
      <c r="D840" s="125"/>
      <c r="E840" s="125"/>
      <c r="F840" s="125"/>
      <c r="G840" s="128"/>
      <c r="H840" s="104"/>
      <c r="I840" s="98"/>
      <c r="J840" s="98"/>
      <c r="K840" s="98"/>
      <c r="L840" s="101"/>
      <c r="M840" s="113"/>
      <c r="N840" s="107"/>
      <c r="O840" s="107"/>
      <c r="P840" s="107"/>
      <c r="Q840" s="110"/>
      <c r="R840" s="104"/>
      <c r="S840" s="98"/>
      <c r="T840" s="98"/>
      <c r="U840" s="98"/>
      <c r="V840" s="101"/>
      <c r="W840" s="104"/>
      <c r="X840" s="98"/>
      <c r="Y840" s="98"/>
      <c r="Z840" s="98"/>
      <c r="AA840" s="101"/>
      <c r="AB840" s="135"/>
    </row>
    <row r="841" spans="1:28" ht="14.25" customHeight="1" thickTop="1" thickBot="1" x14ac:dyDescent="0.3">
      <c r="A841" s="139">
        <f>ESCUADRAS!B161</f>
        <v>155</v>
      </c>
      <c r="B841" s="136">
        <f>ESCUADRAS!C160</f>
        <v>0</v>
      </c>
      <c r="C841" s="93"/>
      <c r="D841" s="123"/>
      <c r="E841" s="123"/>
      <c r="F841" s="123"/>
      <c r="G841" s="126"/>
      <c r="H841" s="111"/>
      <c r="I841" s="105"/>
      <c r="J841" s="105"/>
      <c r="K841" s="105"/>
      <c r="L841" s="108"/>
      <c r="M841" s="102"/>
      <c r="N841" s="96"/>
      <c r="O841" s="96"/>
      <c r="P841" s="96"/>
      <c r="Q841" s="99"/>
      <c r="R841" s="102"/>
      <c r="S841" s="96"/>
      <c r="T841" s="96"/>
      <c r="U841" s="96"/>
      <c r="V841" s="99"/>
      <c r="W841" s="102"/>
      <c r="X841" s="96"/>
      <c r="Y841" s="96"/>
      <c r="Z841" s="96"/>
      <c r="AA841" s="99"/>
      <c r="AB841" s="133"/>
    </row>
    <row r="842" spans="1:28" ht="14.25" customHeight="1" thickTop="1" thickBot="1" x14ac:dyDescent="0.3">
      <c r="A842" s="139"/>
      <c r="B842" s="137"/>
      <c r="C842" s="94"/>
      <c r="D842" s="124"/>
      <c r="E842" s="124"/>
      <c r="F842" s="124"/>
      <c r="G842" s="127"/>
      <c r="H842" s="112"/>
      <c r="I842" s="106"/>
      <c r="J842" s="106"/>
      <c r="K842" s="106"/>
      <c r="L842" s="109"/>
      <c r="M842" s="103"/>
      <c r="N842" s="97"/>
      <c r="O842" s="97"/>
      <c r="P842" s="97"/>
      <c r="Q842" s="100"/>
      <c r="R842" s="103"/>
      <c r="S842" s="97"/>
      <c r="T842" s="97"/>
      <c r="U842" s="97"/>
      <c r="V842" s="100"/>
      <c r="W842" s="103"/>
      <c r="X842" s="97"/>
      <c r="Y842" s="97"/>
      <c r="Z842" s="97"/>
      <c r="AA842" s="100"/>
      <c r="AB842" s="134"/>
    </row>
    <row r="843" spans="1:28" ht="13.5" customHeight="1" thickTop="1" thickBot="1" x14ac:dyDescent="0.3">
      <c r="A843" s="139"/>
      <c r="B843" s="138"/>
      <c r="C843" s="95"/>
      <c r="D843" s="125"/>
      <c r="E843" s="125"/>
      <c r="F843" s="125"/>
      <c r="G843" s="128"/>
      <c r="H843" s="113"/>
      <c r="I843" s="107"/>
      <c r="J843" s="107"/>
      <c r="K843" s="107"/>
      <c r="L843" s="110"/>
      <c r="M843" s="104"/>
      <c r="N843" s="98"/>
      <c r="O843" s="98"/>
      <c r="P843" s="98"/>
      <c r="Q843" s="101"/>
      <c r="R843" s="104"/>
      <c r="S843" s="98"/>
      <c r="T843" s="98"/>
      <c r="U843" s="98"/>
      <c r="V843" s="101"/>
      <c r="W843" s="104"/>
      <c r="X843" s="98"/>
      <c r="Y843" s="98"/>
      <c r="Z843" s="98"/>
      <c r="AA843" s="101"/>
      <c r="AB843" s="135"/>
    </row>
    <row r="844" spans="1:28" ht="13.5" customHeight="1" thickTop="1" x14ac:dyDescent="0.25">
      <c r="A844" s="140">
        <f>ESCUADRAS!B162</f>
        <v>156</v>
      </c>
      <c r="B844" s="136">
        <f>ESCUADRAS!C161</f>
        <v>0</v>
      </c>
      <c r="C844" s="111"/>
      <c r="D844" s="105"/>
      <c r="E844" s="105"/>
      <c r="F844" s="105"/>
      <c r="G844" s="108"/>
      <c r="H844" s="122"/>
      <c r="I844" s="120"/>
      <c r="J844" s="120"/>
      <c r="K844" s="120"/>
      <c r="L844" s="121"/>
      <c r="M844" s="122"/>
      <c r="N844" s="120"/>
      <c r="O844" s="120"/>
      <c r="P844" s="120"/>
      <c r="Q844" s="121"/>
      <c r="R844" s="122"/>
      <c r="S844" s="120"/>
      <c r="T844" s="120"/>
      <c r="U844" s="120"/>
      <c r="V844" s="121"/>
      <c r="W844" s="122"/>
      <c r="X844" s="120"/>
      <c r="Y844" s="120"/>
      <c r="Z844" s="120"/>
      <c r="AA844" s="121"/>
      <c r="AB844" s="133"/>
    </row>
    <row r="845" spans="1:28" ht="14.25" customHeight="1" x14ac:dyDescent="0.25">
      <c r="A845" s="141"/>
      <c r="B845" s="137"/>
      <c r="C845" s="112"/>
      <c r="D845" s="106"/>
      <c r="E845" s="106"/>
      <c r="F845" s="106"/>
      <c r="G845" s="109"/>
      <c r="H845" s="103"/>
      <c r="I845" s="97"/>
      <c r="J845" s="97"/>
      <c r="K845" s="97"/>
      <c r="L845" s="100"/>
      <c r="M845" s="103"/>
      <c r="N845" s="97"/>
      <c r="O845" s="97"/>
      <c r="P845" s="97"/>
      <c r="Q845" s="100"/>
      <c r="R845" s="103"/>
      <c r="S845" s="97"/>
      <c r="T845" s="97"/>
      <c r="U845" s="97"/>
      <c r="V845" s="100"/>
      <c r="W845" s="103"/>
      <c r="X845" s="97"/>
      <c r="Y845" s="97"/>
      <c r="Z845" s="97"/>
      <c r="AA845" s="100"/>
      <c r="AB845" s="134"/>
    </row>
    <row r="846" spans="1:28" ht="13.5" customHeight="1" thickBot="1" x14ac:dyDescent="0.3">
      <c r="A846" s="142"/>
      <c r="B846" s="138"/>
      <c r="C846" s="113"/>
      <c r="D846" s="107"/>
      <c r="E846" s="107"/>
      <c r="F846" s="107"/>
      <c r="G846" s="110"/>
      <c r="H846" s="104"/>
      <c r="I846" s="98"/>
      <c r="J846" s="98"/>
      <c r="K846" s="98"/>
      <c r="L846" s="101"/>
      <c r="M846" s="104"/>
      <c r="N846" s="98"/>
      <c r="O846" s="98"/>
      <c r="P846" s="98"/>
      <c r="Q846" s="101"/>
      <c r="R846" s="104"/>
      <c r="S846" s="98"/>
      <c r="T846" s="98"/>
      <c r="U846" s="98"/>
      <c r="V846" s="101"/>
      <c r="W846" s="104"/>
      <c r="X846" s="98"/>
      <c r="Y846" s="98"/>
      <c r="Z846" s="98"/>
      <c r="AA846" s="101"/>
      <c r="AB846" s="135"/>
    </row>
    <row r="848" spans="1:28" ht="15" x14ac:dyDescent="0.25">
      <c r="A848" s="28"/>
      <c r="B848" s="26" t="s">
        <v>35</v>
      </c>
      <c r="E848" s="21" t="s">
        <v>41</v>
      </c>
      <c r="I848" s="21" t="s">
        <v>42</v>
      </c>
      <c r="M848" s="21" t="s">
        <v>43</v>
      </c>
      <c r="Q848" s="21" t="s">
        <v>44</v>
      </c>
      <c r="U848" s="21" t="s">
        <v>45</v>
      </c>
      <c r="Y848" s="21" t="s">
        <v>46</v>
      </c>
    </row>
    <row r="855" spans="1:32" ht="24.6" x14ac:dyDescent="0.25">
      <c r="A855" s="144" t="str">
        <f>'INSCRIPCION '!A$1</f>
        <v>TIRADA</v>
      </c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</row>
    <row r="856" spans="1:32" ht="24.6" x14ac:dyDescent="0.4">
      <c r="A856" s="23"/>
      <c r="B856" s="23"/>
    </row>
    <row r="857" spans="1:32" ht="22.8" x14ac:dyDescent="0.25">
      <c r="A857" s="132" t="str">
        <f>'INSCRIPCION '!A$2</f>
        <v>CAMPO DE TIRO LA ISLA</v>
      </c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</row>
    <row r="858" spans="1:32" ht="20.399999999999999" x14ac:dyDescent="0.25">
      <c r="A858" s="143" t="str">
        <f>'INSCRIPCION '!A$3</f>
        <v>XXX PLATOS</v>
      </c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  <c r="AA858" s="143"/>
      <c r="AB858" s="143"/>
      <c r="AC858" s="143"/>
      <c r="AD858" s="143"/>
      <c r="AE858" s="143"/>
      <c r="AF858" s="143"/>
    </row>
    <row r="859" spans="1:32" ht="22.8" x14ac:dyDescent="0.4">
      <c r="A859" s="24"/>
      <c r="B859" s="24"/>
    </row>
    <row r="860" spans="1:32" ht="17.399999999999999" x14ac:dyDescent="0.3">
      <c r="A860" s="25" t="s">
        <v>37</v>
      </c>
      <c r="B860" s="25"/>
      <c r="J860" s="9" t="s">
        <v>6</v>
      </c>
      <c r="K860" s="9"/>
      <c r="L860" s="9"/>
      <c r="M860" s="9"/>
      <c r="N860" s="9"/>
      <c r="O860" s="22">
        <v>4</v>
      </c>
      <c r="P860" s="22"/>
      <c r="Q860" s="8"/>
      <c r="R860" s="8"/>
      <c r="S860" s="7"/>
      <c r="T860" s="8"/>
      <c r="U860" s="8"/>
      <c r="V860" s="9" t="s">
        <v>7</v>
      </c>
      <c r="W860" s="9"/>
      <c r="X860" s="9"/>
      <c r="Y860" s="9"/>
      <c r="Z860" s="22">
        <v>2</v>
      </c>
      <c r="AA860" s="22"/>
    </row>
    <row r="861" spans="1:32" ht="13.8" thickBot="1" x14ac:dyDescent="0.3"/>
    <row r="862" spans="1:32" ht="15.6" thickBot="1" x14ac:dyDescent="0.3">
      <c r="A862" s="27" t="s">
        <v>0</v>
      </c>
      <c r="B862" s="27" t="s">
        <v>8</v>
      </c>
      <c r="C862" s="47">
        <v>1</v>
      </c>
      <c r="D862" s="48">
        <v>2</v>
      </c>
      <c r="E862" s="48">
        <v>3</v>
      </c>
      <c r="F862" s="48">
        <v>4</v>
      </c>
      <c r="G862" s="49">
        <v>5</v>
      </c>
      <c r="H862" s="47">
        <v>6</v>
      </c>
      <c r="I862" s="48">
        <v>7</v>
      </c>
      <c r="J862" s="48">
        <v>8</v>
      </c>
      <c r="K862" s="48">
        <v>9</v>
      </c>
      <c r="L862" s="49">
        <v>10</v>
      </c>
      <c r="M862" s="47">
        <v>11</v>
      </c>
      <c r="N862" s="48">
        <v>12</v>
      </c>
      <c r="O862" s="48">
        <v>13</v>
      </c>
      <c r="P862" s="48">
        <v>14</v>
      </c>
      <c r="Q862" s="49">
        <v>15</v>
      </c>
      <c r="R862" s="47">
        <v>16</v>
      </c>
      <c r="S862" s="48">
        <v>17</v>
      </c>
      <c r="T862" s="48">
        <v>18</v>
      </c>
      <c r="U862" s="48">
        <v>19</v>
      </c>
      <c r="V862" s="49">
        <v>20</v>
      </c>
      <c r="W862" s="47">
        <v>21</v>
      </c>
      <c r="X862" s="48">
        <v>22</v>
      </c>
      <c r="Y862" s="48">
        <v>23</v>
      </c>
      <c r="Z862" s="48">
        <v>24</v>
      </c>
      <c r="AA862" s="49">
        <v>25</v>
      </c>
      <c r="AB862" s="30" t="s">
        <v>1</v>
      </c>
    </row>
    <row r="863" spans="1:32" ht="14.25" customHeight="1" thickTop="1" thickBot="1" x14ac:dyDescent="0.3">
      <c r="A863" s="139">
        <f>ESCUADRAS!B163</f>
        <v>157</v>
      </c>
      <c r="B863" s="136">
        <f>ESCUADRAS!C168</f>
        <v>0</v>
      </c>
      <c r="C863" s="129"/>
      <c r="D863" s="114"/>
      <c r="E863" s="114"/>
      <c r="F863" s="114"/>
      <c r="G863" s="117"/>
      <c r="H863" s="111"/>
      <c r="I863" s="105"/>
      <c r="J863" s="105"/>
      <c r="K863" s="105"/>
      <c r="L863" s="108"/>
      <c r="M863" s="111"/>
      <c r="N863" s="105"/>
      <c r="O863" s="105"/>
      <c r="P863" s="105"/>
      <c r="Q863" s="108"/>
      <c r="R863" s="111"/>
      <c r="S863" s="105"/>
      <c r="T863" s="105"/>
      <c r="U863" s="105"/>
      <c r="V863" s="108"/>
      <c r="W863" s="111"/>
      <c r="X863" s="105"/>
      <c r="Y863" s="105"/>
      <c r="Z863" s="105"/>
      <c r="AA863" s="108"/>
      <c r="AB863" s="133"/>
    </row>
    <row r="864" spans="1:32" ht="13.95" customHeight="1" thickTop="1" thickBot="1" x14ac:dyDescent="0.3">
      <c r="A864" s="139"/>
      <c r="B864" s="137"/>
      <c r="C864" s="130"/>
      <c r="D864" s="115"/>
      <c r="E864" s="115"/>
      <c r="F864" s="115"/>
      <c r="G864" s="118"/>
      <c r="H864" s="112"/>
      <c r="I864" s="106"/>
      <c r="J864" s="106"/>
      <c r="K864" s="106"/>
      <c r="L864" s="109"/>
      <c r="M864" s="112"/>
      <c r="N864" s="106"/>
      <c r="O864" s="106"/>
      <c r="P864" s="106"/>
      <c r="Q864" s="109"/>
      <c r="R864" s="112"/>
      <c r="S864" s="106"/>
      <c r="T864" s="106"/>
      <c r="U864" s="106"/>
      <c r="V864" s="109"/>
      <c r="W864" s="112"/>
      <c r="X864" s="106"/>
      <c r="Y864" s="106"/>
      <c r="Z864" s="106"/>
      <c r="AA864" s="109"/>
      <c r="AB864" s="134"/>
    </row>
    <row r="865" spans="1:28" ht="13.95" customHeight="1" thickTop="1" thickBot="1" x14ac:dyDescent="0.3">
      <c r="A865" s="139"/>
      <c r="B865" s="138"/>
      <c r="C865" s="131"/>
      <c r="D865" s="116"/>
      <c r="E865" s="116"/>
      <c r="F865" s="116"/>
      <c r="G865" s="119"/>
      <c r="H865" s="113"/>
      <c r="I865" s="107"/>
      <c r="J865" s="107"/>
      <c r="K865" s="107"/>
      <c r="L865" s="110"/>
      <c r="M865" s="113"/>
      <c r="N865" s="107"/>
      <c r="O865" s="107"/>
      <c r="P865" s="107"/>
      <c r="Q865" s="110"/>
      <c r="R865" s="113"/>
      <c r="S865" s="107"/>
      <c r="T865" s="107"/>
      <c r="U865" s="107"/>
      <c r="V865" s="110"/>
      <c r="W865" s="113"/>
      <c r="X865" s="107"/>
      <c r="Y865" s="107"/>
      <c r="Z865" s="107"/>
      <c r="AA865" s="110"/>
      <c r="AB865" s="135"/>
    </row>
    <row r="866" spans="1:28" ht="14.25" customHeight="1" thickTop="1" x14ac:dyDescent="0.25">
      <c r="A866" s="140">
        <f>ESCUADRAS!B164</f>
        <v>158</v>
      </c>
      <c r="B866" s="136">
        <f>ESCUADRAS!C163</f>
        <v>0</v>
      </c>
      <c r="C866" s="93"/>
      <c r="D866" s="123"/>
      <c r="E866" s="123"/>
      <c r="F866" s="123"/>
      <c r="G866" s="126"/>
      <c r="H866" s="102"/>
      <c r="I866" s="96"/>
      <c r="J866" s="96"/>
      <c r="K866" s="96"/>
      <c r="L866" s="99"/>
      <c r="M866" s="102"/>
      <c r="N866" s="96"/>
      <c r="O866" s="96"/>
      <c r="P866" s="96"/>
      <c r="Q866" s="99"/>
      <c r="R866" s="102"/>
      <c r="S866" s="96"/>
      <c r="T866" s="96"/>
      <c r="U866" s="96"/>
      <c r="V866" s="99"/>
      <c r="W866" s="111"/>
      <c r="X866" s="105"/>
      <c r="Y866" s="105"/>
      <c r="Z866" s="105"/>
      <c r="AA866" s="108"/>
      <c r="AB866" s="133"/>
    </row>
    <row r="867" spans="1:28" ht="13.95" customHeight="1" x14ac:dyDescent="0.25">
      <c r="A867" s="141"/>
      <c r="B867" s="137"/>
      <c r="C867" s="94"/>
      <c r="D867" s="124"/>
      <c r="E867" s="124"/>
      <c r="F867" s="124"/>
      <c r="G867" s="127"/>
      <c r="H867" s="103"/>
      <c r="I867" s="97"/>
      <c r="J867" s="97"/>
      <c r="K867" s="97"/>
      <c r="L867" s="100"/>
      <c r="M867" s="103"/>
      <c r="N867" s="97"/>
      <c r="O867" s="97"/>
      <c r="P867" s="97"/>
      <c r="Q867" s="100"/>
      <c r="R867" s="103"/>
      <c r="S867" s="97"/>
      <c r="T867" s="97"/>
      <c r="U867" s="97"/>
      <c r="V867" s="100"/>
      <c r="W867" s="112"/>
      <c r="X867" s="106"/>
      <c r="Y867" s="106"/>
      <c r="Z867" s="106"/>
      <c r="AA867" s="109"/>
      <c r="AB867" s="134"/>
    </row>
    <row r="868" spans="1:28" ht="13.95" customHeight="1" thickBot="1" x14ac:dyDescent="0.3">
      <c r="A868" s="142"/>
      <c r="B868" s="138"/>
      <c r="C868" s="95"/>
      <c r="D868" s="125"/>
      <c r="E868" s="125"/>
      <c r="F868" s="125"/>
      <c r="G868" s="128"/>
      <c r="H868" s="104"/>
      <c r="I868" s="98"/>
      <c r="J868" s="98"/>
      <c r="K868" s="98"/>
      <c r="L868" s="101"/>
      <c r="M868" s="104"/>
      <c r="N868" s="98"/>
      <c r="O868" s="98"/>
      <c r="P868" s="98"/>
      <c r="Q868" s="101"/>
      <c r="R868" s="104"/>
      <c r="S868" s="98"/>
      <c r="T868" s="98"/>
      <c r="U868" s="98"/>
      <c r="V868" s="101"/>
      <c r="W868" s="113"/>
      <c r="X868" s="107"/>
      <c r="Y868" s="107"/>
      <c r="Z868" s="107"/>
      <c r="AA868" s="110"/>
      <c r="AB868" s="135"/>
    </row>
    <row r="869" spans="1:28" ht="14.25" customHeight="1" thickTop="1" thickBot="1" x14ac:dyDescent="0.3">
      <c r="A869" s="139">
        <f>ESCUADRAS!B165</f>
        <v>159</v>
      </c>
      <c r="B869" s="136">
        <f>ESCUADRAS!C164</f>
        <v>0</v>
      </c>
      <c r="C869" s="93"/>
      <c r="D869" s="123"/>
      <c r="E869" s="123"/>
      <c r="F869" s="123"/>
      <c r="G869" s="126"/>
      <c r="H869" s="102"/>
      <c r="I869" s="96"/>
      <c r="J869" s="96"/>
      <c r="K869" s="96"/>
      <c r="L869" s="99"/>
      <c r="M869" s="102"/>
      <c r="N869" s="96"/>
      <c r="O869" s="96"/>
      <c r="P869" s="96"/>
      <c r="Q869" s="99"/>
      <c r="R869" s="111"/>
      <c r="S869" s="105"/>
      <c r="T869" s="105"/>
      <c r="U869" s="105"/>
      <c r="V869" s="108"/>
      <c r="W869" s="102"/>
      <c r="X869" s="96"/>
      <c r="Y869" s="96"/>
      <c r="Z869" s="96"/>
      <c r="AA869" s="99"/>
      <c r="AB869" s="133"/>
    </row>
    <row r="870" spans="1:28" ht="14.25" customHeight="1" thickTop="1" thickBot="1" x14ac:dyDescent="0.3">
      <c r="A870" s="139"/>
      <c r="B870" s="137"/>
      <c r="C870" s="94"/>
      <c r="D870" s="124"/>
      <c r="E870" s="124"/>
      <c r="F870" s="124"/>
      <c r="G870" s="127"/>
      <c r="H870" s="103"/>
      <c r="I870" s="97"/>
      <c r="J870" s="97"/>
      <c r="K870" s="97"/>
      <c r="L870" s="100"/>
      <c r="M870" s="103"/>
      <c r="N870" s="97"/>
      <c r="O870" s="97"/>
      <c r="P870" s="97"/>
      <c r="Q870" s="100"/>
      <c r="R870" s="112"/>
      <c r="S870" s="106"/>
      <c r="T870" s="106"/>
      <c r="U870" s="106"/>
      <c r="V870" s="109"/>
      <c r="W870" s="103"/>
      <c r="X870" s="97"/>
      <c r="Y870" s="97"/>
      <c r="Z870" s="97"/>
      <c r="AA870" s="100"/>
      <c r="AB870" s="134"/>
    </row>
    <row r="871" spans="1:28" ht="13.5" customHeight="1" thickTop="1" thickBot="1" x14ac:dyDescent="0.3">
      <c r="A871" s="139"/>
      <c r="B871" s="138"/>
      <c r="C871" s="95"/>
      <c r="D871" s="125"/>
      <c r="E871" s="125"/>
      <c r="F871" s="125"/>
      <c r="G871" s="128"/>
      <c r="H871" s="104"/>
      <c r="I871" s="98"/>
      <c r="J871" s="98"/>
      <c r="K871" s="98"/>
      <c r="L871" s="101"/>
      <c r="M871" s="104"/>
      <c r="N871" s="98"/>
      <c r="O871" s="98"/>
      <c r="P871" s="98"/>
      <c r="Q871" s="101"/>
      <c r="R871" s="113"/>
      <c r="S871" s="107"/>
      <c r="T871" s="107"/>
      <c r="U871" s="107"/>
      <c r="V871" s="110"/>
      <c r="W871" s="104"/>
      <c r="X871" s="98"/>
      <c r="Y871" s="98"/>
      <c r="Z871" s="98"/>
      <c r="AA871" s="101"/>
      <c r="AB871" s="135"/>
    </row>
    <row r="872" spans="1:28" ht="13.5" customHeight="1" thickTop="1" x14ac:dyDescent="0.25">
      <c r="A872" s="140">
        <f>ESCUADRAS!B166</f>
        <v>160</v>
      </c>
      <c r="B872" s="136">
        <f>ESCUADRAS!C165</f>
        <v>0</v>
      </c>
      <c r="C872" s="93"/>
      <c r="D872" s="123"/>
      <c r="E872" s="123"/>
      <c r="F872" s="123"/>
      <c r="G872" s="126"/>
      <c r="H872" s="102"/>
      <c r="I872" s="96"/>
      <c r="J872" s="96"/>
      <c r="K872" s="96"/>
      <c r="L872" s="99"/>
      <c r="M872" s="111"/>
      <c r="N872" s="105"/>
      <c r="O872" s="105"/>
      <c r="P872" s="105"/>
      <c r="Q872" s="108"/>
      <c r="R872" s="102"/>
      <c r="S872" s="96"/>
      <c r="T872" s="96"/>
      <c r="U872" s="96"/>
      <c r="V872" s="99"/>
      <c r="W872" s="102"/>
      <c r="X872" s="96"/>
      <c r="Y872" s="96"/>
      <c r="Z872" s="96"/>
      <c r="AA872" s="99"/>
      <c r="AB872" s="133"/>
    </row>
    <row r="873" spans="1:28" ht="14.25" customHeight="1" x14ac:dyDescent="0.25">
      <c r="A873" s="141"/>
      <c r="B873" s="137"/>
      <c r="C873" s="94"/>
      <c r="D873" s="124"/>
      <c r="E873" s="124"/>
      <c r="F873" s="124"/>
      <c r="G873" s="127"/>
      <c r="H873" s="103"/>
      <c r="I873" s="97"/>
      <c r="J873" s="97"/>
      <c r="K873" s="97"/>
      <c r="L873" s="100"/>
      <c r="M873" s="112"/>
      <c r="N873" s="106"/>
      <c r="O873" s="106"/>
      <c r="P873" s="106"/>
      <c r="Q873" s="109"/>
      <c r="R873" s="103"/>
      <c r="S873" s="97"/>
      <c r="T873" s="97"/>
      <c r="U873" s="97"/>
      <c r="V873" s="100"/>
      <c r="W873" s="103"/>
      <c r="X873" s="97"/>
      <c r="Y873" s="97"/>
      <c r="Z873" s="97"/>
      <c r="AA873" s="100"/>
      <c r="AB873" s="134"/>
    </row>
    <row r="874" spans="1:28" ht="13.5" customHeight="1" thickBot="1" x14ac:dyDescent="0.3">
      <c r="A874" s="142"/>
      <c r="B874" s="138"/>
      <c r="C874" s="95"/>
      <c r="D874" s="125"/>
      <c r="E874" s="125"/>
      <c r="F874" s="125"/>
      <c r="G874" s="128"/>
      <c r="H874" s="104"/>
      <c r="I874" s="98"/>
      <c r="J874" s="98"/>
      <c r="K874" s="98"/>
      <c r="L874" s="101"/>
      <c r="M874" s="113"/>
      <c r="N874" s="107"/>
      <c r="O874" s="107"/>
      <c r="P874" s="107"/>
      <c r="Q874" s="110"/>
      <c r="R874" s="104"/>
      <c r="S874" s="98"/>
      <c r="T874" s="98"/>
      <c r="U874" s="98"/>
      <c r="V874" s="101"/>
      <c r="W874" s="104"/>
      <c r="X874" s="98"/>
      <c r="Y874" s="98"/>
      <c r="Z874" s="98"/>
      <c r="AA874" s="101"/>
      <c r="AB874" s="135"/>
    </row>
    <row r="875" spans="1:28" ht="14.25" customHeight="1" thickTop="1" thickBot="1" x14ac:dyDescent="0.3">
      <c r="A875" s="139">
        <f>ESCUADRAS!B167</f>
        <v>161</v>
      </c>
      <c r="B875" s="136">
        <f>ESCUADRAS!C166</f>
        <v>0</v>
      </c>
      <c r="C875" s="93"/>
      <c r="D875" s="123"/>
      <c r="E875" s="123"/>
      <c r="F875" s="123"/>
      <c r="G875" s="126"/>
      <c r="H875" s="111"/>
      <c r="I875" s="105"/>
      <c r="J875" s="105"/>
      <c r="K875" s="105"/>
      <c r="L875" s="108"/>
      <c r="M875" s="102"/>
      <c r="N875" s="96"/>
      <c r="O875" s="96"/>
      <c r="P875" s="96"/>
      <c r="Q875" s="99"/>
      <c r="R875" s="102"/>
      <c r="S875" s="96"/>
      <c r="T875" s="96"/>
      <c r="U875" s="96"/>
      <c r="V875" s="99"/>
      <c r="W875" s="102"/>
      <c r="X875" s="96"/>
      <c r="Y875" s="96"/>
      <c r="Z875" s="96"/>
      <c r="AA875" s="99"/>
      <c r="AB875" s="133"/>
    </row>
    <row r="876" spans="1:28" ht="14.25" customHeight="1" thickTop="1" thickBot="1" x14ac:dyDescent="0.3">
      <c r="A876" s="139"/>
      <c r="B876" s="137"/>
      <c r="C876" s="94"/>
      <c r="D876" s="124"/>
      <c r="E876" s="124"/>
      <c r="F876" s="124"/>
      <c r="G876" s="127"/>
      <c r="H876" s="112"/>
      <c r="I876" s="106"/>
      <c r="J876" s="106"/>
      <c r="K876" s="106"/>
      <c r="L876" s="109"/>
      <c r="M876" s="103"/>
      <c r="N876" s="97"/>
      <c r="O876" s="97"/>
      <c r="P876" s="97"/>
      <c r="Q876" s="100"/>
      <c r="R876" s="103"/>
      <c r="S876" s="97"/>
      <c r="T876" s="97"/>
      <c r="U876" s="97"/>
      <c r="V876" s="100"/>
      <c r="W876" s="103"/>
      <c r="X876" s="97"/>
      <c r="Y876" s="97"/>
      <c r="Z876" s="97"/>
      <c r="AA876" s="100"/>
      <c r="AB876" s="134"/>
    </row>
    <row r="877" spans="1:28" ht="13.5" customHeight="1" thickTop="1" thickBot="1" x14ac:dyDescent="0.3">
      <c r="A877" s="139"/>
      <c r="B877" s="138"/>
      <c r="C877" s="95"/>
      <c r="D877" s="125"/>
      <c r="E877" s="125"/>
      <c r="F877" s="125"/>
      <c r="G877" s="128"/>
      <c r="H877" s="113"/>
      <c r="I877" s="107"/>
      <c r="J877" s="107"/>
      <c r="K877" s="107"/>
      <c r="L877" s="110"/>
      <c r="M877" s="104"/>
      <c r="N877" s="98"/>
      <c r="O877" s="98"/>
      <c r="P877" s="98"/>
      <c r="Q877" s="101"/>
      <c r="R877" s="104"/>
      <c r="S877" s="98"/>
      <c r="T877" s="98"/>
      <c r="U877" s="98"/>
      <c r="V877" s="101"/>
      <c r="W877" s="104"/>
      <c r="X877" s="98"/>
      <c r="Y877" s="98"/>
      <c r="Z877" s="98"/>
      <c r="AA877" s="101"/>
      <c r="AB877" s="135"/>
    </row>
    <row r="878" spans="1:28" ht="13.5" customHeight="1" thickTop="1" x14ac:dyDescent="0.25">
      <c r="A878" s="140">
        <f>ESCUADRAS!B168</f>
        <v>162</v>
      </c>
      <c r="B878" s="136">
        <f>ESCUADRAS!C167</f>
        <v>0</v>
      </c>
      <c r="C878" s="111"/>
      <c r="D878" s="105"/>
      <c r="E878" s="105"/>
      <c r="F878" s="105"/>
      <c r="G878" s="108"/>
      <c r="H878" s="122"/>
      <c r="I878" s="120"/>
      <c r="J878" s="120"/>
      <c r="K878" s="120"/>
      <c r="L878" s="121"/>
      <c r="M878" s="122"/>
      <c r="N878" s="120"/>
      <c r="O878" s="120"/>
      <c r="P878" s="120"/>
      <c r="Q878" s="121"/>
      <c r="R878" s="122"/>
      <c r="S878" s="120"/>
      <c r="T878" s="120"/>
      <c r="U878" s="120"/>
      <c r="V878" s="121"/>
      <c r="W878" s="122"/>
      <c r="X878" s="120"/>
      <c r="Y878" s="120"/>
      <c r="Z878" s="120"/>
      <c r="AA878" s="121"/>
      <c r="AB878" s="133"/>
    </row>
    <row r="879" spans="1:28" ht="14.25" customHeight="1" x14ac:dyDescent="0.25">
      <c r="A879" s="141"/>
      <c r="B879" s="137"/>
      <c r="C879" s="112"/>
      <c r="D879" s="106"/>
      <c r="E879" s="106"/>
      <c r="F879" s="106"/>
      <c r="G879" s="109"/>
      <c r="H879" s="103"/>
      <c r="I879" s="97"/>
      <c r="J879" s="97"/>
      <c r="K879" s="97"/>
      <c r="L879" s="100"/>
      <c r="M879" s="103"/>
      <c r="N879" s="97"/>
      <c r="O879" s="97"/>
      <c r="P879" s="97"/>
      <c r="Q879" s="100"/>
      <c r="R879" s="103"/>
      <c r="S879" s="97"/>
      <c r="T879" s="97"/>
      <c r="U879" s="97"/>
      <c r="V879" s="100"/>
      <c r="W879" s="103"/>
      <c r="X879" s="97"/>
      <c r="Y879" s="97"/>
      <c r="Z879" s="97"/>
      <c r="AA879" s="100"/>
      <c r="AB879" s="134"/>
    </row>
    <row r="880" spans="1:28" ht="13.5" customHeight="1" thickBot="1" x14ac:dyDescent="0.3">
      <c r="A880" s="142"/>
      <c r="B880" s="138"/>
      <c r="C880" s="113"/>
      <c r="D880" s="107"/>
      <c r="E880" s="107"/>
      <c r="F880" s="107"/>
      <c r="G880" s="110"/>
      <c r="H880" s="104"/>
      <c r="I880" s="98"/>
      <c r="J880" s="98"/>
      <c r="K880" s="98"/>
      <c r="L880" s="101"/>
      <c r="M880" s="104"/>
      <c r="N880" s="98"/>
      <c r="O880" s="98"/>
      <c r="P880" s="98"/>
      <c r="Q880" s="101"/>
      <c r="R880" s="104"/>
      <c r="S880" s="98"/>
      <c r="T880" s="98"/>
      <c r="U880" s="98"/>
      <c r="V880" s="101"/>
      <c r="W880" s="104"/>
      <c r="X880" s="98"/>
      <c r="Y880" s="98"/>
      <c r="Z880" s="98"/>
      <c r="AA880" s="101"/>
      <c r="AB880" s="135"/>
    </row>
    <row r="882" spans="1:32" ht="15" x14ac:dyDescent="0.25">
      <c r="A882" s="28"/>
      <c r="B882" s="26" t="s">
        <v>35</v>
      </c>
      <c r="E882" s="21" t="s">
        <v>41</v>
      </c>
      <c r="I882" s="21" t="s">
        <v>42</v>
      </c>
      <c r="M882" s="21" t="s">
        <v>43</v>
      </c>
      <c r="Q882" s="21" t="s">
        <v>44</v>
      </c>
      <c r="U882" s="21" t="s">
        <v>45</v>
      </c>
      <c r="Y882" s="21" t="s">
        <v>46</v>
      </c>
    </row>
    <row r="889" spans="1:32" ht="24.6" x14ac:dyDescent="0.25">
      <c r="A889" s="144" t="str">
        <f>'INSCRIPCION '!A$1</f>
        <v>TIRADA</v>
      </c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</row>
    <row r="890" spans="1:32" ht="24.6" x14ac:dyDescent="0.4">
      <c r="A890" s="23"/>
      <c r="B890" s="23"/>
    </row>
    <row r="891" spans="1:32" ht="22.8" x14ac:dyDescent="0.25">
      <c r="A891" s="132" t="str">
        <f>'INSCRIPCION '!A$2</f>
        <v>CAMPO DE TIRO LA ISLA</v>
      </c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</row>
    <row r="892" spans="1:32" ht="20.399999999999999" x14ac:dyDescent="0.25">
      <c r="A892" s="143" t="str">
        <f>'INSCRIPCION '!A$3</f>
        <v>XXX PLATOS</v>
      </c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  <c r="AA892" s="143"/>
      <c r="AB892" s="143"/>
      <c r="AC892" s="143"/>
      <c r="AD892" s="143"/>
      <c r="AE892" s="143"/>
      <c r="AF892" s="143"/>
    </row>
    <row r="893" spans="1:32" ht="22.8" x14ac:dyDescent="0.4">
      <c r="A893" s="24"/>
      <c r="B893" s="24"/>
    </row>
    <row r="894" spans="1:32" ht="17.399999999999999" x14ac:dyDescent="0.3">
      <c r="A894" s="25" t="s">
        <v>38</v>
      </c>
      <c r="B894" s="25"/>
      <c r="J894" s="9" t="s">
        <v>6</v>
      </c>
      <c r="K894" s="9"/>
      <c r="L894" s="9"/>
      <c r="M894" s="9"/>
      <c r="N894" s="9"/>
      <c r="O894" s="22">
        <v>1</v>
      </c>
      <c r="P894" s="22"/>
      <c r="Q894" s="8"/>
      <c r="R894" s="8"/>
      <c r="S894" s="7"/>
      <c r="T894" s="8"/>
      <c r="U894" s="8"/>
      <c r="V894" s="9" t="s">
        <v>7</v>
      </c>
      <c r="W894" s="9"/>
      <c r="X894" s="9"/>
      <c r="Y894" s="9"/>
      <c r="Z894" s="22">
        <v>2</v>
      </c>
      <c r="AA894" s="22"/>
    </row>
    <row r="895" spans="1:32" ht="13.8" thickBot="1" x14ac:dyDescent="0.3"/>
    <row r="896" spans="1:32" ht="15.6" thickBot="1" x14ac:dyDescent="0.3">
      <c r="A896" s="27" t="s">
        <v>0</v>
      </c>
      <c r="B896" s="27" t="s">
        <v>8</v>
      </c>
      <c r="C896" s="47">
        <v>1</v>
      </c>
      <c r="D896" s="48">
        <v>2</v>
      </c>
      <c r="E896" s="48">
        <v>3</v>
      </c>
      <c r="F896" s="48">
        <v>4</v>
      </c>
      <c r="G896" s="49">
        <v>5</v>
      </c>
      <c r="H896" s="47">
        <v>6</v>
      </c>
      <c r="I896" s="48">
        <v>7</v>
      </c>
      <c r="J896" s="48">
        <v>8</v>
      </c>
      <c r="K896" s="48">
        <v>9</v>
      </c>
      <c r="L896" s="49">
        <v>10</v>
      </c>
      <c r="M896" s="47">
        <v>11</v>
      </c>
      <c r="N896" s="48">
        <v>12</v>
      </c>
      <c r="O896" s="48">
        <v>13</v>
      </c>
      <c r="P896" s="48">
        <v>14</v>
      </c>
      <c r="Q896" s="49">
        <v>15</v>
      </c>
      <c r="R896" s="47">
        <v>16</v>
      </c>
      <c r="S896" s="48">
        <v>17</v>
      </c>
      <c r="T896" s="48">
        <v>18</v>
      </c>
      <c r="U896" s="48">
        <v>19</v>
      </c>
      <c r="V896" s="49">
        <v>20</v>
      </c>
      <c r="W896" s="47">
        <v>21</v>
      </c>
      <c r="X896" s="48">
        <v>22</v>
      </c>
      <c r="Y896" s="48">
        <v>23</v>
      </c>
      <c r="Z896" s="48">
        <v>24</v>
      </c>
      <c r="AA896" s="49">
        <v>25</v>
      </c>
      <c r="AB896" s="30" t="s">
        <v>1</v>
      </c>
    </row>
    <row r="897" spans="1:28" ht="14.25" customHeight="1" thickTop="1" thickBot="1" x14ac:dyDescent="0.3">
      <c r="A897" s="139">
        <f>ESCUADRAS!B169</f>
        <v>163</v>
      </c>
      <c r="B897" s="136">
        <f>ESCUADRAS!C174</f>
        <v>0</v>
      </c>
      <c r="C897" s="129"/>
      <c r="D897" s="114"/>
      <c r="E897" s="114"/>
      <c r="F897" s="114"/>
      <c r="G897" s="117"/>
      <c r="H897" s="111"/>
      <c r="I897" s="105"/>
      <c r="J897" s="105"/>
      <c r="K897" s="105"/>
      <c r="L897" s="108"/>
      <c r="M897" s="111"/>
      <c r="N897" s="105"/>
      <c r="O897" s="105"/>
      <c r="P897" s="105"/>
      <c r="Q897" s="108"/>
      <c r="R897" s="111"/>
      <c r="S897" s="105"/>
      <c r="T897" s="105"/>
      <c r="U897" s="105"/>
      <c r="V897" s="108"/>
      <c r="W897" s="111"/>
      <c r="X897" s="105"/>
      <c r="Y897" s="105"/>
      <c r="Z897" s="105"/>
      <c r="AA897" s="108"/>
      <c r="AB897" s="133"/>
    </row>
    <row r="898" spans="1:28" ht="13.95" customHeight="1" thickTop="1" thickBot="1" x14ac:dyDescent="0.3">
      <c r="A898" s="139"/>
      <c r="B898" s="137"/>
      <c r="C898" s="130"/>
      <c r="D898" s="115"/>
      <c r="E898" s="115"/>
      <c r="F898" s="115"/>
      <c r="G898" s="118"/>
      <c r="H898" s="112"/>
      <c r="I898" s="106"/>
      <c r="J898" s="106"/>
      <c r="K898" s="106"/>
      <c r="L898" s="109"/>
      <c r="M898" s="112"/>
      <c r="N898" s="106"/>
      <c r="O898" s="106"/>
      <c r="P898" s="106"/>
      <c r="Q898" s="109"/>
      <c r="R898" s="112"/>
      <c r="S898" s="106"/>
      <c r="T898" s="106"/>
      <c r="U898" s="106"/>
      <c r="V898" s="109"/>
      <c r="W898" s="112"/>
      <c r="X898" s="106"/>
      <c r="Y898" s="106"/>
      <c r="Z898" s="106"/>
      <c r="AA898" s="109"/>
      <c r="AB898" s="134"/>
    </row>
    <row r="899" spans="1:28" ht="13.95" customHeight="1" thickTop="1" thickBot="1" x14ac:dyDescent="0.3">
      <c r="A899" s="139"/>
      <c r="B899" s="138"/>
      <c r="C899" s="131"/>
      <c r="D899" s="116"/>
      <c r="E899" s="116"/>
      <c r="F899" s="116"/>
      <c r="G899" s="119"/>
      <c r="H899" s="113"/>
      <c r="I899" s="107"/>
      <c r="J899" s="107"/>
      <c r="K899" s="107"/>
      <c r="L899" s="110"/>
      <c r="M899" s="113"/>
      <c r="N899" s="107"/>
      <c r="O899" s="107"/>
      <c r="P899" s="107"/>
      <c r="Q899" s="110"/>
      <c r="R899" s="113"/>
      <c r="S899" s="107"/>
      <c r="T899" s="107"/>
      <c r="U899" s="107"/>
      <c r="V899" s="110"/>
      <c r="W899" s="113"/>
      <c r="X899" s="107"/>
      <c r="Y899" s="107"/>
      <c r="Z899" s="107"/>
      <c r="AA899" s="110"/>
      <c r="AB899" s="135"/>
    </row>
    <row r="900" spans="1:28" ht="14.25" customHeight="1" thickTop="1" x14ac:dyDescent="0.25">
      <c r="A900" s="140">
        <f>ESCUADRAS!B170</f>
        <v>164</v>
      </c>
      <c r="B900" s="136">
        <f>ESCUADRAS!C169</f>
        <v>0</v>
      </c>
      <c r="C900" s="93"/>
      <c r="D900" s="123"/>
      <c r="E900" s="123"/>
      <c r="F900" s="123"/>
      <c r="G900" s="126"/>
      <c r="H900" s="102"/>
      <c r="I900" s="96"/>
      <c r="J900" s="96"/>
      <c r="K900" s="96"/>
      <c r="L900" s="99"/>
      <c r="M900" s="102"/>
      <c r="N900" s="96"/>
      <c r="O900" s="96"/>
      <c r="P900" s="96"/>
      <c r="Q900" s="99"/>
      <c r="R900" s="102"/>
      <c r="S900" s="96"/>
      <c r="T900" s="96"/>
      <c r="U900" s="96"/>
      <c r="V900" s="99"/>
      <c r="W900" s="111"/>
      <c r="X900" s="105"/>
      <c r="Y900" s="105"/>
      <c r="Z900" s="105"/>
      <c r="AA900" s="108"/>
      <c r="AB900" s="133"/>
    </row>
    <row r="901" spans="1:28" ht="13.95" customHeight="1" x14ac:dyDescent="0.25">
      <c r="A901" s="141"/>
      <c r="B901" s="137"/>
      <c r="C901" s="94"/>
      <c r="D901" s="124"/>
      <c r="E901" s="124"/>
      <c r="F901" s="124"/>
      <c r="G901" s="127"/>
      <c r="H901" s="103"/>
      <c r="I901" s="97"/>
      <c r="J901" s="97"/>
      <c r="K901" s="97"/>
      <c r="L901" s="100"/>
      <c r="M901" s="103"/>
      <c r="N901" s="97"/>
      <c r="O901" s="97"/>
      <c r="P901" s="97"/>
      <c r="Q901" s="100"/>
      <c r="R901" s="103"/>
      <c r="S901" s="97"/>
      <c r="T901" s="97"/>
      <c r="U901" s="97"/>
      <c r="V901" s="100"/>
      <c r="W901" s="112"/>
      <c r="X901" s="106"/>
      <c r="Y901" s="106"/>
      <c r="Z901" s="106"/>
      <c r="AA901" s="109"/>
      <c r="AB901" s="134"/>
    </row>
    <row r="902" spans="1:28" ht="13.95" customHeight="1" thickBot="1" x14ac:dyDescent="0.3">
      <c r="A902" s="142"/>
      <c r="B902" s="138"/>
      <c r="C902" s="95"/>
      <c r="D902" s="125"/>
      <c r="E902" s="125"/>
      <c r="F902" s="125"/>
      <c r="G902" s="128"/>
      <c r="H902" s="104"/>
      <c r="I902" s="98"/>
      <c r="J902" s="98"/>
      <c r="K902" s="98"/>
      <c r="L902" s="101"/>
      <c r="M902" s="104"/>
      <c r="N902" s="98"/>
      <c r="O902" s="98"/>
      <c r="P902" s="98"/>
      <c r="Q902" s="101"/>
      <c r="R902" s="104"/>
      <c r="S902" s="98"/>
      <c r="T902" s="98"/>
      <c r="U902" s="98"/>
      <c r="V902" s="101"/>
      <c r="W902" s="113"/>
      <c r="X902" s="107"/>
      <c r="Y902" s="107"/>
      <c r="Z902" s="107"/>
      <c r="AA902" s="110"/>
      <c r="AB902" s="135"/>
    </row>
    <row r="903" spans="1:28" ht="14.25" customHeight="1" thickTop="1" thickBot="1" x14ac:dyDescent="0.3">
      <c r="A903" s="139">
        <f>ESCUADRAS!B171</f>
        <v>165</v>
      </c>
      <c r="B903" s="136">
        <f>ESCUADRAS!C170</f>
        <v>0</v>
      </c>
      <c r="C903" s="93"/>
      <c r="D903" s="123"/>
      <c r="E903" s="123"/>
      <c r="F903" s="123"/>
      <c r="G903" s="126"/>
      <c r="H903" s="102"/>
      <c r="I903" s="96"/>
      <c r="J903" s="96"/>
      <c r="K903" s="96"/>
      <c r="L903" s="99"/>
      <c r="M903" s="102"/>
      <c r="N903" s="96"/>
      <c r="O903" s="96"/>
      <c r="P903" s="96"/>
      <c r="Q903" s="99"/>
      <c r="R903" s="111"/>
      <c r="S903" s="105"/>
      <c r="T903" s="105"/>
      <c r="U903" s="105"/>
      <c r="V903" s="108"/>
      <c r="W903" s="102"/>
      <c r="X903" s="96"/>
      <c r="Y903" s="96"/>
      <c r="Z903" s="96"/>
      <c r="AA903" s="99"/>
      <c r="AB903" s="133"/>
    </row>
    <row r="904" spans="1:28" ht="13.95" customHeight="1" thickTop="1" thickBot="1" x14ac:dyDescent="0.3">
      <c r="A904" s="139"/>
      <c r="B904" s="137"/>
      <c r="C904" s="94"/>
      <c r="D904" s="124"/>
      <c r="E904" s="124"/>
      <c r="F904" s="124"/>
      <c r="G904" s="127"/>
      <c r="H904" s="103"/>
      <c r="I904" s="97"/>
      <c r="J904" s="97"/>
      <c r="K904" s="97"/>
      <c r="L904" s="100"/>
      <c r="M904" s="103"/>
      <c r="N904" s="97"/>
      <c r="O904" s="97"/>
      <c r="P904" s="97"/>
      <c r="Q904" s="100"/>
      <c r="R904" s="112"/>
      <c r="S904" s="106"/>
      <c r="T904" s="106"/>
      <c r="U904" s="106"/>
      <c r="V904" s="109"/>
      <c r="W904" s="103"/>
      <c r="X904" s="97"/>
      <c r="Y904" s="97"/>
      <c r="Z904" s="97"/>
      <c r="AA904" s="100"/>
      <c r="AB904" s="134"/>
    </row>
    <row r="905" spans="1:28" ht="13.95" customHeight="1" thickTop="1" thickBot="1" x14ac:dyDescent="0.3">
      <c r="A905" s="139"/>
      <c r="B905" s="138"/>
      <c r="C905" s="95"/>
      <c r="D905" s="125"/>
      <c r="E905" s="125"/>
      <c r="F905" s="125"/>
      <c r="G905" s="128"/>
      <c r="H905" s="104"/>
      <c r="I905" s="98"/>
      <c r="J905" s="98"/>
      <c r="K905" s="98"/>
      <c r="L905" s="101"/>
      <c r="M905" s="104"/>
      <c r="N905" s="98"/>
      <c r="O905" s="98"/>
      <c r="P905" s="98"/>
      <c r="Q905" s="101"/>
      <c r="R905" s="113"/>
      <c r="S905" s="107"/>
      <c r="T905" s="107"/>
      <c r="U905" s="107"/>
      <c r="V905" s="110"/>
      <c r="W905" s="104"/>
      <c r="X905" s="98"/>
      <c r="Y905" s="98"/>
      <c r="Z905" s="98"/>
      <c r="AA905" s="101"/>
      <c r="AB905" s="135"/>
    </row>
    <row r="906" spans="1:28" ht="13.5" customHeight="1" thickTop="1" x14ac:dyDescent="0.25">
      <c r="A906" s="140">
        <f>ESCUADRAS!B172</f>
        <v>166</v>
      </c>
      <c r="B906" s="136">
        <f>ESCUADRAS!C171</f>
        <v>0</v>
      </c>
      <c r="C906" s="93"/>
      <c r="D906" s="123"/>
      <c r="E906" s="123"/>
      <c r="F906" s="123"/>
      <c r="G906" s="126"/>
      <c r="H906" s="102"/>
      <c r="I906" s="96"/>
      <c r="J906" s="96"/>
      <c r="K906" s="96"/>
      <c r="L906" s="99"/>
      <c r="M906" s="111"/>
      <c r="N906" s="105"/>
      <c r="O906" s="105"/>
      <c r="P906" s="105"/>
      <c r="Q906" s="108"/>
      <c r="R906" s="102"/>
      <c r="S906" s="96"/>
      <c r="T906" s="96"/>
      <c r="U906" s="96"/>
      <c r="V906" s="99"/>
      <c r="W906" s="102"/>
      <c r="X906" s="96"/>
      <c r="Y906" s="96"/>
      <c r="Z906" s="96"/>
      <c r="AA906" s="99"/>
      <c r="AB906" s="133"/>
    </row>
    <row r="907" spans="1:28" ht="13.95" customHeight="1" x14ac:dyDescent="0.25">
      <c r="A907" s="141"/>
      <c r="B907" s="137"/>
      <c r="C907" s="94"/>
      <c r="D907" s="124"/>
      <c r="E907" s="124"/>
      <c r="F907" s="124"/>
      <c r="G907" s="127"/>
      <c r="H907" s="103"/>
      <c r="I907" s="97"/>
      <c r="J907" s="97"/>
      <c r="K907" s="97"/>
      <c r="L907" s="100"/>
      <c r="M907" s="112"/>
      <c r="N907" s="106"/>
      <c r="O907" s="106"/>
      <c r="P907" s="106"/>
      <c r="Q907" s="109"/>
      <c r="R907" s="103"/>
      <c r="S907" s="97"/>
      <c r="T907" s="97"/>
      <c r="U907" s="97"/>
      <c r="V907" s="100"/>
      <c r="W907" s="103"/>
      <c r="X907" s="97"/>
      <c r="Y907" s="97"/>
      <c r="Z907" s="97"/>
      <c r="AA907" s="100"/>
      <c r="AB907" s="134"/>
    </row>
    <row r="908" spans="1:28" ht="13.95" customHeight="1" thickBot="1" x14ac:dyDescent="0.3">
      <c r="A908" s="142"/>
      <c r="B908" s="138"/>
      <c r="C908" s="95"/>
      <c r="D908" s="125"/>
      <c r="E908" s="125"/>
      <c r="F908" s="125"/>
      <c r="G908" s="128"/>
      <c r="H908" s="104"/>
      <c r="I908" s="98"/>
      <c r="J908" s="98"/>
      <c r="K908" s="98"/>
      <c r="L908" s="101"/>
      <c r="M908" s="113"/>
      <c r="N908" s="107"/>
      <c r="O908" s="107"/>
      <c r="P908" s="107"/>
      <c r="Q908" s="110"/>
      <c r="R908" s="104"/>
      <c r="S908" s="98"/>
      <c r="T908" s="98"/>
      <c r="U908" s="98"/>
      <c r="V908" s="101"/>
      <c r="W908" s="104"/>
      <c r="X908" s="98"/>
      <c r="Y908" s="98"/>
      <c r="Z908" s="98"/>
      <c r="AA908" s="101"/>
      <c r="AB908" s="135"/>
    </row>
    <row r="909" spans="1:28" ht="14.25" customHeight="1" thickTop="1" thickBot="1" x14ac:dyDescent="0.3">
      <c r="A909" s="139">
        <f>ESCUADRAS!B173</f>
        <v>167</v>
      </c>
      <c r="B909" s="136">
        <f>ESCUADRAS!C172</f>
        <v>0</v>
      </c>
      <c r="C909" s="93"/>
      <c r="D909" s="123"/>
      <c r="E909" s="123"/>
      <c r="F909" s="123"/>
      <c r="G909" s="126"/>
      <c r="H909" s="111"/>
      <c r="I909" s="105"/>
      <c r="J909" s="105"/>
      <c r="K909" s="105"/>
      <c r="L909" s="108"/>
      <c r="M909" s="102"/>
      <c r="N909" s="96"/>
      <c r="O909" s="96"/>
      <c r="P909" s="96"/>
      <c r="Q909" s="99"/>
      <c r="R909" s="102"/>
      <c r="S909" s="96"/>
      <c r="T909" s="96"/>
      <c r="U909" s="96"/>
      <c r="V909" s="99"/>
      <c r="W909" s="102"/>
      <c r="X909" s="96"/>
      <c r="Y909" s="96"/>
      <c r="Z909" s="96"/>
      <c r="AA909" s="99"/>
      <c r="AB909" s="133"/>
    </row>
    <row r="910" spans="1:28" ht="13.95" customHeight="1" thickTop="1" thickBot="1" x14ac:dyDescent="0.3">
      <c r="A910" s="139"/>
      <c r="B910" s="137"/>
      <c r="C910" s="94"/>
      <c r="D910" s="124"/>
      <c r="E910" s="124"/>
      <c r="F910" s="124"/>
      <c r="G910" s="127"/>
      <c r="H910" s="112"/>
      <c r="I910" s="106"/>
      <c r="J910" s="106"/>
      <c r="K910" s="106"/>
      <c r="L910" s="109"/>
      <c r="M910" s="103"/>
      <c r="N910" s="97"/>
      <c r="O910" s="97"/>
      <c r="P910" s="97"/>
      <c r="Q910" s="100"/>
      <c r="R910" s="103"/>
      <c r="S910" s="97"/>
      <c r="T910" s="97"/>
      <c r="U910" s="97"/>
      <c r="V910" s="100"/>
      <c r="W910" s="103"/>
      <c r="X910" s="97"/>
      <c r="Y910" s="97"/>
      <c r="Z910" s="97"/>
      <c r="AA910" s="100"/>
      <c r="AB910" s="134"/>
    </row>
    <row r="911" spans="1:28" ht="13.95" customHeight="1" thickTop="1" thickBot="1" x14ac:dyDescent="0.3">
      <c r="A911" s="139"/>
      <c r="B911" s="138"/>
      <c r="C911" s="95"/>
      <c r="D911" s="125"/>
      <c r="E911" s="125"/>
      <c r="F911" s="125"/>
      <c r="G911" s="128"/>
      <c r="H911" s="113"/>
      <c r="I911" s="107"/>
      <c r="J911" s="107"/>
      <c r="K911" s="107"/>
      <c r="L911" s="110"/>
      <c r="M911" s="104"/>
      <c r="N911" s="98"/>
      <c r="O911" s="98"/>
      <c r="P911" s="98"/>
      <c r="Q911" s="101"/>
      <c r="R911" s="104"/>
      <c r="S911" s="98"/>
      <c r="T911" s="98"/>
      <c r="U911" s="98"/>
      <c r="V911" s="101"/>
      <c r="W911" s="104"/>
      <c r="X911" s="98"/>
      <c r="Y911" s="98"/>
      <c r="Z911" s="98"/>
      <c r="AA911" s="101"/>
      <c r="AB911" s="135"/>
    </row>
    <row r="912" spans="1:28" ht="13.5" customHeight="1" thickTop="1" x14ac:dyDescent="0.25">
      <c r="A912" s="140">
        <f>ESCUADRAS!B174</f>
        <v>168</v>
      </c>
      <c r="B912" s="136">
        <f>ESCUADRAS!C173</f>
        <v>0</v>
      </c>
      <c r="C912" s="111"/>
      <c r="D912" s="105"/>
      <c r="E912" s="105"/>
      <c r="F912" s="105"/>
      <c r="G912" s="108"/>
      <c r="H912" s="122"/>
      <c r="I912" s="120"/>
      <c r="J912" s="120"/>
      <c r="K912" s="120"/>
      <c r="L912" s="121"/>
      <c r="M912" s="122"/>
      <c r="N912" s="120"/>
      <c r="O912" s="120"/>
      <c r="P912" s="120"/>
      <c r="Q912" s="121"/>
      <c r="R912" s="122"/>
      <c r="S912" s="120"/>
      <c r="T912" s="120"/>
      <c r="U912" s="120"/>
      <c r="V912" s="121"/>
      <c r="W912" s="122"/>
      <c r="X912" s="120"/>
      <c r="Y912" s="120"/>
      <c r="Z912" s="120"/>
      <c r="AA912" s="121"/>
      <c r="AB912" s="133"/>
    </row>
    <row r="913" spans="1:32" ht="13.95" customHeight="1" x14ac:dyDescent="0.25">
      <c r="A913" s="141"/>
      <c r="B913" s="137"/>
      <c r="C913" s="112"/>
      <c r="D913" s="106"/>
      <c r="E913" s="106"/>
      <c r="F913" s="106"/>
      <c r="G913" s="109"/>
      <c r="H913" s="103"/>
      <c r="I913" s="97"/>
      <c r="J913" s="97"/>
      <c r="K913" s="97"/>
      <c r="L913" s="100"/>
      <c r="M913" s="103"/>
      <c r="N913" s="97"/>
      <c r="O913" s="97"/>
      <c r="P913" s="97"/>
      <c r="Q913" s="100"/>
      <c r="R913" s="103"/>
      <c r="S913" s="97"/>
      <c r="T913" s="97"/>
      <c r="U913" s="97"/>
      <c r="V913" s="100"/>
      <c r="W913" s="103"/>
      <c r="X913" s="97"/>
      <c r="Y913" s="97"/>
      <c r="Z913" s="97"/>
      <c r="AA913" s="100"/>
      <c r="AB913" s="134"/>
    </row>
    <row r="914" spans="1:32" ht="13.95" customHeight="1" thickBot="1" x14ac:dyDescent="0.3">
      <c r="A914" s="142"/>
      <c r="B914" s="138"/>
      <c r="C914" s="113"/>
      <c r="D914" s="107"/>
      <c r="E914" s="107"/>
      <c r="F914" s="107"/>
      <c r="G914" s="110"/>
      <c r="H914" s="104"/>
      <c r="I914" s="98"/>
      <c r="J914" s="98"/>
      <c r="K914" s="98"/>
      <c r="L914" s="101"/>
      <c r="M914" s="104"/>
      <c r="N914" s="98"/>
      <c r="O914" s="98"/>
      <c r="P914" s="98"/>
      <c r="Q914" s="101"/>
      <c r="R914" s="104"/>
      <c r="S914" s="98"/>
      <c r="T914" s="98"/>
      <c r="U914" s="98"/>
      <c r="V914" s="101"/>
      <c r="W914" s="104"/>
      <c r="X914" s="98"/>
      <c r="Y914" s="98"/>
      <c r="Z914" s="98"/>
      <c r="AA914" s="101"/>
      <c r="AB914" s="135"/>
    </row>
    <row r="916" spans="1:32" ht="15" x14ac:dyDescent="0.25">
      <c r="A916" s="28"/>
      <c r="B916" s="26" t="s">
        <v>35</v>
      </c>
      <c r="E916" s="21" t="s">
        <v>41</v>
      </c>
      <c r="I916" s="21" t="s">
        <v>42</v>
      </c>
      <c r="M916" s="21" t="s">
        <v>43</v>
      </c>
      <c r="Q916" s="21" t="s">
        <v>44</v>
      </c>
      <c r="U916" s="21" t="s">
        <v>45</v>
      </c>
      <c r="Y916" s="21" t="s">
        <v>46</v>
      </c>
    </row>
    <row r="923" spans="1:32" ht="24.6" x14ac:dyDescent="0.25">
      <c r="A923" s="144" t="str">
        <f>'INSCRIPCION '!A$1</f>
        <v>TIRADA</v>
      </c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</row>
    <row r="924" spans="1:32" ht="24.6" x14ac:dyDescent="0.4">
      <c r="A924" s="23"/>
      <c r="B924" s="23"/>
    </row>
    <row r="925" spans="1:32" ht="22.8" x14ac:dyDescent="0.25">
      <c r="A925" s="132" t="str">
        <f>'INSCRIPCION '!A$2</f>
        <v>CAMPO DE TIRO LA ISLA</v>
      </c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</row>
    <row r="926" spans="1:32" ht="20.399999999999999" x14ac:dyDescent="0.25">
      <c r="A926" s="143" t="str">
        <f>'INSCRIPCION '!A$3</f>
        <v>XXX PLATOS</v>
      </c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  <c r="AA926" s="143"/>
      <c r="AB926" s="143"/>
      <c r="AC926" s="143"/>
      <c r="AD926" s="143"/>
      <c r="AE926" s="143"/>
      <c r="AF926" s="143"/>
    </row>
    <row r="927" spans="1:32" ht="22.8" x14ac:dyDescent="0.4">
      <c r="A927" s="24"/>
      <c r="B927" s="24"/>
    </row>
    <row r="928" spans="1:32" ht="17.399999999999999" x14ac:dyDescent="0.3">
      <c r="A928" s="25" t="s">
        <v>39</v>
      </c>
      <c r="B928" s="25"/>
      <c r="J928" s="9" t="s">
        <v>6</v>
      </c>
      <c r="K928" s="9"/>
      <c r="L928" s="9"/>
      <c r="M928" s="9"/>
      <c r="N928" s="9"/>
      <c r="O928" s="22">
        <v>2</v>
      </c>
      <c r="P928" s="22"/>
      <c r="Q928" s="8"/>
      <c r="R928" s="8"/>
      <c r="S928" s="7"/>
      <c r="T928" s="8"/>
      <c r="U928" s="8"/>
      <c r="V928" s="9" t="s">
        <v>7</v>
      </c>
      <c r="W928" s="9"/>
      <c r="X928" s="9"/>
      <c r="Y928" s="9"/>
      <c r="Z928" s="22">
        <v>2</v>
      </c>
      <c r="AA928" s="22"/>
    </row>
    <row r="929" spans="1:28" ht="13.8" thickBot="1" x14ac:dyDescent="0.3"/>
    <row r="930" spans="1:28" ht="15.6" thickBot="1" x14ac:dyDescent="0.3">
      <c r="A930" s="27" t="s">
        <v>0</v>
      </c>
      <c r="B930" s="27" t="s">
        <v>8</v>
      </c>
      <c r="C930" s="47">
        <v>1</v>
      </c>
      <c r="D930" s="48">
        <v>2</v>
      </c>
      <c r="E930" s="48">
        <v>3</v>
      </c>
      <c r="F930" s="48">
        <v>4</v>
      </c>
      <c r="G930" s="49">
        <v>5</v>
      </c>
      <c r="H930" s="47">
        <v>6</v>
      </c>
      <c r="I930" s="48">
        <v>7</v>
      </c>
      <c r="J930" s="48">
        <v>8</v>
      </c>
      <c r="K930" s="48">
        <v>9</v>
      </c>
      <c r="L930" s="49">
        <v>10</v>
      </c>
      <c r="M930" s="47">
        <v>11</v>
      </c>
      <c r="N930" s="48">
        <v>12</v>
      </c>
      <c r="O930" s="48">
        <v>13</v>
      </c>
      <c r="P930" s="48">
        <v>14</v>
      </c>
      <c r="Q930" s="49">
        <v>15</v>
      </c>
      <c r="R930" s="47">
        <v>16</v>
      </c>
      <c r="S930" s="48">
        <v>17</v>
      </c>
      <c r="T930" s="48">
        <v>18</v>
      </c>
      <c r="U930" s="48">
        <v>19</v>
      </c>
      <c r="V930" s="49">
        <v>20</v>
      </c>
      <c r="W930" s="47">
        <v>21</v>
      </c>
      <c r="X930" s="48">
        <v>22</v>
      </c>
      <c r="Y930" s="48">
        <v>23</v>
      </c>
      <c r="Z930" s="48">
        <v>24</v>
      </c>
      <c r="AA930" s="49">
        <v>25</v>
      </c>
      <c r="AB930" s="30" t="s">
        <v>1</v>
      </c>
    </row>
    <row r="931" spans="1:28" ht="14.25" customHeight="1" thickTop="1" thickBot="1" x14ac:dyDescent="0.3">
      <c r="A931" s="139">
        <f>ESCUADRAS!B175</f>
        <v>169</v>
      </c>
      <c r="B931" s="136">
        <f>ESCUADRAS!C180</f>
        <v>0</v>
      </c>
      <c r="C931" s="129"/>
      <c r="D931" s="114"/>
      <c r="E931" s="114"/>
      <c r="F931" s="114"/>
      <c r="G931" s="117"/>
      <c r="H931" s="111"/>
      <c r="I931" s="105"/>
      <c r="J931" s="105"/>
      <c r="K931" s="105"/>
      <c r="L931" s="108"/>
      <c r="M931" s="111"/>
      <c r="N931" s="105"/>
      <c r="O931" s="105"/>
      <c r="P931" s="105"/>
      <c r="Q931" s="108"/>
      <c r="R931" s="111"/>
      <c r="S931" s="105"/>
      <c r="T931" s="105"/>
      <c r="U931" s="105"/>
      <c r="V931" s="108"/>
      <c r="W931" s="111"/>
      <c r="X931" s="105"/>
      <c r="Y931" s="105"/>
      <c r="Z931" s="105"/>
      <c r="AA931" s="108"/>
      <c r="AB931" s="133"/>
    </row>
    <row r="932" spans="1:28" ht="13.95" customHeight="1" thickTop="1" thickBot="1" x14ac:dyDescent="0.3">
      <c r="A932" s="139"/>
      <c r="B932" s="137"/>
      <c r="C932" s="130"/>
      <c r="D932" s="115"/>
      <c r="E932" s="115"/>
      <c r="F932" s="115"/>
      <c r="G932" s="118"/>
      <c r="H932" s="112"/>
      <c r="I932" s="106"/>
      <c r="J932" s="106"/>
      <c r="K932" s="106"/>
      <c r="L932" s="109"/>
      <c r="M932" s="112"/>
      <c r="N932" s="106"/>
      <c r="O932" s="106"/>
      <c r="P932" s="106"/>
      <c r="Q932" s="109"/>
      <c r="R932" s="112"/>
      <c r="S932" s="106"/>
      <c r="T932" s="106"/>
      <c r="U932" s="106"/>
      <c r="V932" s="109"/>
      <c r="W932" s="112"/>
      <c r="X932" s="106"/>
      <c r="Y932" s="106"/>
      <c r="Z932" s="106"/>
      <c r="AA932" s="109"/>
      <c r="AB932" s="134"/>
    </row>
    <row r="933" spans="1:28" ht="13.95" customHeight="1" thickTop="1" thickBot="1" x14ac:dyDescent="0.3">
      <c r="A933" s="139"/>
      <c r="B933" s="138"/>
      <c r="C933" s="131"/>
      <c r="D933" s="116"/>
      <c r="E933" s="116"/>
      <c r="F933" s="116"/>
      <c r="G933" s="119"/>
      <c r="H933" s="113"/>
      <c r="I933" s="107"/>
      <c r="J933" s="107"/>
      <c r="K933" s="107"/>
      <c r="L933" s="110"/>
      <c r="M933" s="113"/>
      <c r="N933" s="107"/>
      <c r="O933" s="107"/>
      <c r="P933" s="107"/>
      <c r="Q933" s="110"/>
      <c r="R933" s="113"/>
      <c r="S933" s="107"/>
      <c r="T933" s="107"/>
      <c r="U933" s="107"/>
      <c r="V933" s="110"/>
      <c r="W933" s="113"/>
      <c r="X933" s="107"/>
      <c r="Y933" s="107"/>
      <c r="Z933" s="107"/>
      <c r="AA933" s="110"/>
      <c r="AB933" s="135"/>
    </row>
    <row r="934" spans="1:28" ht="14.25" customHeight="1" thickTop="1" x14ac:dyDescent="0.25">
      <c r="A934" s="140">
        <f>ESCUADRAS!B176</f>
        <v>170</v>
      </c>
      <c r="B934" s="136">
        <f>ESCUADRAS!C175</f>
        <v>0</v>
      </c>
      <c r="C934" s="93"/>
      <c r="D934" s="123"/>
      <c r="E934" s="123"/>
      <c r="F934" s="123"/>
      <c r="G934" s="126"/>
      <c r="H934" s="102"/>
      <c r="I934" s="96"/>
      <c r="J934" s="96"/>
      <c r="K934" s="96"/>
      <c r="L934" s="99"/>
      <c r="M934" s="102"/>
      <c r="N934" s="96"/>
      <c r="O934" s="96"/>
      <c r="P934" s="96"/>
      <c r="Q934" s="99"/>
      <c r="R934" s="102"/>
      <c r="S934" s="96"/>
      <c r="T934" s="96"/>
      <c r="U934" s="96"/>
      <c r="V934" s="99"/>
      <c r="W934" s="111"/>
      <c r="X934" s="105"/>
      <c r="Y934" s="105"/>
      <c r="Z934" s="105"/>
      <c r="AA934" s="108"/>
      <c r="AB934" s="133"/>
    </row>
    <row r="935" spans="1:28" ht="13.95" customHeight="1" x14ac:dyDescent="0.25">
      <c r="A935" s="141"/>
      <c r="B935" s="137"/>
      <c r="C935" s="94"/>
      <c r="D935" s="124"/>
      <c r="E935" s="124"/>
      <c r="F935" s="124"/>
      <c r="G935" s="127"/>
      <c r="H935" s="103"/>
      <c r="I935" s="97"/>
      <c r="J935" s="97"/>
      <c r="K935" s="97"/>
      <c r="L935" s="100"/>
      <c r="M935" s="103"/>
      <c r="N935" s="97"/>
      <c r="O935" s="97"/>
      <c r="P935" s="97"/>
      <c r="Q935" s="100"/>
      <c r="R935" s="103"/>
      <c r="S935" s="97"/>
      <c r="T935" s="97"/>
      <c r="U935" s="97"/>
      <c r="V935" s="100"/>
      <c r="W935" s="112"/>
      <c r="X935" s="106"/>
      <c r="Y935" s="106"/>
      <c r="Z935" s="106"/>
      <c r="AA935" s="109"/>
      <c r="AB935" s="134"/>
    </row>
    <row r="936" spans="1:28" ht="13.95" customHeight="1" thickBot="1" x14ac:dyDescent="0.3">
      <c r="A936" s="142"/>
      <c r="B936" s="138"/>
      <c r="C936" s="95"/>
      <c r="D936" s="125"/>
      <c r="E936" s="125"/>
      <c r="F936" s="125"/>
      <c r="G936" s="128"/>
      <c r="H936" s="104"/>
      <c r="I936" s="98"/>
      <c r="J936" s="98"/>
      <c r="K936" s="98"/>
      <c r="L936" s="101"/>
      <c r="M936" s="104"/>
      <c r="N936" s="98"/>
      <c r="O936" s="98"/>
      <c r="P936" s="98"/>
      <c r="Q936" s="101"/>
      <c r="R936" s="104"/>
      <c r="S936" s="98"/>
      <c r="T936" s="98"/>
      <c r="U936" s="98"/>
      <c r="V936" s="101"/>
      <c r="W936" s="113"/>
      <c r="X936" s="107"/>
      <c r="Y936" s="107"/>
      <c r="Z936" s="107"/>
      <c r="AA936" s="110"/>
      <c r="AB936" s="135"/>
    </row>
    <row r="937" spans="1:28" ht="14.25" customHeight="1" thickTop="1" thickBot="1" x14ac:dyDescent="0.3">
      <c r="A937" s="139">
        <f>ESCUADRAS!B177</f>
        <v>171</v>
      </c>
      <c r="B937" s="136">
        <f>ESCUADRAS!C176</f>
        <v>0</v>
      </c>
      <c r="C937" s="93"/>
      <c r="D937" s="123"/>
      <c r="E937" s="123"/>
      <c r="F937" s="123"/>
      <c r="G937" s="126"/>
      <c r="H937" s="102"/>
      <c r="I937" s="96"/>
      <c r="J937" s="96"/>
      <c r="K937" s="96"/>
      <c r="L937" s="99"/>
      <c r="M937" s="102"/>
      <c r="N937" s="96"/>
      <c r="O937" s="96"/>
      <c r="P937" s="96"/>
      <c r="Q937" s="99"/>
      <c r="R937" s="111"/>
      <c r="S937" s="105"/>
      <c r="T937" s="105"/>
      <c r="U937" s="105"/>
      <c r="V937" s="108"/>
      <c r="W937" s="102"/>
      <c r="X937" s="96"/>
      <c r="Y937" s="96"/>
      <c r="Z937" s="96"/>
      <c r="AA937" s="99"/>
      <c r="AB937" s="133"/>
    </row>
    <row r="938" spans="1:28" ht="13.95" customHeight="1" thickTop="1" thickBot="1" x14ac:dyDescent="0.3">
      <c r="A938" s="139"/>
      <c r="B938" s="137"/>
      <c r="C938" s="94"/>
      <c r="D938" s="124"/>
      <c r="E938" s="124"/>
      <c r="F938" s="124"/>
      <c r="G938" s="127"/>
      <c r="H938" s="103"/>
      <c r="I938" s="97"/>
      <c r="J938" s="97"/>
      <c r="K938" s="97"/>
      <c r="L938" s="100"/>
      <c r="M938" s="103"/>
      <c r="N938" s="97"/>
      <c r="O938" s="97"/>
      <c r="P938" s="97"/>
      <c r="Q938" s="100"/>
      <c r="R938" s="112"/>
      <c r="S938" s="106"/>
      <c r="T938" s="106"/>
      <c r="U938" s="106"/>
      <c r="V938" s="109"/>
      <c r="W938" s="103"/>
      <c r="X938" s="97"/>
      <c r="Y938" s="97"/>
      <c r="Z938" s="97"/>
      <c r="AA938" s="100"/>
      <c r="AB938" s="134"/>
    </row>
    <row r="939" spans="1:28" ht="13.95" customHeight="1" thickTop="1" thickBot="1" x14ac:dyDescent="0.3">
      <c r="A939" s="139"/>
      <c r="B939" s="138"/>
      <c r="C939" s="95"/>
      <c r="D939" s="125"/>
      <c r="E939" s="125"/>
      <c r="F939" s="125"/>
      <c r="G939" s="128"/>
      <c r="H939" s="104"/>
      <c r="I939" s="98"/>
      <c r="J939" s="98"/>
      <c r="K939" s="98"/>
      <c r="L939" s="101"/>
      <c r="M939" s="104"/>
      <c r="N939" s="98"/>
      <c r="O939" s="98"/>
      <c r="P939" s="98"/>
      <c r="Q939" s="101"/>
      <c r="R939" s="113"/>
      <c r="S939" s="107"/>
      <c r="T939" s="107"/>
      <c r="U939" s="107"/>
      <c r="V939" s="110"/>
      <c r="W939" s="104"/>
      <c r="X939" s="98"/>
      <c r="Y939" s="98"/>
      <c r="Z939" s="98"/>
      <c r="AA939" s="101"/>
      <c r="AB939" s="135"/>
    </row>
    <row r="940" spans="1:28" ht="13.5" customHeight="1" thickTop="1" x14ac:dyDescent="0.25">
      <c r="A940" s="140">
        <f>ESCUADRAS!B178</f>
        <v>172</v>
      </c>
      <c r="B940" s="136">
        <f>ESCUADRAS!C177</f>
        <v>0</v>
      </c>
      <c r="C940" s="93"/>
      <c r="D940" s="123"/>
      <c r="E940" s="123"/>
      <c r="F940" s="123"/>
      <c r="G940" s="126"/>
      <c r="H940" s="102"/>
      <c r="I940" s="96"/>
      <c r="J940" s="96"/>
      <c r="K940" s="96"/>
      <c r="L940" s="99"/>
      <c r="M940" s="111"/>
      <c r="N940" s="105"/>
      <c r="O940" s="105"/>
      <c r="P940" s="105"/>
      <c r="Q940" s="108"/>
      <c r="R940" s="102"/>
      <c r="S940" s="96"/>
      <c r="T940" s="96"/>
      <c r="U940" s="96"/>
      <c r="V940" s="99"/>
      <c r="W940" s="102"/>
      <c r="X940" s="96"/>
      <c r="Y940" s="96"/>
      <c r="Z940" s="96"/>
      <c r="AA940" s="99"/>
      <c r="AB940" s="133"/>
    </row>
    <row r="941" spans="1:28" ht="14.25" customHeight="1" x14ac:dyDescent="0.25">
      <c r="A941" s="141"/>
      <c r="B941" s="137"/>
      <c r="C941" s="94"/>
      <c r="D941" s="124"/>
      <c r="E941" s="124"/>
      <c r="F941" s="124"/>
      <c r="G941" s="127"/>
      <c r="H941" s="103"/>
      <c r="I941" s="97"/>
      <c r="J941" s="97"/>
      <c r="K941" s="97"/>
      <c r="L941" s="100"/>
      <c r="M941" s="112"/>
      <c r="N941" s="106"/>
      <c r="O941" s="106"/>
      <c r="P941" s="106"/>
      <c r="Q941" s="109"/>
      <c r="R941" s="103"/>
      <c r="S941" s="97"/>
      <c r="T941" s="97"/>
      <c r="U941" s="97"/>
      <c r="V941" s="100"/>
      <c r="W941" s="103"/>
      <c r="X941" s="97"/>
      <c r="Y941" s="97"/>
      <c r="Z941" s="97"/>
      <c r="AA941" s="100"/>
      <c r="AB941" s="134"/>
    </row>
    <row r="942" spans="1:28" ht="13.5" customHeight="1" thickBot="1" x14ac:dyDescent="0.3">
      <c r="A942" s="142"/>
      <c r="B942" s="138"/>
      <c r="C942" s="95"/>
      <c r="D942" s="125"/>
      <c r="E942" s="125"/>
      <c r="F942" s="125"/>
      <c r="G942" s="128"/>
      <c r="H942" s="104"/>
      <c r="I942" s="98"/>
      <c r="J942" s="98"/>
      <c r="K942" s="98"/>
      <c r="L942" s="101"/>
      <c r="M942" s="113"/>
      <c r="N942" s="107"/>
      <c r="O942" s="107"/>
      <c r="P942" s="107"/>
      <c r="Q942" s="110"/>
      <c r="R942" s="104"/>
      <c r="S942" s="98"/>
      <c r="T942" s="98"/>
      <c r="U942" s="98"/>
      <c r="V942" s="101"/>
      <c r="W942" s="104"/>
      <c r="X942" s="98"/>
      <c r="Y942" s="98"/>
      <c r="Z942" s="98"/>
      <c r="AA942" s="101"/>
      <c r="AB942" s="135"/>
    </row>
    <row r="943" spans="1:28" ht="14.25" customHeight="1" thickTop="1" thickBot="1" x14ac:dyDescent="0.3">
      <c r="A943" s="139">
        <f>ESCUADRAS!B179</f>
        <v>173</v>
      </c>
      <c r="B943" s="136">
        <f>ESCUADRAS!C178</f>
        <v>0</v>
      </c>
      <c r="C943" s="93"/>
      <c r="D943" s="123"/>
      <c r="E943" s="123"/>
      <c r="F943" s="123"/>
      <c r="G943" s="126"/>
      <c r="H943" s="111"/>
      <c r="I943" s="105"/>
      <c r="J943" s="105"/>
      <c r="K943" s="105"/>
      <c r="L943" s="108"/>
      <c r="M943" s="102"/>
      <c r="N943" s="96"/>
      <c r="O943" s="96"/>
      <c r="P943" s="96"/>
      <c r="Q943" s="99"/>
      <c r="R943" s="102"/>
      <c r="S943" s="96"/>
      <c r="T943" s="96"/>
      <c r="U943" s="96"/>
      <c r="V943" s="99"/>
      <c r="W943" s="102"/>
      <c r="X943" s="96"/>
      <c r="Y943" s="96"/>
      <c r="Z943" s="96"/>
      <c r="AA943" s="99"/>
      <c r="AB943" s="133"/>
    </row>
    <row r="944" spans="1:28" ht="14.25" customHeight="1" thickTop="1" thickBot="1" x14ac:dyDescent="0.3">
      <c r="A944" s="139"/>
      <c r="B944" s="137"/>
      <c r="C944" s="94"/>
      <c r="D944" s="124"/>
      <c r="E944" s="124"/>
      <c r="F944" s="124"/>
      <c r="G944" s="127"/>
      <c r="H944" s="112"/>
      <c r="I944" s="106"/>
      <c r="J944" s="106"/>
      <c r="K944" s="106"/>
      <c r="L944" s="109"/>
      <c r="M944" s="103"/>
      <c r="N944" s="97"/>
      <c r="O944" s="97"/>
      <c r="P944" s="97"/>
      <c r="Q944" s="100"/>
      <c r="R944" s="103"/>
      <c r="S944" s="97"/>
      <c r="T944" s="97"/>
      <c r="U944" s="97"/>
      <c r="V944" s="100"/>
      <c r="W944" s="103"/>
      <c r="X944" s="97"/>
      <c r="Y944" s="97"/>
      <c r="Z944" s="97"/>
      <c r="AA944" s="100"/>
      <c r="AB944" s="134"/>
    </row>
    <row r="945" spans="1:32" ht="13.5" customHeight="1" thickTop="1" thickBot="1" x14ac:dyDescent="0.3">
      <c r="A945" s="139"/>
      <c r="B945" s="138"/>
      <c r="C945" s="95"/>
      <c r="D945" s="125"/>
      <c r="E945" s="125"/>
      <c r="F945" s="125"/>
      <c r="G945" s="128"/>
      <c r="H945" s="113"/>
      <c r="I945" s="107"/>
      <c r="J945" s="107"/>
      <c r="K945" s="107"/>
      <c r="L945" s="110"/>
      <c r="M945" s="104"/>
      <c r="N945" s="98"/>
      <c r="O945" s="98"/>
      <c r="P945" s="98"/>
      <c r="Q945" s="101"/>
      <c r="R945" s="104"/>
      <c r="S945" s="98"/>
      <c r="T945" s="98"/>
      <c r="U945" s="98"/>
      <c r="V945" s="101"/>
      <c r="W945" s="104"/>
      <c r="X945" s="98"/>
      <c r="Y945" s="98"/>
      <c r="Z945" s="98"/>
      <c r="AA945" s="101"/>
      <c r="AB945" s="135"/>
    </row>
    <row r="946" spans="1:32" ht="13.5" customHeight="1" thickTop="1" x14ac:dyDescent="0.25">
      <c r="A946" s="140">
        <f>ESCUADRAS!B180</f>
        <v>174</v>
      </c>
      <c r="B946" s="136">
        <f>ESCUADRAS!C179</f>
        <v>0</v>
      </c>
      <c r="C946" s="111"/>
      <c r="D946" s="105"/>
      <c r="E946" s="105"/>
      <c r="F946" s="105"/>
      <c r="G946" s="108"/>
      <c r="H946" s="122"/>
      <c r="I946" s="120"/>
      <c r="J946" s="120"/>
      <c r="K946" s="120"/>
      <c r="L946" s="121"/>
      <c r="M946" s="122"/>
      <c r="N946" s="120"/>
      <c r="O946" s="120"/>
      <c r="P946" s="120"/>
      <c r="Q946" s="121"/>
      <c r="R946" s="122"/>
      <c r="S946" s="120"/>
      <c r="T946" s="120"/>
      <c r="U946" s="120"/>
      <c r="V946" s="121"/>
      <c r="W946" s="122"/>
      <c r="X946" s="120"/>
      <c r="Y946" s="120"/>
      <c r="Z946" s="120"/>
      <c r="AA946" s="121"/>
      <c r="AB946" s="133"/>
    </row>
    <row r="947" spans="1:32" ht="14.25" customHeight="1" x14ac:dyDescent="0.25">
      <c r="A947" s="141"/>
      <c r="B947" s="137"/>
      <c r="C947" s="112"/>
      <c r="D947" s="106"/>
      <c r="E947" s="106"/>
      <c r="F947" s="106"/>
      <c r="G947" s="109"/>
      <c r="H947" s="103"/>
      <c r="I947" s="97"/>
      <c r="J947" s="97"/>
      <c r="K947" s="97"/>
      <c r="L947" s="100"/>
      <c r="M947" s="103"/>
      <c r="N947" s="97"/>
      <c r="O947" s="97"/>
      <c r="P947" s="97"/>
      <c r="Q947" s="100"/>
      <c r="R947" s="103"/>
      <c r="S947" s="97"/>
      <c r="T947" s="97"/>
      <c r="U947" s="97"/>
      <c r="V947" s="100"/>
      <c r="W947" s="103"/>
      <c r="X947" s="97"/>
      <c r="Y947" s="97"/>
      <c r="Z947" s="97"/>
      <c r="AA947" s="100"/>
      <c r="AB947" s="134"/>
    </row>
    <row r="948" spans="1:32" ht="13.5" customHeight="1" thickBot="1" x14ac:dyDescent="0.3">
      <c r="A948" s="142"/>
      <c r="B948" s="138"/>
      <c r="C948" s="113"/>
      <c r="D948" s="107"/>
      <c r="E948" s="107"/>
      <c r="F948" s="107"/>
      <c r="G948" s="110"/>
      <c r="H948" s="104"/>
      <c r="I948" s="98"/>
      <c r="J948" s="98"/>
      <c r="K948" s="98"/>
      <c r="L948" s="101"/>
      <c r="M948" s="104"/>
      <c r="N948" s="98"/>
      <c r="O948" s="98"/>
      <c r="P948" s="98"/>
      <c r="Q948" s="101"/>
      <c r="R948" s="104"/>
      <c r="S948" s="98"/>
      <c r="T948" s="98"/>
      <c r="U948" s="98"/>
      <c r="V948" s="101"/>
      <c r="W948" s="104"/>
      <c r="X948" s="98"/>
      <c r="Y948" s="98"/>
      <c r="Z948" s="98"/>
      <c r="AA948" s="101"/>
      <c r="AB948" s="135"/>
    </row>
    <row r="950" spans="1:32" ht="15" x14ac:dyDescent="0.25">
      <c r="A950" s="28"/>
      <c r="B950" s="26" t="s">
        <v>35</v>
      </c>
      <c r="E950" s="21" t="s">
        <v>41</v>
      </c>
      <c r="I950" s="21" t="s">
        <v>42</v>
      </c>
      <c r="M950" s="21" t="s">
        <v>43</v>
      </c>
      <c r="Q950" s="21" t="s">
        <v>44</v>
      </c>
      <c r="U950" s="21" t="s">
        <v>45</v>
      </c>
      <c r="Y950" s="21" t="s">
        <v>46</v>
      </c>
    </row>
    <row r="957" spans="1:32" ht="24.6" x14ac:dyDescent="0.25">
      <c r="A957" s="144" t="str">
        <f>'INSCRIPCION '!A$1</f>
        <v>TIRADA</v>
      </c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</row>
    <row r="958" spans="1:32" ht="24.6" x14ac:dyDescent="0.4">
      <c r="A958" s="23"/>
      <c r="B958" s="23"/>
    </row>
    <row r="959" spans="1:32" ht="22.8" x14ac:dyDescent="0.25">
      <c r="A959" s="132" t="str">
        <f>'INSCRIPCION '!A$2</f>
        <v>CAMPO DE TIRO LA ISLA</v>
      </c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</row>
    <row r="960" spans="1:32" ht="20.399999999999999" x14ac:dyDescent="0.25">
      <c r="A960" s="143" t="str">
        <f>'INSCRIPCION '!A$3</f>
        <v>XXX PLATOS</v>
      </c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143"/>
      <c r="N960" s="143"/>
      <c r="O960" s="143"/>
      <c r="P960" s="143"/>
      <c r="Q960" s="143"/>
      <c r="R960" s="143"/>
      <c r="S960" s="143"/>
      <c r="T960" s="143"/>
      <c r="U960" s="143"/>
      <c r="V960" s="143"/>
      <c r="W960" s="143"/>
      <c r="X960" s="143"/>
      <c r="Y960" s="143"/>
      <c r="Z960" s="143"/>
      <c r="AA960" s="143"/>
      <c r="AB960" s="143"/>
      <c r="AC960" s="143"/>
      <c r="AD960" s="143"/>
      <c r="AE960" s="143"/>
      <c r="AF960" s="143"/>
    </row>
    <row r="961" spans="1:28" ht="22.8" x14ac:dyDescent="0.4">
      <c r="A961" s="24"/>
      <c r="B961" s="24"/>
    </row>
    <row r="962" spans="1:28" ht="17.399999999999999" x14ac:dyDescent="0.3">
      <c r="A962" s="25" t="s">
        <v>40</v>
      </c>
      <c r="B962" s="25"/>
      <c r="J962" s="9" t="s">
        <v>6</v>
      </c>
      <c r="K962" s="9"/>
      <c r="L962" s="9"/>
      <c r="M962" s="9"/>
      <c r="N962" s="9"/>
      <c r="O962" s="22">
        <v>3</v>
      </c>
      <c r="P962" s="22"/>
      <c r="Q962" s="8"/>
      <c r="R962" s="8"/>
      <c r="S962" s="7"/>
      <c r="T962" s="8"/>
      <c r="U962" s="8"/>
      <c r="V962" s="9" t="s">
        <v>7</v>
      </c>
      <c r="W962" s="9"/>
      <c r="X962" s="9"/>
      <c r="Y962" s="9"/>
      <c r="Z962" s="22">
        <v>2</v>
      </c>
      <c r="AA962" s="22"/>
    </row>
    <row r="963" spans="1:28" ht="13.8" thickBot="1" x14ac:dyDescent="0.3"/>
    <row r="964" spans="1:28" ht="15.6" thickBot="1" x14ac:dyDescent="0.3">
      <c r="A964" s="27" t="s">
        <v>0</v>
      </c>
      <c r="B964" s="27" t="s">
        <v>8</v>
      </c>
      <c r="C964" s="47">
        <v>1</v>
      </c>
      <c r="D964" s="48">
        <v>2</v>
      </c>
      <c r="E964" s="48">
        <v>3</v>
      </c>
      <c r="F964" s="48">
        <v>4</v>
      </c>
      <c r="G964" s="49">
        <v>5</v>
      </c>
      <c r="H964" s="47">
        <v>6</v>
      </c>
      <c r="I964" s="48">
        <v>7</v>
      </c>
      <c r="J964" s="48">
        <v>8</v>
      </c>
      <c r="K964" s="48">
        <v>9</v>
      </c>
      <c r="L964" s="49">
        <v>10</v>
      </c>
      <c r="M964" s="47">
        <v>11</v>
      </c>
      <c r="N964" s="48">
        <v>12</v>
      </c>
      <c r="O964" s="48">
        <v>13</v>
      </c>
      <c r="P964" s="48">
        <v>14</v>
      </c>
      <c r="Q964" s="49">
        <v>15</v>
      </c>
      <c r="R964" s="47">
        <v>16</v>
      </c>
      <c r="S964" s="48">
        <v>17</v>
      </c>
      <c r="T964" s="48">
        <v>18</v>
      </c>
      <c r="U964" s="48">
        <v>19</v>
      </c>
      <c r="V964" s="49">
        <v>20</v>
      </c>
      <c r="W964" s="47">
        <v>21</v>
      </c>
      <c r="X964" s="48">
        <v>22</v>
      </c>
      <c r="Y964" s="48">
        <v>23</v>
      </c>
      <c r="Z964" s="48">
        <v>24</v>
      </c>
      <c r="AA964" s="49">
        <v>25</v>
      </c>
      <c r="AB964" s="30" t="s">
        <v>1</v>
      </c>
    </row>
    <row r="965" spans="1:28" ht="14.25" customHeight="1" thickTop="1" thickBot="1" x14ac:dyDescent="0.3">
      <c r="A965" s="139">
        <f>ESCUADRAS!B181</f>
        <v>175</v>
      </c>
      <c r="B965" s="136">
        <f>ESCUADRAS!C186</f>
        <v>0</v>
      </c>
      <c r="C965" s="129"/>
      <c r="D965" s="114"/>
      <c r="E965" s="114"/>
      <c r="F965" s="114"/>
      <c r="G965" s="117"/>
      <c r="H965" s="111"/>
      <c r="I965" s="105"/>
      <c r="J965" s="105"/>
      <c r="K965" s="105"/>
      <c r="L965" s="108"/>
      <c r="M965" s="111"/>
      <c r="N965" s="105"/>
      <c r="O965" s="105"/>
      <c r="P965" s="105"/>
      <c r="Q965" s="108"/>
      <c r="R965" s="111"/>
      <c r="S965" s="105"/>
      <c r="T965" s="105"/>
      <c r="U965" s="105"/>
      <c r="V965" s="108"/>
      <c r="W965" s="111"/>
      <c r="X965" s="105"/>
      <c r="Y965" s="105"/>
      <c r="Z965" s="105"/>
      <c r="AA965" s="108"/>
      <c r="AB965" s="133"/>
    </row>
    <row r="966" spans="1:28" ht="13.95" customHeight="1" thickTop="1" thickBot="1" x14ac:dyDescent="0.3">
      <c r="A966" s="139"/>
      <c r="B966" s="137"/>
      <c r="C966" s="130"/>
      <c r="D966" s="115"/>
      <c r="E966" s="115"/>
      <c r="F966" s="115"/>
      <c r="G966" s="118"/>
      <c r="H966" s="112"/>
      <c r="I966" s="106"/>
      <c r="J966" s="106"/>
      <c r="K966" s="106"/>
      <c r="L966" s="109"/>
      <c r="M966" s="112"/>
      <c r="N966" s="106"/>
      <c r="O966" s="106"/>
      <c r="P966" s="106"/>
      <c r="Q966" s="109"/>
      <c r="R966" s="112"/>
      <c r="S966" s="106"/>
      <c r="T966" s="106"/>
      <c r="U966" s="106"/>
      <c r="V966" s="109"/>
      <c r="W966" s="112"/>
      <c r="X966" s="106"/>
      <c r="Y966" s="106"/>
      <c r="Z966" s="106"/>
      <c r="AA966" s="109"/>
      <c r="AB966" s="134"/>
    </row>
    <row r="967" spans="1:28" ht="13.95" customHeight="1" thickTop="1" thickBot="1" x14ac:dyDescent="0.3">
      <c r="A967" s="139"/>
      <c r="B967" s="138"/>
      <c r="C967" s="131"/>
      <c r="D967" s="116"/>
      <c r="E967" s="116"/>
      <c r="F967" s="116"/>
      <c r="G967" s="119"/>
      <c r="H967" s="113"/>
      <c r="I967" s="107"/>
      <c r="J967" s="107"/>
      <c r="K967" s="107"/>
      <c r="L967" s="110"/>
      <c r="M967" s="113"/>
      <c r="N967" s="107"/>
      <c r="O967" s="107"/>
      <c r="P967" s="107"/>
      <c r="Q967" s="110"/>
      <c r="R967" s="113"/>
      <c r="S967" s="107"/>
      <c r="T967" s="107"/>
      <c r="U967" s="107"/>
      <c r="V967" s="110"/>
      <c r="W967" s="113"/>
      <c r="X967" s="107"/>
      <c r="Y967" s="107"/>
      <c r="Z967" s="107"/>
      <c r="AA967" s="110"/>
      <c r="AB967" s="135"/>
    </row>
    <row r="968" spans="1:28" ht="14.25" customHeight="1" thickTop="1" x14ac:dyDescent="0.25">
      <c r="A968" s="140">
        <f>ESCUADRAS!B182</f>
        <v>176</v>
      </c>
      <c r="B968" s="136">
        <f>ESCUADRAS!C181</f>
        <v>0</v>
      </c>
      <c r="C968" s="93"/>
      <c r="D968" s="123"/>
      <c r="E968" s="123"/>
      <c r="F968" s="123"/>
      <c r="G968" s="126"/>
      <c r="H968" s="102"/>
      <c r="I968" s="96"/>
      <c r="J968" s="96"/>
      <c r="K968" s="96"/>
      <c r="L968" s="99"/>
      <c r="M968" s="102"/>
      <c r="N968" s="96"/>
      <c r="O968" s="96"/>
      <c r="P968" s="96"/>
      <c r="Q968" s="99"/>
      <c r="R968" s="102"/>
      <c r="S968" s="96"/>
      <c r="T968" s="96"/>
      <c r="U968" s="96"/>
      <c r="V968" s="99"/>
      <c r="W968" s="111"/>
      <c r="X968" s="105"/>
      <c r="Y968" s="105"/>
      <c r="Z968" s="105"/>
      <c r="AA968" s="108"/>
      <c r="AB968" s="133"/>
    </row>
    <row r="969" spans="1:28" ht="13.95" customHeight="1" x14ac:dyDescent="0.25">
      <c r="A969" s="141"/>
      <c r="B969" s="137"/>
      <c r="C969" s="94"/>
      <c r="D969" s="124"/>
      <c r="E969" s="124"/>
      <c r="F969" s="124"/>
      <c r="G969" s="127"/>
      <c r="H969" s="103"/>
      <c r="I969" s="97"/>
      <c r="J969" s="97"/>
      <c r="K969" s="97"/>
      <c r="L969" s="100"/>
      <c r="M969" s="103"/>
      <c r="N969" s="97"/>
      <c r="O969" s="97"/>
      <c r="P969" s="97"/>
      <c r="Q969" s="100"/>
      <c r="R969" s="103"/>
      <c r="S969" s="97"/>
      <c r="T969" s="97"/>
      <c r="U969" s="97"/>
      <c r="V969" s="100"/>
      <c r="W969" s="112"/>
      <c r="X969" s="106"/>
      <c r="Y969" s="106"/>
      <c r="Z969" s="106"/>
      <c r="AA969" s="109"/>
      <c r="AB969" s="134"/>
    </row>
    <row r="970" spans="1:28" ht="13.95" customHeight="1" thickBot="1" x14ac:dyDescent="0.3">
      <c r="A970" s="142"/>
      <c r="B970" s="138"/>
      <c r="C970" s="95"/>
      <c r="D970" s="125"/>
      <c r="E970" s="125"/>
      <c r="F970" s="125"/>
      <c r="G970" s="128"/>
      <c r="H970" s="104"/>
      <c r="I970" s="98"/>
      <c r="J970" s="98"/>
      <c r="K970" s="98"/>
      <c r="L970" s="101"/>
      <c r="M970" s="104"/>
      <c r="N970" s="98"/>
      <c r="O970" s="98"/>
      <c r="P970" s="98"/>
      <c r="Q970" s="101"/>
      <c r="R970" s="104"/>
      <c r="S970" s="98"/>
      <c r="T970" s="98"/>
      <c r="U970" s="98"/>
      <c r="V970" s="101"/>
      <c r="W970" s="113"/>
      <c r="X970" s="107"/>
      <c r="Y970" s="107"/>
      <c r="Z970" s="107"/>
      <c r="AA970" s="110"/>
      <c r="AB970" s="135"/>
    </row>
    <row r="971" spans="1:28" ht="14.25" customHeight="1" thickTop="1" thickBot="1" x14ac:dyDescent="0.3">
      <c r="A971" s="139">
        <f>ESCUADRAS!B183</f>
        <v>177</v>
      </c>
      <c r="B971" s="136">
        <f>ESCUADRAS!C182</f>
        <v>0</v>
      </c>
      <c r="C971" s="93"/>
      <c r="D971" s="123"/>
      <c r="E971" s="123"/>
      <c r="F971" s="123"/>
      <c r="G971" s="126"/>
      <c r="H971" s="102"/>
      <c r="I971" s="96"/>
      <c r="J971" s="96"/>
      <c r="K971" s="96"/>
      <c r="L971" s="99"/>
      <c r="M971" s="102"/>
      <c r="N971" s="96"/>
      <c r="O971" s="96"/>
      <c r="P971" s="96"/>
      <c r="Q971" s="99"/>
      <c r="R971" s="111"/>
      <c r="S971" s="105"/>
      <c r="T971" s="105"/>
      <c r="U971" s="105"/>
      <c r="V971" s="108"/>
      <c r="W971" s="102"/>
      <c r="X971" s="96"/>
      <c r="Y971" s="96"/>
      <c r="Z971" s="96"/>
      <c r="AA971" s="99"/>
      <c r="AB971" s="133"/>
    </row>
    <row r="972" spans="1:28" ht="13.95" customHeight="1" thickTop="1" thickBot="1" x14ac:dyDescent="0.3">
      <c r="A972" s="139"/>
      <c r="B972" s="137"/>
      <c r="C972" s="94"/>
      <c r="D972" s="124"/>
      <c r="E972" s="124"/>
      <c r="F972" s="124"/>
      <c r="G972" s="127"/>
      <c r="H972" s="103"/>
      <c r="I972" s="97"/>
      <c r="J972" s="97"/>
      <c r="K972" s="97"/>
      <c r="L972" s="100"/>
      <c r="M972" s="103"/>
      <c r="N972" s="97"/>
      <c r="O972" s="97"/>
      <c r="P972" s="97"/>
      <c r="Q972" s="100"/>
      <c r="R972" s="112"/>
      <c r="S972" s="106"/>
      <c r="T972" s="106"/>
      <c r="U972" s="106"/>
      <c r="V972" s="109"/>
      <c r="W972" s="103"/>
      <c r="X972" s="97"/>
      <c r="Y972" s="97"/>
      <c r="Z972" s="97"/>
      <c r="AA972" s="100"/>
      <c r="AB972" s="134"/>
    </row>
    <row r="973" spans="1:28" ht="13.95" customHeight="1" thickTop="1" thickBot="1" x14ac:dyDescent="0.3">
      <c r="A973" s="139"/>
      <c r="B973" s="138"/>
      <c r="C973" s="95"/>
      <c r="D973" s="125"/>
      <c r="E973" s="125"/>
      <c r="F973" s="125"/>
      <c r="G973" s="128"/>
      <c r="H973" s="104"/>
      <c r="I973" s="98"/>
      <c r="J973" s="98"/>
      <c r="K973" s="98"/>
      <c r="L973" s="101"/>
      <c r="M973" s="104"/>
      <c r="N973" s="98"/>
      <c r="O973" s="98"/>
      <c r="P973" s="98"/>
      <c r="Q973" s="101"/>
      <c r="R973" s="113"/>
      <c r="S973" s="107"/>
      <c r="T973" s="107"/>
      <c r="U973" s="107"/>
      <c r="V973" s="110"/>
      <c r="W973" s="104"/>
      <c r="X973" s="98"/>
      <c r="Y973" s="98"/>
      <c r="Z973" s="98"/>
      <c r="AA973" s="101"/>
      <c r="AB973" s="135"/>
    </row>
    <row r="974" spans="1:28" ht="13.5" customHeight="1" thickTop="1" x14ac:dyDescent="0.25">
      <c r="A974" s="140">
        <f>ESCUADRAS!B184</f>
        <v>178</v>
      </c>
      <c r="B974" s="136">
        <f>ESCUADRAS!C183</f>
        <v>0</v>
      </c>
      <c r="C974" s="93"/>
      <c r="D974" s="123"/>
      <c r="E974" s="123"/>
      <c r="F974" s="123"/>
      <c r="G974" s="126"/>
      <c r="H974" s="102"/>
      <c r="I974" s="96"/>
      <c r="J974" s="96"/>
      <c r="K974" s="96"/>
      <c r="L974" s="99"/>
      <c r="M974" s="111"/>
      <c r="N974" s="105"/>
      <c r="O974" s="105"/>
      <c r="P974" s="105"/>
      <c r="Q974" s="108"/>
      <c r="R974" s="102"/>
      <c r="S974" s="96"/>
      <c r="T974" s="96"/>
      <c r="U974" s="96"/>
      <c r="V974" s="99"/>
      <c r="W974" s="102"/>
      <c r="X974" s="96"/>
      <c r="Y974" s="96"/>
      <c r="Z974" s="96"/>
      <c r="AA974" s="99"/>
      <c r="AB974" s="133"/>
    </row>
    <row r="975" spans="1:28" ht="13.95" customHeight="1" x14ac:dyDescent="0.25">
      <c r="A975" s="141"/>
      <c r="B975" s="137"/>
      <c r="C975" s="94"/>
      <c r="D975" s="124"/>
      <c r="E975" s="124"/>
      <c r="F975" s="124"/>
      <c r="G975" s="127"/>
      <c r="H975" s="103"/>
      <c r="I975" s="97"/>
      <c r="J975" s="97"/>
      <c r="K975" s="97"/>
      <c r="L975" s="100"/>
      <c r="M975" s="112"/>
      <c r="N975" s="106"/>
      <c r="O975" s="106"/>
      <c r="P975" s="106"/>
      <c r="Q975" s="109"/>
      <c r="R975" s="103"/>
      <c r="S975" s="97"/>
      <c r="T975" s="97"/>
      <c r="U975" s="97"/>
      <c r="V975" s="100"/>
      <c r="W975" s="103"/>
      <c r="X975" s="97"/>
      <c r="Y975" s="97"/>
      <c r="Z975" s="97"/>
      <c r="AA975" s="100"/>
      <c r="AB975" s="134"/>
    </row>
    <row r="976" spans="1:28" ht="13.95" customHeight="1" thickBot="1" x14ac:dyDescent="0.3">
      <c r="A976" s="142"/>
      <c r="B976" s="138"/>
      <c r="C976" s="95"/>
      <c r="D976" s="125"/>
      <c r="E976" s="125"/>
      <c r="F976" s="125"/>
      <c r="G976" s="128"/>
      <c r="H976" s="104"/>
      <c r="I976" s="98"/>
      <c r="J976" s="98"/>
      <c r="K976" s="98"/>
      <c r="L976" s="101"/>
      <c r="M976" s="113"/>
      <c r="N976" s="107"/>
      <c r="O976" s="107"/>
      <c r="P976" s="107"/>
      <c r="Q976" s="110"/>
      <c r="R976" s="104"/>
      <c r="S976" s="98"/>
      <c r="T976" s="98"/>
      <c r="U976" s="98"/>
      <c r="V976" s="101"/>
      <c r="W976" s="104"/>
      <c r="X976" s="98"/>
      <c r="Y976" s="98"/>
      <c r="Z976" s="98"/>
      <c r="AA976" s="101"/>
      <c r="AB976" s="135"/>
    </row>
    <row r="977" spans="1:28" ht="14.25" customHeight="1" thickTop="1" thickBot="1" x14ac:dyDescent="0.3">
      <c r="A977" s="139">
        <f>ESCUADRAS!B185</f>
        <v>179</v>
      </c>
      <c r="B977" s="136">
        <f>ESCUADRAS!C184</f>
        <v>0</v>
      </c>
      <c r="C977" s="93"/>
      <c r="D977" s="123"/>
      <c r="E977" s="123"/>
      <c r="F977" s="123"/>
      <c r="G977" s="126"/>
      <c r="H977" s="111"/>
      <c r="I977" s="105"/>
      <c r="J977" s="105"/>
      <c r="K977" s="105"/>
      <c r="L977" s="108"/>
      <c r="M977" s="102"/>
      <c r="N977" s="96"/>
      <c r="O977" s="96"/>
      <c r="P977" s="96"/>
      <c r="Q977" s="99"/>
      <c r="R977" s="102"/>
      <c r="S977" s="96"/>
      <c r="T977" s="96"/>
      <c r="U977" s="96"/>
      <c r="V977" s="99"/>
      <c r="W977" s="102"/>
      <c r="X977" s="96"/>
      <c r="Y977" s="96"/>
      <c r="Z977" s="96"/>
      <c r="AA977" s="99"/>
      <c r="AB977" s="133"/>
    </row>
    <row r="978" spans="1:28" ht="13.95" customHeight="1" thickTop="1" thickBot="1" x14ac:dyDescent="0.3">
      <c r="A978" s="139"/>
      <c r="B978" s="137"/>
      <c r="C978" s="94"/>
      <c r="D978" s="124"/>
      <c r="E978" s="124"/>
      <c r="F978" s="124"/>
      <c r="G978" s="127"/>
      <c r="H978" s="112"/>
      <c r="I978" s="106"/>
      <c r="J978" s="106"/>
      <c r="K978" s="106"/>
      <c r="L978" s="109"/>
      <c r="M978" s="103"/>
      <c r="N978" s="97"/>
      <c r="O978" s="97"/>
      <c r="P978" s="97"/>
      <c r="Q978" s="100"/>
      <c r="R978" s="103"/>
      <c r="S978" s="97"/>
      <c r="T978" s="97"/>
      <c r="U978" s="97"/>
      <c r="V978" s="100"/>
      <c r="W978" s="103"/>
      <c r="X978" s="97"/>
      <c r="Y978" s="97"/>
      <c r="Z978" s="97"/>
      <c r="AA978" s="100"/>
      <c r="AB978" s="134"/>
    </row>
    <row r="979" spans="1:28" ht="13.95" customHeight="1" thickTop="1" thickBot="1" x14ac:dyDescent="0.3">
      <c r="A979" s="139"/>
      <c r="B979" s="138"/>
      <c r="C979" s="95"/>
      <c r="D979" s="125"/>
      <c r="E979" s="125"/>
      <c r="F979" s="125"/>
      <c r="G979" s="128"/>
      <c r="H979" s="113"/>
      <c r="I979" s="107"/>
      <c r="J979" s="107"/>
      <c r="K979" s="107"/>
      <c r="L979" s="110"/>
      <c r="M979" s="104"/>
      <c r="N979" s="98"/>
      <c r="O979" s="98"/>
      <c r="P979" s="98"/>
      <c r="Q979" s="101"/>
      <c r="R979" s="104"/>
      <c r="S979" s="98"/>
      <c r="T979" s="98"/>
      <c r="U979" s="98"/>
      <c r="V979" s="101"/>
      <c r="W979" s="104"/>
      <c r="X979" s="98"/>
      <c r="Y979" s="98"/>
      <c r="Z979" s="98"/>
      <c r="AA979" s="101"/>
      <c r="AB979" s="135"/>
    </row>
    <row r="980" spans="1:28" ht="13.5" customHeight="1" thickTop="1" x14ac:dyDescent="0.25">
      <c r="A980" s="140">
        <f>ESCUADRAS!B186</f>
        <v>180</v>
      </c>
      <c r="B980" s="136">
        <f>ESCUADRAS!C185</f>
        <v>0</v>
      </c>
      <c r="C980" s="111"/>
      <c r="D980" s="105"/>
      <c r="E980" s="105"/>
      <c r="F980" s="105"/>
      <c r="G980" s="108"/>
      <c r="H980" s="122"/>
      <c r="I980" s="120"/>
      <c r="J980" s="120"/>
      <c r="K980" s="120"/>
      <c r="L980" s="121"/>
      <c r="M980" s="122"/>
      <c r="N980" s="120"/>
      <c r="O980" s="120"/>
      <c r="P980" s="120"/>
      <c r="Q980" s="121"/>
      <c r="R980" s="122"/>
      <c r="S980" s="120"/>
      <c r="T980" s="120"/>
      <c r="U980" s="120"/>
      <c r="V980" s="121"/>
      <c r="W980" s="122"/>
      <c r="X980" s="120"/>
      <c r="Y980" s="120"/>
      <c r="Z980" s="120"/>
      <c r="AA980" s="121"/>
      <c r="AB980" s="133"/>
    </row>
    <row r="981" spans="1:28" ht="13.95" customHeight="1" x14ac:dyDescent="0.25">
      <c r="A981" s="141"/>
      <c r="B981" s="137"/>
      <c r="C981" s="112"/>
      <c r="D981" s="106"/>
      <c r="E981" s="106"/>
      <c r="F981" s="106"/>
      <c r="G981" s="109"/>
      <c r="H981" s="103"/>
      <c r="I981" s="97"/>
      <c r="J981" s="97"/>
      <c r="K981" s="97"/>
      <c r="L981" s="100"/>
      <c r="M981" s="103"/>
      <c r="N981" s="97"/>
      <c r="O981" s="97"/>
      <c r="P981" s="97"/>
      <c r="Q981" s="100"/>
      <c r="R981" s="103"/>
      <c r="S981" s="97"/>
      <c r="T981" s="97"/>
      <c r="U981" s="97"/>
      <c r="V981" s="100"/>
      <c r="W981" s="103"/>
      <c r="X981" s="97"/>
      <c r="Y981" s="97"/>
      <c r="Z981" s="97"/>
      <c r="AA981" s="100"/>
      <c r="AB981" s="134"/>
    </row>
    <row r="982" spans="1:28" ht="13.95" customHeight="1" thickBot="1" x14ac:dyDescent="0.3">
      <c r="A982" s="142"/>
      <c r="B982" s="138"/>
      <c r="C982" s="113"/>
      <c r="D982" s="107"/>
      <c r="E982" s="107"/>
      <c r="F982" s="107"/>
      <c r="G982" s="110"/>
      <c r="H982" s="104"/>
      <c r="I982" s="98"/>
      <c r="J982" s="98"/>
      <c r="K982" s="98"/>
      <c r="L982" s="101"/>
      <c r="M982" s="104"/>
      <c r="N982" s="98"/>
      <c r="O982" s="98"/>
      <c r="P982" s="98"/>
      <c r="Q982" s="101"/>
      <c r="R982" s="104"/>
      <c r="S982" s="98"/>
      <c r="T982" s="98"/>
      <c r="U982" s="98"/>
      <c r="V982" s="101"/>
      <c r="W982" s="104"/>
      <c r="X982" s="98"/>
      <c r="Y982" s="98"/>
      <c r="Z982" s="98"/>
      <c r="AA982" s="101"/>
      <c r="AB982" s="135"/>
    </row>
    <row r="984" spans="1:28" ht="15" x14ac:dyDescent="0.25">
      <c r="A984" s="28"/>
      <c r="B984" s="26" t="s">
        <v>35</v>
      </c>
      <c r="E984" s="21" t="s">
        <v>41</v>
      </c>
      <c r="I984" s="21" t="s">
        <v>42</v>
      </c>
      <c r="M984" s="21" t="s">
        <v>43</v>
      </c>
      <c r="Q984" s="21" t="s">
        <v>44</v>
      </c>
      <c r="U984" s="21" t="s">
        <v>45</v>
      </c>
      <c r="Y984" s="21" t="s">
        <v>46</v>
      </c>
    </row>
    <row r="993" spans="1:32" ht="24.6" x14ac:dyDescent="0.25">
      <c r="A993" s="144" t="str">
        <f>'INSCRIPCION '!A$1</f>
        <v>TIRADA</v>
      </c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</row>
    <row r="994" spans="1:32" ht="24.6" x14ac:dyDescent="0.4">
      <c r="A994" s="23"/>
      <c r="B994" s="23"/>
    </row>
    <row r="995" spans="1:32" ht="22.8" x14ac:dyDescent="0.25">
      <c r="A995" s="132" t="str">
        <f>'INSCRIPCION '!A$2</f>
        <v>CAMPO DE TIRO LA ISLA</v>
      </c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L995" s="132"/>
      <c r="M995" s="132"/>
      <c r="N995" s="132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  <c r="AC995" s="132"/>
      <c r="AD995" s="132"/>
      <c r="AE995" s="132"/>
      <c r="AF995" s="132"/>
    </row>
    <row r="996" spans="1:32" ht="20.399999999999999" x14ac:dyDescent="0.25">
      <c r="A996" s="143" t="str">
        <f>'INSCRIPCION '!A$3</f>
        <v>XXX PLATOS</v>
      </c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143"/>
      <c r="N996" s="143"/>
      <c r="O996" s="143"/>
      <c r="P996" s="143"/>
      <c r="Q996" s="143"/>
      <c r="R996" s="143"/>
      <c r="S996" s="143"/>
      <c r="T996" s="143"/>
      <c r="U996" s="143"/>
      <c r="V996" s="143"/>
      <c r="W996" s="143"/>
      <c r="X996" s="143"/>
      <c r="Y996" s="143"/>
      <c r="Z996" s="143"/>
      <c r="AA996" s="143"/>
      <c r="AB996" s="143"/>
      <c r="AC996" s="143"/>
      <c r="AD996" s="143"/>
      <c r="AE996" s="143"/>
      <c r="AF996" s="143"/>
    </row>
    <row r="997" spans="1:32" ht="22.8" x14ac:dyDescent="0.4">
      <c r="A997" s="24"/>
      <c r="B997" s="24"/>
    </row>
    <row r="998" spans="1:32" ht="17.399999999999999" x14ac:dyDescent="0.3">
      <c r="A998" s="25" t="s">
        <v>67</v>
      </c>
      <c r="B998" s="25"/>
      <c r="J998" s="9" t="s">
        <v>6</v>
      </c>
      <c r="K998" s="9"/>
      <c r="L998" s="9"/>
      <c r="M998" s="9"/>
      <c r="N998" s="9"/>
      <c r="O998" s="22">
        <v>4</v>
      </c>
      <c r="P998" s="22"/>
      <c r="Q998" s="8"/>
      <c r="R998" s="8"/>
      <c r="S998" s="7"/>
      <c r="T998" s="8"/>
      <c r="U998" s="8"/>
      <c r="V998" s="9" t="s">
        <v>7</v>
      </c>
      <c r="W998" s="9"/>
      <c r="X998" s="9"/>
      <c r="Y998" s="9"/>
      <c r="Z998" s="22">
        <v>2</v>
      </c>
      <c r="AA998" s="22"/>
    </row>
    <row r="999" spans="1:32" ht="13.8" thickBot="1" x14ac:dyDescent="0.3"/>
    <row r="1000" spans="1:32" ht="15.6" thickBot="1" x14ac:dyDescent="0.3">
      <c r="A1000" s="27" t="s">
        <v>0</v>
      </c>
      <c r="B1000" s="27" t="s">
        <v>8</v>
      </c>
      <c r="C1000" s="47">
        <v>1</v>
      </c>
      <c r="D1000" s="48">
        <v>2</v>
      </c>
      <c r="E1000" s="48">
        <v>3</v>
      </c>
      <c r="F1000" s="48">
        <v>4</v>
      </c>
      <c r="G1000" s="49">
        <v>5</v>
      </c>
      <c r="H1000" s="47">
        <v>6</v>
      </c>
      <c r="I1000" s="48">
        <v>7</v>
      </c>
      <c r="J1000" s="48">
        <v>8</v>
      </c>
      <c r="K1000" s="48">
        <v>9</v>
      </c>
      <c r="L1000" s="49">
        <v>10</v>
      </c>
      <c r="M1000" s="47">
        <v>11</v>
      </c>
      <c r="N1000" s="48">
        <v>12</v>
      </c>
      <c r="O1000" s="48">
        <v>13</v>
      </c>
      <c r="P1000" s="48">
        <v>14</v>
      </c>
      <c r="Q1000" s="49">
        <v>15</v>
      </c>
      <c r="R1000" s="47">
        <v>16</v>
      </c>
      <c r="S1000" s="48">
        <v>17</v>
      </c>
      <c r="T1000" s="48">
        <v>18</v>
      </c>
      <c r="U1000" s="48">
        <v>19</v>
      </c>
      <c r="V1000" s="49">
        <v>20</v>
      </c>
      <c r="W1000" s="47">
        <v>21</v>
      </c>
      <c r="X1000" s="48">
        <v>22</v>
      </c>
      <c r="Y1000" s="48">
        <v>23</v>
      </c>
      <c r="Z1000" s="48">
        <v>24</v>
      </c>
      <c r="AA1000" s="49">
        <v>25</v>
      </c>
      <c r="AB1000" s="30" t="s">
        <v>1</v>
      </c>
    </row>
    <row r="1001" spans="1:32" ht="14.25" customHeight="1" thickTop="1" thickBot="1" x14ac:dyDescent="0.3">
      <c r="A1001" s="139">
        <v>181</v>
      </c>
      <c r="B1001" s="148">
        <f>ESCUADRAS!C192</f>
        <v>0</v>
      </c>
      <c r="C1001" s="129"/>
      <c r="D1001" s="114"/>
      <c r="E1001" s="114"/>
      <c r="F1001" s="114"/>
      <c r="G1001" s="117"/>
      <c r="H1001" s="111"/>
      <c r="I1001" s="105"/>
      <c r="J1001" s="105"/>
      <c r="K1001" s="105"/>
      <c r="L1001" s="108"/>
      <c r="M1001" s="111"/>
      <c r="N1001" s="105"/>
      <c r="O1001" s="105"/>
      <c r="P1001" s="105"/>
      <c r="Q1001" s="108"/>
      <c r="R1001" s="111"/>
      <c r="S1001" s="105"/>
      <c r="T1001" s="105"/>
      <c r="U1001" s="105"/>
      <c r="V1001" s="108"/>
      <c r="W1001" s="111"/>
      <c r="X1001" s="105"/>
      <c r="Y1001" s="105"/>
      <c r="Z1001" s="105"/>
      <c r="AA1001" s="108"/>
      <c r="AB1001" s="133"/>
    </row>
    <row r="1002" spans="1:32" ht="14.25" customHeight="1" thickTop="1" thickBot="1" x14ac:dyDescent="0.3">
      <c r="A1002" s="139"/>
      <c r="B1002" s="148"/>
      <c r="C1002" s="130"/>
      <c r="D1002" s="115"/>
      <c r="E1002" s="115"/>
      <c r="F1002" s="115"/>
      <c r="G1002" s="118"/>
      <c r="H1002" s="112"/>
      <c r="I1002" s="106"/>
      <c r="J1002" s="106"/>
      <c r="K1002" s="106"/>
      <c r="L1002" s="109"/>
      <c r="M1002" s="112"/>
      <c r="N1002" s="106"/>
      <c r="O1002" s="106"/>
      <c r="P1002" s="106"/>
      <c r="Q1002" s="109"/>
      <c r="R1002" s="112"/>
      <c r="S1002" s="106"/>
      <c r="T1002" s="106"/>
      <c r="U1002" s="106"/>
      <c r="V1002" s="109"/>
      <c r="W1002" s="112"/>
      <c r="X1002" s="106"/>
      <c r="Y1002" s="106"/>
      <c r="Z1002" s="106"/>
      <c r="AA1002" s="109"/>
      <c r="AB1002" s="134"/>
    </row>
    <row r="1003" spans="1:32" ht="14.25" customHeight="1" thickTop="1" thickBot="1" x14ac:dyDescent="0.3">
      <c r="A1003" s="139"/>
      <c r="B1003" s="148"/>
      <c r="C1003" s="131"/>
      <c r="D1003" s="116"/>
      <c r="E1003" s="116"/>
      <c r="F1003" s="116"/>
      <c r="G1003" s="119"/>
      <c r="H1003" s="113"/>
      <c r="I1003" s="107"/>
      <c r="J1003" s="107"/>
      <c r="K1003" s="107"/>
      <c r="L1003" s="110"/>
      <c r="M1003" s="113"/>
      <c r="N1003" s="107"/>
      <c r="O1003" s="107"/>
      <c r="P1003" s="107"/>
      <c r="Q1003" s="110"/>
      <c r="R1003" s="113"/>
      <c r="S1003" s="107"/>
      <c r="T1003" s="107"/>
      <c r="U1003" s="107"/>
      <c r="V1003" s="110"/>
      <c r="W1003" s="113"/>
      <c r="X1003" s="107"/>
      <c r="Y1003" s="107"/>
      <c r="Z1003" s="107"/>
      <c r="AA1003" s="110"/>
      <c r="AB1003" s="135"/>
    </row>
    <row r="1004" spans="1:32" ht="13.5" customHeight="1" thickTop="1" thickBot="1" x14ac:dyDescent="0.3">
      <c r="A1004" s="149">
        <v>182</v>
      </c>
      <c r="B1004" s="148">
        <f>ESCUADRAS!C187</f>
        <v>0</v>
      </c>
      <c r="C1004" s="93"/>
      <c r="D1004" s="123"/>
      <c r="E1004" s="123"/>
      <c r="F1004" s="123"/>
      <c r="G1004" s="126"/>
      <c r="H1004" s="102"/>
      <c r="I1004" s="96"/>
      <c r="J1004" s="96"/>
      <c r="K1004" s="96"/>
      <c r="L1004" s="99"/>
      <c r="M1004" s="102"/>
      <c r="N1004" s="96"/>
      <c r="O1004" s="96"/>
      <c r="P1004" s="96"/>
      <c r="Q1004" s="99"/>
      <c r="R1004" s="102"/>
      <c r="S1004" s="96"/>
      <c r="T1004" s="96"/>
      <c r="U1004" s="96"/>
      <c r="V1004" s="99"/>
      <c r="W1004" s="111"/>
      <c r="X1004" s="105"/>
      <c r="Y1004" s="105"/>
      <c r="Z1004" s="105"/>
      <c r="AA1004" s="108"/>
      <c r="AB1004" s="133"/>
    </row>
    <row r="1005" spans="1:32" ht="12.75" customHeight="1" thickTop="1" thickBot="1" x14ac:dyDescent="0.3">
      <c r="A1005" s="149"/>
      <c r="B1005" s="148"/>
      <c r="C1005" s="94"/>
      <c r="D1005" s="124"/>
      <c r="E1005" s="124"/>
      <c r="F1005" s="124"/>
      <c r="G1005" s="127"/>
      <c r="H1005" s="103"/>
      <c r="I1005" s="97"/>
      <c r="J1005" s="97"/>
      <c r="K1005" s="97"/>
      <c r="L1005" s="100"/>
      <c r="M1005" s="103"/>
      <c r="N1005" s="97"/>
      <c r="O1005" s="97"/>
      <c r="P1005" s="97"/>
      <c r="Q1005" s="100"/>
      <c r="R1005" s="103"/>
      <c r="S1005" s="97"/>
      <c r="T1005" s="97"/>
      <c r="U1005" s="97"/>
      <c r="V1005" s="100"/>
      <c r="W1005" s="112"/>
      <c r="X1005" s="106"/>
      <c r="Y1005" s="106"/>
      <c r="Z1005" s="106"/>
      <c r="AA1005" s="109"/>
      <c r="AB1005" s="134"/>
    </row>
    <row r="1006" spans="1:32" ht="13.5" customHeight="1" thickTop="1" thickBot="1" x14ac:dyDescent="0.3">
      <c r="A1006" s="149"/>
      <c r="B1006" s="148"/>
      <c r="C1006" s="95"/>
      <c r="D1006" s="125"/>
      <c r="E1006" s="125"/>
      <c r="F1006" s="125"/>
      <c r="G1006" s="128"/>
      <c r="H1006" s="104"/>
      <c r="I1006" s="98"/>
      <c r="J1006" s="98"/>
      <c r="K1006" s="98"/>
      <c r="L1006" s="101"/>
      <c r="M1006" s="104"/>
      <c r="N1006" s="98"/>
      <c r="O1006" s="98"/>
      <c r="P1006" s="98"/>
      <c r="Q1006" s="101"/>
      <c r="R1006" s="104"/>
      <c r="S1006" s="98"/>
      <c r="T1006" s="98"/>
      <c r="U1006" s="98"/>
      <c r="V1006" s="101"/>
      <c r="W1006" s="113"/>
      <c r="X1006" s="107"/>
      <c r="Y1006" s="107"/>
      <c r="Z1006" s="107"/>
      <c r="AA1006" s="110"/>
      <c r="AB1006" s="135"/>
    </row>
    <row r="1007" spans="1:32" ht="14.25" customHeight="1" thickTop="1" thickBot="1" x14ac:dyDescent="0.3">
      <c r="A1007" s="139">
        <v>183</v>
      </c>
      <c r="B1007" s="148">
        <f>ESCUADRAS!C188</f>
        <v>0</v>
      </c>
      <c r="C1007" s="93"/>
      <c r="D1007" s="123"/>
      <c r="E1007" s="123"/>
      <c r="F1007" s="123"/>
      <c r="G1007" s="126"/>
      <c r="H1007" s="102"/>
      <c r="I1007" s="96"/>
      <c r="J1007" s="96"/>
      <c r="K1007" s="96"/>
      <c r="L1007" s="99"/>
      <c r="M1007" s="102"/>
      <c r="N1007" s="96"/>
      <c r="O1007" s="96"/>
      <c r="P1007" s="96"/>
      <c r="Q1007" s="99"/>
      <c r="R1007" s="111"/>
      <c r="S1007" s="105"/>
      <c r="T1007" s="105"/>
      <c r="U1007" s="105"/>
      <c r="V1007" s="108"/>
      <c r="W1007" s="102"/>
      <c r="X1007" s="96"/>
      <c r="Y1007" s="96"/>
      <c r="Z1007" s="96"/>
      <c r="AA1007" s="99"/>
      <c r="AB1007" s="133"/>
    </row>
    <row r="1008" spans="1:32" ht="14.25" customHeight="1" thickTop="1" thickBot="1" x14ac:dyDescent="0.3">
      <c r="A1008" s="139"/>
      <c r="B1008" s="148"/>
      <c r="C1008" s="94"/>
      <c r="D1008" s="124"/>
      <c r="E1008" s="124"/>
      <c r="F1008" s="124"/>
      <c r="G1008" s="127"/>
      <c r="H1008" s="103"/>
      <c r="I1008" s="97"/>
      <c r="J1008" s="97"/>
      <c r="K1008" s="97"/>
      <c r="L1008" s="100"/>
      <c r="M1008" s="103"/>
      <c r="N1008" s="97"/>
      <c r="O1008" s="97"/>
      <c r="P1008" s="97"/>
      <c r="Q1008" s="100"/>
      <c r="R1008" s="112"/>
      <c r="S1008" s="106"/>
      <c r="T1008" s="106"/>
      <c r="U1008" s="106"/>
      <c r="V1008" s="109"/>
      <c r="W1008" s="103"/>
      <c r="X1008" s="97"/>
      <c r="Y1008" s="97"/>
      <c r="Z1008" s="97"/>
      <c r="AA1008" s="100"/>
      <c r="AB1008" s="134"/>
    </row>
    <row r="1009" spans="1:28" ht="14.25" customHeight="1" thickTop="1" thickBot="1" x14ac:dyDescent="0.3">
      <c r="A1009" s="139"/>
      <c r="B1009" s="148"/>
      <c r="C1009" s="95"/>
      <c r="D1009" s="125"/>
      <c r="E1009" s="125"/>
      <c r="F1009" s="125"/>
      <c r="G1009" s="128"/>
      <c r="H1009" s="104"/>
      <c r="I1009" s="98"/>
      <c r="J1009" s="98"/>
      <c r="K1009" s="98"/>
      <c r="L1009" s="101"/>
      <c r="M1009" s="104"/>
      <c r="N1009" s="98"/>
      <c r="O1009" s="98"/>
      <c r="P1009" s="98"/>
      <c r="Q1009" s="101"/>
      <c r="R1009" s="113"/>
      <c r="S1009" s="107"/>
      <c r="T1009" s="107"/>
      <c r="U1009" s="107"/>
      <c r="V1009" s="110"/>
      <c r="W1009" s="104"/>
      <c r="X1009" s="98"/>
      <c r="Y1009" s="98"/>
      <c r="Z1009" s="98"/>
      <c r="AA1009" s="101"/>
      <c r="AB1009" s="135"/>
    </row>
    <row r="1010" spans="1:28" ht="13.5" customHeight="1" thickTop="1" thickBot="1" x14ac:dyDescent="0.3">
      <c r="A1010" s="149">
        <v>184</v>
      </c>
      <c r="B1010" s="148">
        <f>ESCUADRAS!C189</f>
        <v>0</v>
      </c>
      <c r="C1010" s="93"/>
      <c r="D1010" s="123"/>
      <c r="E1010" s="123"/>
      <c r="F1010" s="123"/>
      <c r="G1010" s="126"/>
      <c r="H1010" s="102"/>
      <c r="I1010" s="96"/>
      <c r="J1010" s="96"/>
      <c r="K1010" s="96"/>
      <c r="L1010" s="99"/>
      <c r="M1010" s="111"/>
      <c r="N1010" s="105"/>
      <c r="O1010" s="105"/>
      <c r="P1010" s="105"/>
      <c r="Q1010" s="108"/>
      <c r="R1010" s="102"/>
      <c r="S1010" s="96"/>
      <c r="T1010" s="96"/>
      <c r="U1010" s="96"/>
      <c r="V1010" s="99"/>
      <c r="W1010" s="102"/>
      <c r="X1010" s="96"/>
      <c r="Y1010" s="96"/>
      <c r="Z1010" s="96"/>
      <c r="AA1010" s="99"/>
      <c r="AB1010" s="133"/>
    </row>
    <row r="1011" spans="1:28" ht="12.75" customHeight="1" thickTop="1" thickBot="1" x14ac:dyDescent="0.3">
      <c r="A1011" s="149"/>
      <c r="B1011" s="148"/>
      <c r="C1011" s="94"/>
      <c r="D1011" s="124"/>
      <c r="E1011" s="124"/>
      <c r="F1011" s="124"/>
      <c r="G1011" s="127"/>
      <c r="H1011" s="103"/>
      <c r="I1011" s="97"/>
      <c r="J1011" s="97"/>
      <c r="K1011" s="97"/>
      <c r="L1011" s="100"/>
      <c r="M1011" s="112"/>
      <c r="N1011" s="106"/>
      <c r="O1011" s="106"/>
      <c r="P1011" s="106"/>
      <c r="Q1011" s="109"/>
      <c r="R1011" s="103"/>
      <c r="S1011" s="97"/>
      <c r="T1011" s="97"/>
      <c r="U1011" s="97"/>
      <c r="V1011" s="100"/>
      <c r="W1011" s="103"/>
      <c r="X1011" s="97"/>
      <c r="Y1011" s="97"/>
      <c r="Z1011" s="97"/>
      <c r="AA1011" s="100"/>
      <c r="AB1011" s="134"/>
    </row>
    <row r="1012" spans="1:28" ht="13.5" customHeight="1" thickTop="1" thickBot="1" x14ac:dyDescent="0.3">
      <c r="A1012" s="149"/>
      <c r="B1012" s="148"/>
      <c r="C1012" s="95"/>
      <c r="D1012" s="125"/>
      <c r="E1012" s="125"/>
      <c r="F1012" s="125"/>
      <c r="G1012" s="128"/>
      <c r="H1012" s="104"/>
      <c r="I1012" s="98"/>
      <c r="J1012" s="98"/>
      <c r="K1012" s="98"/>
      <c r="L1012" s="101"/>
      <c r="M1012" s="113"/>
      <c r="N1012" s="107"/>
      <c r="O1012" s="107"/>
      <c r="P1012" s="107"/>
      <c r="Q1012" s="110"/>
      <c r="R1012" s="104"/>
      <c r="S1012" s="98"/>
      <c r="T1012" s="98"/>
      <c r="U1012" s="98"/>
      <c r="V1012" s="101"/>
      <c r="W1012" s="104"/>
      <c r="X1012" s="98"/>
      <c r="Y1012" s="98"/>
      <c r="Z1012" s="98"/>
      <c r="AA1012" s="101"/>
      <c r="AB1012" s="135"/>
    </row>
    <row r="1013" spans="1:28" ht="14.25" customHeight="1" thickTop="1" thickBot="1" x14ac:dyDescent="0.3">
      <c r="A1013" s="139">
        <v>185</v>
      </c>
      <c r="B1013" s="148">
        <f>ESCUADRAS!C190</f>
        <v>0</v>
      </c>
      <c r="C1013" s="93"/>
      <c r="D1013" s="123"/>
      <c r="E1013" s="123"/>
      <c r="F1013" s="123"/>
      <c r="G1013" s="126"/>
      <c r="H1013" s="111"/>
      <c r="I1013" s="105"/>
      <c r="J1013" s="105"/>
      <c r="K1013" s="105"/>
      <c r="L1013" s="108"/>
      <c r="M1013" s="102"/>
      <c r="N1013" s="96"/>
      <c r="O1013" s="96"/>
      <c r="P1013" s="96"/>
      <c r="Q1013" s="99"/>
      <c r="R1013" s="102"/>
      <c r="S1013" s="96"/>
      <c r="T1013" s="96"/>
      <c r="U1013" s="96"/>
      <c r="V1013" s="99"/>
      <c r="W1013" s="102"/>
      <c r="X1013" s="96"/>
      <c r="Y1013" s="96"/>
      <c r="Z1013" s="96"/>
      <c r="AA1013" s="99"/>
      <c r="AB1013" s="133"/>
    </row>
    <row r="1014" spans="1:28" ht="14.25" customHeight="1" thickTop="1" thickBot="1" x14ac:dyDescent="0.3">
      <c r="A1014" s="139"/>
      <c r="B1014" s="148"/>
      <c r="C1014" s="94"/>
      <c r="D1014" s="124"/>
      <c r="E1014" s="124"/>
      <c r="F1014" s="124"/>
      <c r="G1014" s="127"/>
      <c r="H1014" s="112"/>
      <c r="I1014" s="106"/>
      <c r="J1014" s="106"/>
      <c r="K1014" s="106"/>
      <c r="L1014" s="109"/>
      <c r="M1014" s="103"/>
      <c r="N1014" s="97"/>
      <c r="O1014" s="97"/>
      <c r="P1014" s="97"/>
      <c r="Q1014" s="100"/>
      <c r="R1014" s="103"/>
      <c r="S1014" s="97"/>
      <c r="T1014" s="97"/>
      <c r="U1014" s="97"/>
      <c r="V1014" s="100"/>
      <c r="W1014" s="103"/>
      <c r="X1014" s="97"/>
      <c r="Y1014" s="97"/>
      <c r="Z1014" s="97"/>
      <c r="AA1014" s="100"/>
      <c r="AB1014" s="134"/>
    </row>
    <row r="1015" spans="1:28" ht="14.25" customHeight="1" thickTop="1" thickBot="1" x14ac:dyDescent="0.3">
      <c r="A1015" s="139"/>
      <c r="B1015" s="148"/>
      <c r="C1015" s="95"/>
      <c r="D1015" s="125"/>
      <c r="E1015" s="125"/>
      <c r="F1015" s="125"/>
      <c r="G1015" s="128"/>
      <c r="H1015" s="113"/>
      <c r="I1015" s="107"/>
      <c r="J1015" s="107"/>
      <c r="K1015" s="107"/>
      <c r="L1015" s="110"/>
      <c r="M1015" s="104"/>
      <c r="N1015" s="98"/>
      <c r="O1015" s="98"/>
      <c r="P1015" s="98"/>
      <c r="Q1015" s="101"/>
      <c r="R1015" s="104"/>
      <c r="S1015" s="98"/>
      <c r="T1015" s="98"/>
      <c r="U1015" s="98"/>
      <c r="V1015" s="101"/>
      <c r="W1015" s="104"/>
      <c r="X1015" s="98"/>
      <c r="Y1015" s="98"/>
      <c r="Z1015" s="98"/>
      <c r="AA1015" s="101"/>
      <c r="AB1015" s="135"/>
    </row>
    <row r="1016" spans="1:28" ht="13.5" customHeight="1" thickTop="1" thickBot="1" x14ac:dyDescent="0.3">
      <c r="A1016" s="149">
        <v>186</v>
      </c>
      <c r="B1016" s="148">
        <f>ESCUADRAS!C191</f>
        <v>0</v>
      </c>
      <c r="C1016" s="111"/>
      <c r="D1016" s="105"/>
      <c r="E1016" s="105"/>
      <c r="F1016" s="105"/>
      <c r="G1016" s="108"/>
      <c r="H1016" s="122"/>
      <c r="I1016" s="120"/>
      <c r="J1016" s="120"/>
      <c r="K1016" s="120"/>
      <c r="L1016" s="121"/>
      <c r="M1016" s="122"/>
      <c r="N1016" s="120"/>
      <c r="O1016" s="120"/>
      <c r="P1016" s="120"/>
      <c r="Q1016" s="121"/>
      <c r="R1016" s="122"/>
      <c r="S1016" s="120"/>
      <c r="T1016" s="120"/>
      <c r="U1016" s="120"/>
      <c r="V1016" s="121"/>
      <c r="W1016" s="122"/>
      <c r="X1016" s="120"/>
      <c r="Y1016" s="120"/>
      <c r="Z1016" s="120"/>
      <c r="AA1016" s="121"/>
      <c r="AB1016" s="133"/>
    </row>
    <row r="1017" spans="1:28" ht="12.75" customHeight="1" thickTop="1" thickBot="1" x14ac:dyDescent="0.3">
      <c r="A1017" s="149"/>
      <c r="B1017" s="148"/>
      <c r="C1017" s="112"/>
      <c r="D1017" s="106"/>
      <c r="E1017" s="106"/>
      <c r="F1017" s="106"/>
      <c r="G1017" s="109"/>
      <c r="H1017" s="103"/>
      <c r="I1017" s="97"/>
      <c r="J1017" s="97"/>
      <c r="K1017" s="97"/>
      <c r="L1017" s="100"/>
      <c r="M1017" s="103"/>
      <c r="N1017" s="97"/>
      <c r="O1017" s="97"/>
      <c r="P1017" s="97"/>
      <c r="Q1017" s="100"/>
      <c r="R1017" s="103"/>
      <c r="S1017" s="97"/>
      <c r="T1017" s="97"/>
      <c r="U1017" s="97"/>
      <c r="V1017" s="100"/>
      <c r="W1017" s="103"/>
      <c r="X1017" s="97"/>
      <c r="Y1017" s="97"/>
      <c r="Z1017" s="97"/>
      <c r="AA1017" s="100"/>
      <c r="AB1017" s="134"/>
    </row>
    <row r="1018" spans="1:28" ht="13.5" customHeight="1" thickTop="1" thickBot="1" x14ac:dyDescent="0.3">
      <c r="A1018" s="149"/>
      <c r="B1018" s="148"/>
      <c r="C1018" s="113"/>
      <c r="D1018" s="107"/>
      <c r="E1018" s="107"/>
      <c r="F1018" s="107"/>
      <c r="G1018" s="110"/>
      <c r="H1018" s="104"/>
      <c r="I1018" s="98"/>
      <c r="J1018" s="98"/>
      <c r="K1018" s="98"/>
      <c r="L1018" s="101"/>
      <c r="M1018" s="104"/>
      <c r="N1018" s="98"/>
      <c r="O1018" s="98"/>
      <c r="P1018" s="98"/>
      <c r="Q1018" s="101"/>
      <c r="R1018" s="104"/>
      <c r="S1018" s="98"/>
      <c r="T1018" s="98"/>
      <c r="U1018" s="98"/>
      <c r="V1018" s="101"/>
      <c r="W1018" s="104"/>
      <c r="X1018" s="98"/>
      <c r="Y1018" s="98"/>
      <c r="Z1018" s="98"/>
      <c r="AA1018" s="101"/>
      <c r="AB1018" s="135"/>
    </row>
    <row r="1019" spans="1:28" ht="13.8" thickTop="1" x14ac:dyDescent="0.25"/>
    <row r="1020" spans="1:28" ht="15" x14ac:dyDescent="0.25">
      <c r="A1020" s="28"/>
      <c r="B1020" s="26" t="s">
        <v>35</v>
      </c>
      <c r="E1020" s="21" t="s">
        <v>41</v>
      </c>
      <c r="I1020" s="21" t="s">
        <v>42</v>
      </c>
      <c r="M1020" s="21" t="s">
        <v>43</v>
      </c>
      <c r="Q1020" s="21" t="s">
        <v>44</v>
      </c>
      <c r="U1020" s="21" t="s">
        <v>45</v>
      </c>
      <c r="Y1020" s="21" t="s">
        <v>46</v>
      </c>
    </row>
    <row r="1026" spans="1:32" ht="24.6" x14ac:dyDescent="0.25">
      <c r="A1026" s="144" t="str">
        <f>'INSCRIPCION '!A$1</f>
        <v>TIRADA</v>
      </c>
      <c r="B1026" s="144"/>
      <c r="C1026" s="144"/>
      <c r="D1026" s="144"/>
      <c r="E1026" s="144"/>
      <c r="F1026" s="144"/>
      <c r="G1026" s="144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  <c r="AF1026" s="144"/>
    </row>
    <row r="1027" spans="1:32" ht="24.6" x14ac:dyDescent="0.4">
      <c r="A1027" s="23"/>
      <c r="B1027" s="23"/>
    </row>
    <row r="1028" spans="1:32" ht="22.8" x14ac:dyDescent="0.25">
      <c r="A1028" s="132" t="str">
        <f>'INSCRIPCION '!A$2</f>
        <v>CAMPO DE TIRO LA ISLA</v>
      </c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L1028" s="132"/>
      <c r="M1028" s="132"/>
      <c r="N1028" s="132"/>
      <c r="O1028" s="132"/>
      <c r="P1028" s="132"/>
      <c r="Q1028" s="132"/>
      <c r="R1028" s="132"/>
      <c r="S1028" s="132"/>
      <c r="T1028" s="132"/>
      <c r="U1028" s="132"/>
      <c r="V1028" s="132"/>
      <c r="W1028" s="132"/>
      <c r="X1028" s="132"/>
      <c r="Y1028" s="132"/>
      <c r="Z1028" s="132"/>
      <c r="AA1028" s="132"/>
      <c r="AB1028" s="132"/>
      <c r="AC1028" s="132"/>
      <c r="AD1028" s="132"/>
      <c r="AE1028" s="132"/>
      <c r="AF1028" s="132"/>
    </row>
    <row r="1029" spans="1:32" ht="20.399999999999999" x14ac:dyDescent="0.25">
      <c r="A1029" s="143" t="str">
        <f>'INSCRIPCION '!A$3</f>
        <v>XXX PLATOS</v>
      </c>
      <c r="B1029" s="143"/>
      <c r="C1029" s="143"/>
      <c r="D1029" s="143"/>
      <c r="E1029" s="143"/>
      <c r="F1029" s="143"/>
      <c r="G1029" s="143"/>
      <c r="H1029" s="143"/>
      <c r="I1029" s="143"/>
      <c r="J1029" s="143"/>
      <c r="K1029" s="143"/>
      <c r="L1029" s="143"/>
      <c r="M1029" s="143"/>
      <c r="N1029" s="143"/>
      <c r="O1029" s="143"/>
      <c r="P1029" s="143"/>
      <c r="Q1029" s="143"/>
      <c r="R1029" s="143"/>
      <c r="S1029" s="143"/>
      <c r="T1029" s="143"/>
      <c r="U1029" s="143"/>
      <c r="V1029" s="143"/>
      <c r="W1029" s="143"/>
      <c r="X1029" s="143"/>
      <c r="Y1029" s="143"/>
      <c r="Z1029" s="143"/>
      <c r="AA1029" s="143"/>
      <c r="AB1029" s="143"/>
      <c r="AC1029" s="143"/>
      <c r="AD1029" s="143"/>
      <c r="AE1029" s="143"/>
      <c r="AF1029" s="143"/>
    </row>
    <row r="1030" spans="1:32" ht="22.8" x14ac:dyDescent="0.4">
      <c r="A1030" s="24"/>
      <c r="B1030" s="24"/>
    </row>
    <row r="1031" spans="1:32" ht="17.399999999999999" x14ac:dyDescent="0.3">
      <c r="A1031" s="25" t="s">
        <v>68</v>
      </c>
      <c r="B1031" s="25"/>
      <c r="J1031" s="9" t="s">
        <v>6</v>
      </c>
      <c r="K1031" s="9"/>
      <c r="L1031" s="9"/>
      <c r="M1031" s="9"/>
      <c r="N1031" s="9"/>
      <c r="O1031" s="22">
        <v>1</v>
      </c>
      <c r="P1031" s="22"/>
      <c r="Q1031" s="8"/>
      <c r="R1031" s="8"/>
      <c r="S1031" s="7"/>
      <c r="T1031" s="8"/>
      <c r="U1031" s="8"/>
      <c r="V1031" s="9" t="s">
        <v>7</v>
      </c>
      <c r="W1031" s="9"/>
      <c r="X1031" s="9"/>
      <c r="Y1031" s="9"/>
      <c r="Z1031" s="22">
        <v>2</v>
      </c>
      <c r="AA1031" s="22"/>
    </row>
    <row r="1032" spans="1:32" ht="13.8" thickBot="1" x14ac:dyDescent="0.3"/>
    <row r="1033" spans="1:32" ht="15.6" thickBot="1" x14ac:dyDescent="0.3">
      <c r="A1033" s="27" t="s">
        <v>0</v>
      </c>
      <c r="B1033" s="27" t="s">
        <v>8</v>
      </c>
      <c r="C1033" s="47">
        <v>1</v>
      </c>
      <c r="D1033" s="48">
        <v>2</v>
      </c>
      <c r="E1033" s="48">
        <v>3</v>
      </c>
      <c r="F1033" s="48">
        <v>4</v>
      </c>
      <c r="G1033" s="49">
        <v>5</v>
      </c>
      <c r="H1033" s="47">
        <v>6</v>
      </c>
      <c r="I1033" s="48">
        <v>7</v>
      </c>
      <c r="J1033" s="48">
        <v>8</v>
      </c>
      <c r="K1033" s="48">
        <v>9</v>
      </c>
      <c r="L1033" s="49">
        <v>10</v>
      </c>
      <c r="M1033" s="47">
        <v>11</v>
      </c>
      <c r="N1033" s="48">
        <v>12</v>
      </c>
      <c r="O1033" s="48">
        <v>13</v>
      </c>
      <c r="P1033" s="48">
        <v>14</v>
      </c>
      <c r="Q1033" s="49">
        <v>15</v>
      </c>
      <c r="R1033" s="47">
        <v>16</v>
      </c>
      <c r="S1033" s="48">
        <v>17</v>
      </c>
      <c r="T1033" s="48">
        <v>18</v>
      </c>
      <c r="U1033" s="48">
        <v>19</v>
      </c>
      <c r="V1033" s="49">
        <v>20</v>
      </c>
      <c r="W1033" s="47">
        <v>21</v>
      </c>
      <c r="X1033" s="48">
        <v>22</v>
      </c>
      <c r="Y1033" s="48">
        <v>23</v>
      </c>
      <c r="Z1033" s="48">
        <v>24</v>
      </c>
      <c r="AA1033" s="49">
        <v>25</v>
      </c>
      <c r="AB1033" s="30" t="s">
        <v>1</v>
      </c>
    </row>
    <row r="1034" spans="1:32" ht="14.4" thickTop="1" thickBot="1" x14ac:dyDescent="0.3">
      <c r="A1034" s="139">
        <v>187</v>
      </c>
      <c r="B1034" s="136">
        <f>ESCUADRAS!C198</f>
        <v>0</v>
      </c>
      <c r="C1034" s="129"/>
      <c r="D1034" s="114"/>
      <c r="E1034" s="114"/>
      <c r="F1034" s="114"/>
      <c r="G1034" s="117"/>
      <c r="H1034" s="111"/>
      <c r="I1034" s="105"/>
      <c r="J1034" s="105"/>
      <c r="K1034" s="105"/>
      <c r="L1034" s="108"/>
      <c r="M1034" s="111"/>
      <c r="N1034" s="105"/>
      <c r="O1034" s="105"/>
      <c r="P1034" s="105"/>
      <c r="Q1034" s="108"/>
      <c r="R1034" s="111"/>
      <c r="S1034" s="105"/>
      <c r="T1034" s="105"/>
      <c r="U1034" s="105"/>
      <c r="V1034" s="108"/>
      <c r="W1034" s="111"/>
      <c r="X1034" s="105"/>
      <c r="Y1034" s="105"/>
      <c r="Z1034" s="105"/>
      <c r="AA1034" s="108"/>
      <c r="AB1034" s="133"/>
    </row>
    <row r="1035" spans="1:32" ht="14.4" thickTop="1" thickBot="1" x14ac:dyDescent="0.3">
      <c r="A1035" s="139"/>
      <c r="B1035" s="137"/>
      <c r="C1035" s="130"/>
      <c r="D1035" s="115"/>
      <c r="E1035" s="115"/>
      <c r="F1035" s="115"/>
      <c r="G1035" s="118"/>
      <c r="H1035" s="112"/>
      <c r="I1035" s="106"/>
      <c r="J1035" s="106"/>
      <c r="K1035" s="106"/>
      <c r="L1035" s="109"/>
      <c r="M1035" s="112"/>
      <c r="N1035" s="106"/>
      <c r="O1035" s="106"/>
      <c r="P1035" s="106"/>
      <c r="Q1035" s="109"/>
      <c r="R1035" s="112"/>
      <c r="S1035" s="106"/>
      <c r="T1035" s="106"/>
      <c r="U1035" s="106"/>
      <c r="V1035" s="109"/>
      <c r="W1035" s="112"/>
      <c r="X1035" s="106"/>
      <c r="Y1035" s="106"/>
      <c r="Z1035" s="106"/>
      <c r="AA1035" s="109"/>
      <c r="AB1035" s="134"/>
    </row>
    <row r="1036" spans="1:32" ht="14.4" thickTop="1" thickBot="1" x14ac:dyDescent="0.3">
      <c r="A1036" s="139"/>
      <c r="B1036" s="138"/>
      <c r="C1036" s="131"/>
      <c r="D1036" s="116"/>
      <c r="E1036" s="116"/>
      <c r="F1036" s="116"/>
      <c r="G1036" s="119"/>
      <c r="H1036" s="113"/>
      <c r="I1036" s="107"/>
      <c r="J1036" s="107"/>
      <c r="K1036" s="107"/>
      <c r="L1036" s="110"/>
      <c r="M1036" s="113"/>
      <c r="N1036" s="107"/>
      <c r="O1036" s="107"/>
      <c r="P1036" s="107"/>
      <c r="Q1036" s="110"/>
      <c r="R1036" s="113"/>
      <c r="S1036" s="107"/>
      <c r="T1036" s="107"/>
      <c r="U1036" s="107"/>
      <c r="V1036" s="110"/>
      <c r="W1036" s="113"/>
      <c r="X1036" s="107"/>
      <c r="Y1036" s="107"/>
      <c r="Z1036" s="107"/>
      <c r="AA1036" s="110"/>
      <c r="AB1036" s="135"/>
    </row>
    <row r="1037" spans="1:32" ht="13.5" customHeight="1" thickTop="1" x14ac:dyDescent="0.25">
      <c r="A1037" s="140">
        <v>188</v>
      </c>
      <c r="B1037" s="136">
        <f>ESCUADRAS!C193</f>
        <v>0</v>
      </c>
      <c r="C1037" s="93"/>
      <c r="D1037" s="123"/>
      <c r="E1037" s="123"/>
      <c r="F1037" s="123"/>
      <c r="G1037" s="126"/>
      <c r="H1037" s="102"/>
      <c r="I1037" s="96"/>
      <c r="J1037" s="96"/>
      <c r="K1037" s="96"/>
      <c r="L1037" s="99"/>
      <c r="M1037" s="102"/>
      <c r="N1037" s="96"/>
      <c r="O1037" s="96"/>
      <c r="P1037" s="96"/>
      <c r="Q1037" s="99"/>
      <c r="R1037" s="102"/>
      <c r="S1037" s="96"/>
      <c r="T1037" s="96"/>
      <c r="U1037" s="96"/>
      <c r="V1037" s="99"/>
      <c r="W1037" s="111"/>
      <c r="X1037" s="105"/>
      <c r="Y1037" s="105"/>
      <c r="Z1037" s="105"/>
      <c r="AA1037" s="108"/>
      <c r="AB1037" s="133"/>
    </row>
    <row r="1038" spans="1:32" ht="12.75" customHeight="1" x14ac:dyDescent="0.25">
      <c r="A1038" s="141"/>
      <c r="B1038" s="137"/>
      <c r="C1038" s="94"/>
      <c r="D1038" s="124"/>
      <c r="E1038" s="124"/>
      <c r="F1038" s="124"/>
      <c r="G1038" s="127"/>
      <c r="H1038" s="103"/>
      <c r="I1038" s="97"/>
      <c r="J1038" s="97"/>
      <c r="K1038" s="97"/>
      <c r="L1038" s="100"/>
      <c r="M1038" s="103"/>
      <c r="N1038" s="97"/>
      <c r="O1038" s="97"/>
      <c r="P1038" s="97"/>
      <c r="Q1038" s="100"/>
      <c r="R1038" s="103"/>
      <c r="S1038" s="97"/>
      <c r="T1038" s="97"/>
      <c r="U1038" s="97"/>
      <c r="V1038" s="100"/>
      <c r="W1038" s="112"/>
      <c r="X1038" s="106"/>
      <c r="Y1038" s="106"/>
      <c r="Z1038" s="106"/>
      <c r="AA1038" s="109"/>
      <c r="AB1038" s="134"/>
    </row>
    <row r="1039" spans="1:32" ht="13.5" customHeight="1" thickBot="1" x14ac:dyDescent="0.3">
      <c r="A1039" s="142"/>
      <c r="B1039" s="138"/>
      <c r="C1039" s="95"/>
      <c r="D1039" s="125"/>
      <c r="E1039" s="125"/>
      <c r="F1039" s="125"/>
      <c r="G1039" s="128"/>
      <c r="H1039" s="104"/>
      <c r="I1039" s="98"/>
      <c r="J1039" s="98"/>
      <c r="K1039" s="98"/>
      <c r="L1039" s="101"/>
      <c r="M1039" s="104"/>
      <c r="N1039" s="98"/>
      <c r="O1039" s="98"/>
      <c r="P1039" s="98"/>
      <c r="Q1039" s="101"/>
      <c r="R1039" s="104"/>
      <c r="S1039" s="98"/>
      <c r="T1039" s="98"/>
      <c r="U1039" s="98"/>
      <c r="V1039" s="101"/>
      <c r="W1039" s="113"/>
      <c r="X1039" s="107"/>
      <c r="Y1039" s="107"/>
      <c r="Z1039" s="107"/>
      <c r="AA1039" s="110"/>
      <c r="AB1039" s="135"/>
    </row>
    <row r="1040" spans="1:32" ht="14.25" customHeight="1" thickTop="1" thickBot="1" x14ac:dyDescent="0.3">
      <c r="A1040" s="139">
        <v>189</v>
      </c>
      <c r="B1040" s="136">
        <f>ESCUADRAS!C194</f>
        <v>0</v>
      </c>
      <c r="C1040" s="93"/>
      <c r="D1040" s="123"/>
      <c r="E1040" s="123"/>
      <c r="F1040" s="123"/>
      <c r="G1040" s="126"/>
      <c r="H1040" s="102"/>
      <c r="I1040" s="96"/>
      <c r="J1040" s="96"/>
      <c r="K1040" s="96"/>
      <c r="L1040" s="99"/>
      <c r="M1040" s="102"/>
      <c r="N1040" s="96"/>
      <c r="O1040" s="96"/>
      <c r="P1040" s="96"/>
      <c r="Q1040" s="99"/>
      <c r="R1040" s="111"/>
      <c r="S1040" s="105"/>
      <c r="T1040" s="105"/>
      <c r="U1040" s="105"/>
      <c r="V1040" s="108"/>
      <c r="W1040" s="102"/>
      <c r="X1040" s="96"/>
      <c r="Y1040" s="96"/>
      <c r="Z1040" s="96"/>
      <c r="AA1040" s="99"/>
      <c r="AB1040" s="133"/>
    </row>
    <row r="1041" spans="1:28" ht="14.25" customHeight="1" thickTop="1" thickBot="1" x14ac:dyDescent="0.3">
      <c r="A1041" s="139"/>
      <c r="B1041" s="137"/>
      <c r="C1041" s="94"/>
      <c r="D1041" s="124"/>
      <c r="E1041" s="124"/>
      <c r="F1041" s="124"/>
      <c r="G1041" s="127"/>
      <c r="H1041" s="103"/>
      <c r="I1041" s="97"/>
      <c r="J1041" s="97"/>
      <c r="K1041" s="97"/>
      <c r="L1041" s="100"/>
      <c r="M1041" s="103"/>
      <c r="N1041" s="97"/>
      <c r="O1041" s="97"/>
      <c r="P1041" s="97"/>
      <c r="Q1041" s="100"/>
      <c r="R1041" s="112"/>
      <c r="S1041" s="106"/>
      <c r="T1041" s="106"/>
      <c r="U1041" s="106"/>
      <c r="V1041" s="109"/>
      <c r="W1041" s="103"/>
      <c r="X1041" s="97"/>
      <c r="Y1041" s="97"/>
      <c r="Z1041" s="97"/>
      <c r="AA1041" s="100"/>
      <c r="AB1041" s="134"/>
    </row>
    <row r="1042" spans="1:28" ht="14.25" customHeight="1" thickTop="1" thickBot="1" x14ac:dyDescent="0.3">
      <c r="A1042" s="139"/>
      <c r="B1042" s="138"/>
      <c r="C1042" s="95"/>
      <c r="D1042" s="125"/>
      <c r="E1042" s="125"/>
      <c r="F1042" s="125"/>
      <c r="G1042" s="128"/>
      <c r="H1042" s="104"/>
      <c r="I1042" s="98"/>
      <c r="J1042" s="98"/>
      <c r="K1042" s="98"/>
      <c r="L1042" s="101"/>
      <c r="M1042" s="104"/>
      <c r="N1042" s="98"/>
      <c r="O1042" s="98"/>
      <c r="P1042" s="98"/>
      <c r="Q1042" s="101"/>
      <c r="R1042" s="113"/>
      <c r="S1042" s="107"/>
      <c r="T1042" s="107"/>
      <c r="U1042" s="107"/>
      <c r="V1042" s="110"/>
      <c r="W1042" s="104"/>
      <c r="X1042" s="98"/>
      <c r="Y1042" s="98"/>
      <c r="Z1042" s="98"/>
      <c r="AA1042" s="101"/>
      <c r="AB1042" s="135"/>
    </row>
    <row r="1043" spans="1:28" ht="13.5" customHeight="1" thickTop="1" x14ac:dyDescent="0.25">
      <c r="A1043" s="140">
        <v>190</v>
      </c>
      <c r="B1043" s="136">
        <f>ESCUADRAS!C195</f>
        <v>0</v>
      </c>
      <c r="C1043" s="93"/>
      <c r="D1043" s="123"/>
      <c r="E1043" s="123"/>
      <c r="F1043" s="123"/>
      <c r="G1043" s="126"/>
      <c r="H1043" s="102"/>
      <c r="I1043" s="96"/>
      <c r="J1043" s="96"/>
      <c r="K1043" s="96"/>
      <c r="L1043" s="99"/>
      <c r="M1043" s="111"/>
      <c r="N1043" s="105"/>
      <c r="O1043" s="105"/>
      <c r="P1043" s="105"/>
      <c r="Q1043" s="108"/>
      <c r="R1043" s="102"/>
      <c r="S1043" s="96"/>
      <c r="T1043" s="96"/>
      <c r="U1043" s="96"/>
      <c r="V1043" s="99"/>
      <c r="W1043" s="102"/>
      <c r="X1043" s="96"/>
      <c r="Y1043" s="96"/>
      <c r="Z1043" s="96"/>
      <c r="AA1043" s="99"/>
      <c r="AB1043" s="133"/>
    </row>
    <row r="1044" spans="1:28" ht="12.75" customHeight="1" x14ac:dyDescent="0.25">
      <c r="A1044" s="141"/>
      <c r="B1044" s="137"/>
      <c r="C1044" s="94"/>
      <c r="D1044" s="124"/>
      <c r="E1044" s="124"/>
      <c r="F1044" s="124"/>
      <c r="G1044" s="127"/>
      <c r="H1044" s="103"/>
      <c r="I1044" s="97"/>
      <c r="J1044" s="97"/>
      <c r="K1044" s="97"/>
      <c r="L1044" s="100"/>
      <c r="M1044" s="112"/>
      <c r="N1044" s="106"/>
      <c r="O1044" s="106"/>
      <c r="P1044" s="106"/>
      <c r="Q1044" s="109"/>
      <c r="R1044" s="103"/>
      <c r="S1044" s="97"/>
      <c r="T1044" s="97"/>
      <c r="U1044" s="97"/>
      <c r="V1044" s="100"/>
      <c r="W1044" s="103"/>
      <c r="X1044" s="97"/>
      <c r="Y1044" s="97"/>
      <c r="Z1044" s="97"/>
      <c r="AA1044" s="100"/>
      <c r="AB1044" s="134"/>
    </row>
    <row r="1045" spans="1:28" ht="13.5" customHeight="1" thickBot="1" x14ac:dyDescent="0.3">
      <c r="A1045" s="142"/>
      <c r="B1045" s="138"/>
      <c r="C1045" s="95"/>
      <c r="D1045" s="125"/>
      <c r="E1045" s="125"/>
      <c r="F1045" s="125"/>
      <c r="G1045" s="128"/>
      <c r="H1045" s="104"/>
      <c r="I1045" s="98"/>
      <c r="J1045" s="98"/>
      <c r="K1045" s="98"/>
      <c r="L1045" s="101"/>
      <c r="M1045" s="113"/>
      <c r="N1045" s="107"/>
      <c r="O1045" s="107"/>
      <c r="P1045" s="107"/>
      <c r="Q1045" s="110"/>
      <c r="R1045" s="104"/>
      <c r="S1045" s="98"/>
      <c r="T1045" s="98"/>
      <c r="U1045" s="98"/>
      <c r="V1045" s="101"/>
      <c r="W1045" s="104"/>
      <c r="X1045" s="98"/>
      <c r="Y1045" s="98"/>
      <c r="Z1045" s="98"/>
      <c r="AA1045" s="101"/>
      <c r="AB1045" s="135"/>
    </row>
    <row r="1046" spans="1:28" ht="14.25" customHeight="1" thickTop="1" thickBot="1" x14ac:dyDescent="0.3">
      <c r="A1046" s="139">
        <v>191</v>
      </c>
      <c r="B1046" s="136">
        <f>ESCUADRAS!C196</f>
        <v>0</v>
      </c>
      <c r="C1046" s="93"/>
      <c r="D1046" s="123"/>
      <c r="E1046" s="123"/>
      <c r="F1046" s="123"/>
      <c r="G1046" s="126"/>
      <c r="H1046" s="111"/>
      <c r="I1046" s="105"/>
      <c r="J1046" s="105"/>
      <c r="K1046" s="105"/>
      <c r="L1046" s="108"/>
      <c r="M1046" s="102"/>
      <c r="N1046" s="96"/>
      <c r="O1046" s="96"/>
      <c r="P1046" s="96"/>
      <c r="Q1046" s="99"/>
      <c r="R1046" s="102"/>
      <c r="S1046" s="96"/>
      <c r="T1046" s="96"/>
      <c r="U1046" s="96"/>
      <c r="V1046" s="99"/>
      <c r="W1046" s="102"/>
      <c r="X1046" s="96"/>
      <c r="Y1046" s="96"/>
      <c r="Z1046" s="96"/>
      <c r="AA1046" s="99"/>
      <c r="AB1046" s="133"/>
    </row>
    <row r="1047" spans="1:28" ht="14.25" customHeight="1" thickTop="1" thickBot="1" x14ac:dyDescent="0.3">
      <c r="A1047" s="139"/>
      <c r="B1047" s="137"/>
      <c r="C1047" s="94"/>
      <c r="D1047" s="124"/>
      <c r="E1047" s="124"/>
      <c r="F1047" s="124"/>
      <c r="G1047" s="127"/>
      <c r="H1047" s="112"/>
      <c r="I1047" s="106"/>
      <c r="J1047" s="106"/>
      <c r="K1047" s="106"/>
      <c r="L1047" s="109"/>
      <c r="M1047" s="103"/>
      <c r="N1047" s="97"/>
      <c r="O1047" s="97"/>
      <c r="P1047" s="97"/>
      <c r="Q1047" s="100"/>
      <c r="R1047" s="103"/>
      <c r="S1047" s="97"/>
      <c r="T1047" s="97"/>
      <c r="U1047" s="97"/>
      <c r="V1047" s="100"/>
      <c r="W1047" s="103"/>
      <c r="X1047" s="97"/>
      <c r="Y1047" s="97"/>
      <c r="Z1047" s="97"/>
      <c r="AA1047" s="100"/>
      <c r="AB1047" s="134"/>
    </row>
    <row r="1048" spans="1:28" ht="14.25" customHeight="1" thickTop="1" thickBot="1" x14ac:dyDescent="0.3">
      <c r="A1048" s="139"/>
      <c r="B1048" s="138"/>
      <c r="C1048" s="95"/>
      <c r="D1048" s="125"/>
      <c r="E1048" s="125"/>
      <c r="F1048" s="125"/>
      <c r="G1048" s="128"/>
      <c r="H1048" s="113"/>
      <c r="I1048" s="107"/>
      <c r="J1048" s="107"/>
      <c r="K1048" s="107"/>
      <c r="L1048" s="110"/>
      <c r="M1048" s="104"/>
      <c r="N1048" s="98"/>
      <c r="O1048" s="98"/>
      <c r="P1048" s="98"/>
      <c r="Q1048" s="101"/>
      <c r="R1048" s="104"/>
      <c r="S1048" s="98"/>
      <c r="T1048" s="98"/>
      <c r="U1048" s="98"/>
      <c r="V1048" s="101"/>
      <c r="W1048" s="104"/>
      <c r="X1048" s="98"/>
      <c r="Y1048" s="98"/>
      <c r="Z1048" s="98"/>
      <c r="AA1048" s="101"/>
      <c r="AB1048" s="135"/>
    </row>
    <row r="1049" spans="1:28" ht="13.5" customHeight="1" thickTop="1" x14ac:dyDescent="0.25">
      <c r="A1049" s="140">
        <v>192</v>
      </c>
      <c r="B1049" s="136">
        <f>ESCUADRAS!C197</f>
        <v>0</v>
      </c>
      <c r="C1049" s="111"/>
      <c r="D1049" s="105"/>
      <c r="E1049" s="105"/>
      <c r="F1049" s="105"/>
      <c r="G1049" s="108"/>
      <c r="H1049" s="122"/>
      <c r="I1049" s="120"/>
      <c r="J1049" s="120"/>
      <c r="K1049" s="120"/>
      <c r="L1049" s="121"/>
      <c r="M1049" s="122"/>
      <c r="N1049" s="120"/>
      <c r="O1049" s="120"/>
      <c r="P1049" s="120"/>
      <c r="Q1049" s="121"/>
      <c r="R1049" s="122"/>
      <c r="S1049" s="120"/>
      <c r="T1049" s="120"/>
      <c r="U1049" s="120"/>
      <c r="V1049" s="121"/>
      <c r="W1049" s="122"/>
      <c r="X1049" s="120"/>
      <c r="Y1049" s="120"/>
      <c r="Z1049" s="120"/>
      <c r="AA1049" s="121"/>
      <c r="AB1049" s="133"/>
    </row>
    <row r="1050" spans="1:28" ht="12.75" customHeight="1" x14ac:dyDescent="0.25">
      <c r="A1050" s="141"/>
      <c r="B1050" s="137"/>
      <c r="C1050" s="112"/>
      <c r="D1050" s="106"/>
      <c r="E1050" s="106"/>
      <c r="F1050" s="106"/>
      <c r="G1050" s="109"/>
      <c r="H1050" s="103"/>
      <c r="I1050" s="97"/>
      <c r="J1050" s="97"/>
      <c r="K1050" s="97"/>
      <c r="L1050" s="100"/>
      <c r="M1050" s="103"/>
      <c r="N1050" s="97"/>
      <c r="O1050" s="97"/>
      <c r="P1050" s="97"/>
      <c r="Q1050" s="100"/>
      <c r="R1050" s="103"/>
      <c r="S1050" s="97"/>
      <c r="T1050" s="97"/>
      <c r="U1050" s="97"/>
      <c r="V1050" s="100"/>
      <c r="W1050" s="103"/>
      <c r="X1050" s="97"/>
      <c r="Y1050" s="97"/>
      <c r="Z1050" s="97"/>
      <c r="AA1050" s="100"/>
      <c r="AB1050" s="134"/>
    </row>
    <row r="1051" spans="1:28" ht="13.5" customHeight="1" thickBot="1" x14ac:dyDescent="0.3">
      <c r="A1051" s="142"/>
      <c r="B1051" s="138"/>
      <c r="C1051" s="113"/>
      <c r="D1051" s="107"/>
      <c r="E1051" s="107"/>
      <c r="F1051" s="107"/>
      <c r="G1051" s="110"/>
      <c r="H1051" s="104"/>
      <c r="I1051" s="98"/>
      <c r="J1051" s="98"/>
      <c r="K1051" s="98"/>
      <c r="L1051" s="101"/>
      <c r="M1051" s="104"/>
      <c r="N1051" s="98"/>
      <c r="O1051" s="98"/>
      <c r="P1051" s="98"/>
      <c r="Q1051" s="101"/>
      <c r="R1051" s="104"/>
      <c r="S1051" s="98"/>
      <c r="T1051" s="98"/>
      <c r="U1051" s="98"/>
      <c r="V1051" s="101"/>
      <c r="W1051" s="104"/>
      <c r="X1051" s="98"/>
      <c r="Y1051" s="98"/>
      <c r="Z1051" s="98"/>
      <c r="AA1051" s="101"/>
      <c r="AB1051" s="135"/>
    </row>
    <row r="1053" spans="1:28" ht="15" x14ac:dyDescent="0.25">
      <c r="A1053" s="28"/>
      <c r="B1053" s="26" t="s">
        <v>35</v>
      </c>
      <c r="E1053" s="21" t="s">
        <v>41</v>
      </c>
      <c r="I1053" s="21" t="s">
        <v>42</v>
      </c>
      <c r="M1053" s="21" t="s">
        <v>43</v>
      </c>
      <c r="Q1053" s="21" t="s">
        <v>44</v>
      </c>
      <c r="U1053" s="21" t="s">
        <v>45</v>
      </c>
      <c r="Y1053" s="21" t="s">
        <v>46</v>
      </c>
    </row>
    <row r="1059" spans="1:32" ht="24.6" x14ac:dyDescent="0.25">
      <c r="A1059" s="144" t="str">
        <f>'INSCRIPCION '!A$1</f>
        <v>TIRADA</v>
      </c>
      <c r="B1059" s="144"/>
      <c r="C1059" s="144"/>
      <c r="D1059" s="144"/>
      <c r="E1059" s="144"/>
      <c r="F1059" s="144"/>
      <c r="G1059" s="144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  <c r="AF1059" s="144"/>
    </row>
    <row r="1060" spans="1:32" ht="24.6" x14ac:dyDescent="0.4">
      <c r="A1060" s="23"/>
      <c r="B1060" s="23"/>
    </row>
    <row r="1061" spans="1:32" ht="22.8" x14ac:dyDescent="0.25">
      <c r="A1061" s="132" t="str">
        <f>'INSCRIPCION '!A$2</f>
        <v>CAMPO DE TIRO LA ISLA</v>
      </c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L1061" s="132"/>
      <c r="M1061" s="132"/>
      <c r="N1061" s="132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  <c r="AC1061" s="132"/>
      <c r="AD1061" s="132"/>
      <c r="AE1061" s="132"/>
      <c r="AF1061" s="132"/>
    </row>
    <row r="1062" spans="1:32" ht="20.399999999999999" x14ac:dyDescent="0.25">
      <c r="A1062" s="143" t="str">
        <f>'INSCRIPCION '!A$3</f>
        <v>XXX PLATOS</v>
      </c>
      <c r="B1062" s="143"/>
      <c r="C1062" s="143"/>
      <c r="D1062" s="143"/>
      <c r="E1062" s="143"/>
      <c r="F1062" s="143"/>
      <c r="G1062" s="143"/>
      <c r="H1062" s="143"/>
      <c r="I1062" s="143"/>
      <c r="J1062" s="143"/>
      <c r="K1062" s="143"/>
      <c r="L1062" s="143"/>
      <c r="M1062" s="143"/>
      <c r="N1062" s="143"/>
      <c r="O1062" s="143"/>
      <c r="P1062" s="143"/>
      <c r="Q1062" s="143"/>
      <c r="R1062" s="143"/>
      <c r="S1062" s="143"/>
      <c r="T1062" s="143"/>
      <c r="U1062" s="143"/>
      <c r="V1062" s="143"/>
      <c r="W1062" s="143"/>
      <c r="X1062" s="143"/>
      <c r="Y1062" s="143"/>
      <c r="Z1062" s="143"/>
      <c r="AA1062" s="143"/>
      <c r="AB1062" s="143"/>
      <c r="AC1062" s="143"/>
      <c r="AD1062" s="143"/>
      <c r="AE1062" s="143"/>
      <c r="AF1062" s="143"/>
    </row>
    <row r="1063" spans="1:32" ht="22.8" x14ac:dyDescent="0.4">
      <c r="A1063" s="24"/>
      <c r="B1063" s="24"/>
    </row>
    <row r="1064" spans="1:32" ht="17.399999999999999" x14ac:dyDescent="0.3">
      <c r="A1064" s="25" t="s">
        <v>69</v>
      </c>
      <c r="B1064" s="25"/>
      <c r="J1064" s="9" t="s">
        <v>6</v>
      </c>
      <c r="K1064" s="9"/>
      <c r="L1064" s="9"/>
      <c r="M1064" s="9"/>
      <c r="N1064" s="9"/>
      <c r="O1064" s="22">
        <v>2</v>
      </c>
      <c r="P1064" s="22"/>
      <c r="Q1064" s="8"/>
      <c r="R1064" s="8"/>
      <c r="S1064" s="7"/>
      <c r="T1064" s="8"/>
      <c r="U1064" s="8"/>
      <c r="V1064" s="9" t="s">
        <v>7</v>
      </c>
      <c r="W1064" s="9"/>
      <c r="X1064" s="9"/>
      <c r="Y1064" s="9"/>
      <c r="Z1064" s="22">
        <v>2</v>
      </c>
      <c r="AA1064" s="22"/>
    </row>
    <row r="1065" spans="1:32" ht="13.8" thickBot="1" x14ac:dyDescent="0.3"/>
    <row r="1066" spans="1:32" ht="15.6" thickBot="1" x14ac:dyDescent="0.3">
      <c r="A1066" s="27" t="s">
        <v>0</v>
      </c>
      <c r="B1066" s="27" t="s">
        <v>8</v>
      </c>
      <c r="C1066" s="47">
        <v>1</v>
      </c>
      <c r="D1066" s="48">
        <v>2</v>
      </c>
      <c r="E1066" s="48">
        <v>3</v>
      </c>
      <c r="F1066" s="48">
        <v>4</v>
      </c>
      <c r="G1066" s="49">
        <v>5</v>
      </c>
      <c r="H1066" s="47">
        <v>6</v>
      </c>
      <c r="I1066" s="48">
        <v>7</v>
      </c>
      <c r="J1066" s="48">
        <v>8</v>
      </c>
      <c r="K1066" s="48">
        <v>9</v>
      </c>
      <c r="L1066" s="49">
        <v>10</v>
      </c>
      <c r="M1066" s="47">
        <v>11</v>
      </c>
      <c r="N1066" s="48">
        <v>12</v>
      </c>
      <c r="O1066" s="48">
        <v>13</v>
      </c>
      <c r="P1066" s="48">
        <v>14</v>
      </c>
      <c r="Q1066" s="49">
        <v>15</v>
      </c>
      <c r="R1066" s="47">
        <v>16</v>
      </c>
      <c r="S1066" s="48">
        <v>17</v>
      </c>
      <c r="T1066" s="48">
        <v>18</v>
      </c>
      <c r="U1066" s="48">
        <v>19</v>
      </c>
      <c r="V1066" s="49">
        <v>20</v>
      </c>
      <c r="W1066" s="47">
        <v>21</v>
      </c>
      <c r="X1066" s="48">
        <v>22</v>
      </c>
      <c r="Y1066" s="48">
        <v>23</v>
      </c>
      <c r="Z1066" s="48">
        <v>24</v>
      </c>
      <c r="AA1066" s="49">
        <v>25</v>
      </c>
      <c r="AB1066" s="30" t="s">
        <v>1</v>
      </c>
    </row>
    <row r="1067" spans="1:32" ht="14.4" thickTop="1" thickBot="1" x14ac:dyDescent="0.3">
      <c r="A1067" s="139">
        <v>193</v>
      </c>
      <c r="B1067" s="136">
        <f>ESCUADRAS!C204</f>
        <v>0</v>
      </c>
      <c r="C1067" s="129"/>
      <c r="D1067" s="114"/>
      <c r="E1067" s="114"/>
      <c r="F1067" s="114"/>
      <c r="G1067" s="117"/>
      <c r="H1067" s="111"/>
      <c r="I1067" s="105"/>
      <c r="J1067" s="105"/>
      <c r="K1067" s="105"/>
      <c r="L1067" s="108"/>
      <c r="M1067" s="111"/>
      <c r="N1067" s="105"/>
      <c r="O1067" s="105"/>
      <c r="P1067" s="105"/>
      <c r="Q1067" s="108"/>
      <c r="R1067" s="111"/>
      <c r="S1067" s="105"/>
      <c r="T1067" s="105"/>
      <c r="U1067" s="105"/>
      <c r="V1067" s="108"/>
      <c r="W1067" s="111"/>
      <c r="X1067" s="105"/>
      <c r="Y1067" s="105"/>
      <c r="Z1067" s="105"/>
      <c r="AA1067" s="108"/>
      <c r="AB1067" s="133"/>
    </row>
    <row r="1068" spans="1:32" ht="14.4" thickTop="1" thickBot="1" x14ac:dyDescent="0.3">
      <c r="A1068" s="139"/>
      <c r="B1068" s="137"/>
      <c r="C1068" s="130"/>
      <c r="D1068" s="115"/>
      <c r="E1068" s="115"/>
      <c r="F1068" s="115"/>
      <c r="G1068" s="118"/>
      <c r="H1068" s="112"/>
      <c r="I1068" s="106"/>
      <c r="J1068" s="106"/>
      <c r="K1068" s="106"/>
      <c r="L1068" s="109"/>
      <c r="M1068" s="112"/>
      <c r="N1068" s="106"/>
      <c r="O1068" s="106"/>
      <c r="P1068" s="106"/>
      <c r="Q1068" s="109"/>
      <c r="R1068" s="112"/>
      <c r="S1068" s="106"/>
      <c r="T1068" s="106"/>
      <c r="U1068" s="106"/>
      <c r="V1068" s="109"/>
      <c r="W1068" s="112"/>
      <c r="X1068" s="106"/>
      <c r="Y1068" s="106"/>
      <c r="Z1068" s="106"/>
      <c r="AA1068" s="109"/>
      <c r="AB1068" s="134"/>
    </row>
    <row r="1069" spans="1:32" ht="14.4" thickTop="1" thickBot="1" x14ac:dyDescent="0.3">
      <c r="A1069" s="139"/>
      <c r="B1069" s="138"/>
      <c r="C1069" s="131"/>
      <c r="D1069" s="116"/>
      <c r="E1069" s="116"/>
      <c r="F1069" s="116"/>
      <c r="G1069" s="119"/>
      <c r="H1069" s="113"/>
      <c r="I1069" s="107"/>
      <c r="J1069" s="107"/>
      <c r="K1069" s="107"/>
      <c r="L1069" s="110"/>
      <c r="M1069" s="113"/>
      <c r="N1069" s="107"/>
      <c r="O1069" s="107"/>
      <c r="P1069" s="107"/>
      <c r="Q1069" s="110"/>
      <c r="R1069" s="113"/>
      <c r="S1069" s="107"/>
      <c r="T1069" s="107"/>
      <c r="U1069" s="107"/>
      <c r="V1069" s="110"/>
      <c r="W1069" s="113"/>
      <c r="X1069" s="107"/>
      <c r="Y1069" s="107"/>
      <c r="Z1069" s="107"/>
      <c r="AA1069" s="110"/>
      <c r="AB1069" s="135"/>
    </row>
    <row r="1070" spans="1:32" ht="13.5" customHeight="1" thickTop="1" x14ac:dyDescent="0.25">
      <c r="A1070" s="140">
        <v>194</v>
      </c>
      <c r="B1070" s="136">
        <f>ESCUADRAS!C199</f>
        <v>0</v>
      </c>
      <c r="C1070" s="93"/>
      <c r="D1070" s="123"/>
      <c r="E1070" s="123"/>
      <c r="F1070" s="123"/>
      <c r="G1070" s="126"/>
      <c r="H1070" s="102"/>
      <c r="I1070" s="96"/>
      <c r="J1070" s="96"/>
      <c r="K1070" s="96"/>
      <c r="L1070" s="99"/>
      <c r="M1070" s="102"/>
      <c r="N1070" s="96"/>
      <c r="O1070" s="96"/>
      <c r="P1070" s="96"/>
      <c r="Q1070" s="99"/>
      <c r="R1070" s="102"/>
      <c r="S1070" s="96"/>
      <c r="T1070" s="96"/>
      <c r="U1070" s="96"/>
      <c r="V1070" s="99"/>
      <c r="W1070" s="111"/>
      <c r="X1070" s="105"/>
      <c r="Y1070" s="105"/>
      <c r="Z1070" s="105"/>
      <c r="AA1070" s="108"/>
      <c r="AB1070" s="133"/>
    </row>
    <row r="1071" spans="1:32" ht="12.75" customHeight="1" x14ac:dyDescent="0.25">
      <c r="A1071" s="141"/>
      <c r="B1071" s="137"/>
      <c r="C1071" s="94"/>
      <c r="D1071" s="124"/>
      <c r="E1071" s="124"/>
      <c r="F1071" s="124"/>
      <c r="G1071" s="127"/>
      <c r="H1071" s="103"/>
      <c r="I1071" s="97"/>
      <c r="J1071" s="97"/>
      <c r="K1071" s="97"/>
      <c r="L1071" s="100"/>
      <c r="M1071" s="103"/>
      <c r="N1071" s="97"/>
      <c r="O1071" s="97"/>
      <c r="P1071" s="97"/>
      <c r="Q1071" s="100"/>
      <c r="R1071" s="103"/>
      <c r="S1071" s="97"/>
      <c r="T1071" s="97"/>
      <c r="U1071" s="97"/>
      <c r="V1071" s="100"/>
      <c r="W1071" s="112"/>
      <c r="X1071" s="106"/>
      <c r="Y1071" s="106"/>
      <c r="Z1071" s="106"/>
      <c r="AA1071" s="109"/>
      <c r="AB1071" s="134"/>
    </row>
    <row r="1072" spans="1:32" ht="13.5" customHeight="1" thickBot="1" x14ac:dyDescent="0.3">
      <c r="A1072" s="142"/>
      <c r="B1072" s="138"/>
      <c r="C1072" s="95"/>
      <c r="D1072" s="125"/>
      <c r="E1072" s="125"/>
      <c r="F1072" s="125"/>
      <c r="G1072" s="128"/>
      <c r="H1072" s="104"/>
      <c r="I1072" s="98"/>
      <c r="J1072" s="98"/>
      <c r="K1072" s="98"/>
      <c r="L1072" s="101"/>
      <c r="M1072" s="104"/>
      <c r="N1072" s="98"/>
      <c r="O1072" s="98"/>
      <c r="P1072" s="98"/>
      <c r="Q1072" s="101"/>
      <c r="R1072" s="104"/>
      <c r="S1072" s="98"/>
      <c r="T1072" s="98"/>
      <c r="U1072" s="98"/>
      <c r="V1072" s="101"/>
      <c r="W1072" s="113"/>
      <c r="X1072" s="107"/>
      <c r="Y1072" s="107"/>
      <c r="Z1072" s="107"/>
      <c r="AA1072" s="110"/>
      <c r="AB1072" s="135"/>
    </row>
    <row r="1073" spans="1:28" ht="14.25" customHeight="1" thickTop="1" thickBot="1" x14ac:dyDescent="0.3">
      <c r="A1073" s="139">
        <v>195</v>
      </c>
      <c r="B1073" s="136">
        <f>ESCUADRAS!C200</f>
        <v>0</v>
      </c>
      <c r="C1073" s="93"/>
      <c r="D1073" s="123"/>
      <c r="E1073" s="123"/>
      <c r="F1073" s="123"/>
      <c r="G1073" s="126"/>
      <c r="H1073" s="102"/>
      <c r="I1073" s="96"/>
      <c r="J1073" s="96"/>
      <c r="K1073" s="96"/>
      <c r="L1073" s="99"/>
      <c r="M1073" s="102"/>
      <c r="N1073" s="96"/>
      <c r="O1073" s="96"/>
      <c r="P1073" s="96"/>
      <c r="Q1073" s="99"/>
      <c r="R1073" s="111"/>
      <c r="S1073" s="105"/>
      <c r="T1073" s="105"/>
      <c r="U1073" s="105"/>
      <c r="V1073" s="108"/>
      <c r="W1073" s="102"/>
      <c r="X1073" s="96"/>
      <c r="Y1073" s="96"/>
      <c r="Z1073" s="96"/>
      <c r="AA1073" s="99"/>
      <c r="AB1073" s="133"/>
    </row>
    <row r="1074" spans="1:28" ht="14.25" customHeight="1" thickTop="1" thickBot="1" x14ac:dyDescent="0.3">
      <c r="A1074" s="139"/>
      <c r="B1074" s="137"/>
      <c r="C1074" s="94"/>
      <c r="D1074" s="124"/>
      <c r="E1074" s="124"/>
      <c r="F1074" s="124"/>
      <c r="G1074" s="127"/>
      <c r="H1074" s="103"/>
      <c r="I1074" s="97"/>
      <c r="J1074" s="97"/>
      <c r="K1074" s="97"/>
      <c r="L1074" s="100"/>
      <c r="M1074" s="103"/>
      <c r="N1074" s="97"/>
      <c r="O1074" s="97"/>
      <c r="P1074" s="97"/>
      <c r="Q1074" s="100"/>
      <c r="R1074" s="112"/>
      <c r="S1074" s="106"/>
      <c r="T1074" s="106"/>
      <c r="U1074" s="106"/>
      <c r="V1074" s="109"/>
      <c r="W1074" s="103"/>
      <c r="X1074" s="97"/>
      <c r="Y1074" s="97"/>
      <c r="Z1074" s="97"/>
      <c r="AA1074" s="100"/>
      <c r="AB1074" s="134"/>
    </row>
    <row r="1075" spans="1:28" ht="14.25" customHeight="1" thickTop="1" thickBot="1" x14ac:dyDescent="0.3">
      <c r="A1075" s="139"/>
      <c r="B1075" s="138"/>
      <c r="C1075" s="95"/>
      <c r="D1075" s="125"/>
      <c r="E1075" s="125"/>
      <c r="F1075" s="125"/>
      <c r="G1075" s="128"/>
      <c r="H1075" s="104"/>
      <c r="I1075" s="98"/>
      <c r="J1075" s="98"/>
      <c r="K1075" s="98"/>
      <c r="L1075" s="101"/>
      <c r="M1075" s="104"/>
      <c r="N1075" s="98"/>
      <c r="O1075" s="98"/>
      <c r="P1075" s="98"/>
      <c r="Q1075" s="101"/>
      <c r="R1075" s="113"/>
      <c r="S1075" s="107"/>
      <c r="T1075" s="107"/>
      <c r="U1075" s="107"/>
      <c r="V1075" s="110"/>
      <c r="W1075" s="104"/>
      <c r="X1075" s="98"/>
      <c r="Y1075" s="98"/>
      <c r="Z1075" s="98"/>
      <c r="AA1075" s="101"/>
      <c r="AB1075" s="135"/>
    </row>
    <row r="1076" spans="1:28" ht="13.5" customHeight="1" thickTop="1" x14ac:dyDescent="0.25">
      <c r="A1076" s="140">
        <v>196</v>
      </c>
      <c r="B1076" s="136">
        <f>ESCUADRAS!C201</f>
        <v>0</v>
      </c>
      <c r="C1076" s="93"/>
      <c r="D1076" s="123"/>
      <c r="E1076" s="123"/>
      <c r="F1076" s="123"/>
      <c r="G1076" s="126"/>
      <c r="H1076" s="102"/>
      <c r="I1076" s="96"/>
      <c r="J1076" s="96"/>
      <c r="K1076" s="96"/>
      <c r="L1076" s="99"/>
      <c r="M1076" s="111"/>
      <c r="N1076" s="105"/>
      <c r="O1076" s="105"/>
      <c r="P1076" s="105"/>
      <c r="Q1076" s="108"/>
      <c r="R1076" s="102"/>
      <c r="S1076" s="96"/>
      <c r="T1076" s="96"/>
      <c r="U1076" s="96"/>
      <c r="V1076" s="99"/>
      <c r="W1076" s="102"/>
      <c r="X1076" s="96"/>
      <c r="Y1076" s="96"/>
      <c r="Z1076" s="96"/>
      <c r="AA1076" s="99"/>
      <c r="AB1076" s="133"/>
    </row>
    <row r="1077" spans="1:28" ht="12.75" customHeight="1" x14ac:dyDescent="0.25">
      <c r="A1077" s="141"/>
      <c r="B1077" s="137"/>
      <c r="C1077" s="94"/>
      <c r="D1077" s="124"/>
      <c r="E1077" s="124"/>
      <c r="F1077" s="124"/>
      <c r="G1077" s="127"/>
      <c r="H1077" s="103"/>
      <c r="I1077" s="97"/>
      <c r="J1077" s="97"/>
      <c r="K1077" s="97"/>
      <c r="L1077" s="100"/>
      <c r="M1077" s="112"/>
      <c r="N1077" s="106"/>
      <c r="O1077" s="106"/>
      <c r="P1077" s="106"/>
      <c r="Q1077" s="109"/>
      <c r="R1077" s="103"/>
      <c r="S1077" s="97"/>
      <c r="T1077" s="97"/>
      <c r="U1077" s="97"/>
      <c r="V1077" s="100"/>
      <c r="W1077" s="103"/>
      <c r="X1077" s="97"/>
      <c r="Y1077" s="97"/>
      <c r="Z1077" s="97"/>
      <c r="AA1077" s="100"/>
      <c r="AB1077" s="134"/>
    </row>
    <row r="1078" spans="1:28" ht="13.5" customHeight="1" thickBot="1" x14ac:dyDescent="0.3">
      <c r="A1078" s="142"/>
      <c r="B1078" s="138"/>
      <c r="C1078" s="95"/>
      <c r="D1078" s="125"/>
      <c r="E1078" s="125"/>
      <c r="F1078" s="125"/>
      <c r="G1078" s="128"/>
      <c r="H1078" s="104"/>
      <c r="I1078" s="98"/>
      <c r="J1078" s="98"/>
      <c r="K1078" s="98"/>
      <c r="L1078" s="101"/>
      <c r="M1078" s="113"/>
      <c r="N1078" s="107"/>
      <c r="O1078" s="107"/>
      <c r="P1078" s="107"/>
      <c r="Q1078" s="110"/>
      <c r="R1078" s="104"/>
      <c r="S1078" s="98"/>
      <c r="T1078" s="98"/>
      <c r="U1078" s="98"/>
      <c r="V1078" s="101"/>
      <c r="W1078" s="104"/>
      <c r="X1078" s="98"/>
      <c r="Y1078" s="98"/>
      <c r="Z1078" s="98"/>
      <c r="AA1078" s="101"/>
      <c r="AB1078" s="135"/>
    </row>
    <row r="1079" spans="1:28" ht="14.25" customHeight="1" thickTop="1" thickBot="1" x14ac:dyDescent="0.3">
      <c r="A1079" s="139">
        <v>197</v>
      </c>
      <c r="B1079" s="136">
        <f>ESCUADRAS!C202</f>
        <v>0</v>
      </c>
      <c r="C1079" s="93"/>
      <c r="D1079" s="123"/>
      <c r="E1079" s="123"/>
      <c r="F1079" s="123"/>
      <c r="G1079" s="126"/>
      <c r="H1079" s="111"/>
      <c r="I1079" s="105"/>
      <c r="J1079" s="105"/>
      <c r="K1079" s="105"/>
      <c r="L1079" s="108"/>
      <c r="M1079" s="102"/>
      <c r="N1079" s="96"/>
      <c r="O1079" s="96"/>
      <c r="P1079" s="96"/>
      <c r="Q1079" s="99"/>
      <c r="R1079" s="102"/>
      <c r="S1079" s="96"/>
      <c r="T1079" s="96"/>
      <c r="U1079" s="96"/>
      <c r="V1079" s="99"/>
      <c r="W1079" s="102"/>
      <c r="X1079" s="96"/>
      <c r="Y1079" s="96"/>
      <c r="Z1079" s="96"/>
      <c r="AA1079" s="99"/>
      <c r="AB1079" s="133"/>
    </row>
    <row r="1080" spans="1:28" ht="14.25" customHeight="1" thickTop="1" thickBot="1" x14ac:dyDescent="0.3">
      <c r="A1080" s="139"/>
      <c r="B1080" s="137"/>
      <c r="C1080" s="94"/>
      <c r="D1080" s="124"/>
      <c r="E1080" s="124"/>
      <c r="F1080" s="124"/>
      <c r="G1080" s="127"/>
      <c r="H1080" s="112"/>
      <c r="I1080" s="106"/>
      <c r="J1080" s="106"/>
      <c r="K1080" s="106"/>
      <c r="L1080" s="109"/>
      <c r="M1080" s="103"/>
      <c r="N1080" s="97"/>
      <c r="O1080" s="97"/>
      <c r="P1080" s="97"/>
      <c r="Q1080" s="100"/>
      <c r="R1080" s="103"/>
      <c r="S1080" s="97"/>
      <c r="T1080" s="97"/>
      <c r="U1080" s="97"/>
      <c r="V1080" s="100"/>
      <c r="W1080" s="103"/>
      <c r="X1080" s="97"/>
      <c r="Y1080" s="97"/>
      <c r="Z1080" s="97"/>
      <c r="AA1080" s="100"/>
      <c r="AB1080" s="134"/>
    </row>
    <row r="1081" spans="1:28" ht="14.25" customHeight="1" thickTop="1" thickBot="1" x14ac:dyDescent="0.3">
      <c r="A1081" s="139"/>
      <c r="B1081" s="138"/>
      <c r="C1081" s="95"/>
      <c r="D1081" s="125"/>
      <c r="E1081" s="125"/>
      <c r="F1081" s="125"/>
      <c r="G1081" s="128"/>
      <c r="H1081" s="113"/>
      <c r="I1081" s="107"/>
      <c r="J1081" s="107"/>
      <c r="K1081" s="107"/>
      <c r="L1081" s="110"/>
      <c r="M1081" s="104"/>
      <c r="N1081" s="98"/>
      <c r="O1081" s="98"/>
      <c r="P1081" s="98"/>
      <c r="Q1081" s="101"/>
      <c r="R1081" s="104"/>
      <c r="S1081" s="98"/>
      <c r="T1081" s="98"/>
      <c r="U1081" s="98"/>
      <c r="V1081" s="101"/>
      <c r="W1081" s="104"/>
      <c r="X1081" s="98"/>
      <c r="Y1081" s="98"/>
      <c r="Z1081" s="98"/>
      <c r="AA1081" s="101"/>
      <c r="AB1081" s="135"/>
    </row>
    <row r="1082" spans="1:28" ht="13.5" customHeight="1" thickTop="1" x14ac:dyDescent="0.25">
      <c r="A1082" s="140">
        <v>198</v>
      </c>
      <c r="B1082" s="136">
        <f>ESCUADRAS!C203</f>
        <v>0</v>
      </c>
      <c r="C1082" s="111"/>
      <c r="D1082" s="105"/>
      <c r="E1082" s="105"/>
      <c r="F1082" s="105"/>
      <c r="G1082" s="108"/>
      <c r="H1082" s="122"/>
      <c r="I1082" s="120"/>
      <c r="J1082" s="120"/>
      <c r="K1082" s="120"/>
      <c r="L1082" s="121"/>
      <c r="M1082" s="122"/>
      <c r="N1082" s="120"/>
      <c r="O1082" s="120"/>
      <c r="P1082" s="120"/>
      <c r="Q1082" s="121"/>
      <c r="R1082" s="122"/>
      <c r="S1082" s="120"/>
      <c r="T1082" s="120"/>
      <c r="U1082" s="120"/>
      <c r="V1082" s="121"/>
      <c r="W1082" s="122"/>
      <c r="X1082" s="120"/>
      <c r="Y1082" s="120"/>
      <c r="Z1082" s="120"/>
      <c r="AA1082" s="121"/>
      <c r="AB1082" s="133"/>
    </row>
    <row r="1083" spans="1:28" ht="12.75" customHeight="1" x14ac:dyDescent="0.25">
      <c r="A1083" s="141"/>
      <c r="B1083" s="137"/>
      <c r="C1083" s="112"/>
      <c r="D1083" s="106"/>
      <c r="E1083" s="106"/>
      <c r="F1083" s="106"/>
      <c r="G1083" s="109"/>
      <c r="H1083" s="103"/>
      <c r="I1083" s="97"/>
      <c r="J1083" s="97"/>
      <c r="K1083" s="97"/>
      <c r="L1083" s="100"/>
      <c r="M1083" s="103"/>
      <c r="N1083" s="97"/>
      <c r="O1083" s="97"/>
      <c r="P1083" s="97"/>
      <c r="Q1083" s="100"/>
      <c r="R1083" s="103"/>
      <c r="S1083" s="97"/>
      <c r="T1083" s="97"/>
      <c r="U1083" s="97"/>
      <c r="V1083" s="100"/>
      <c r="W1083" s="103"/>
      <c r="X1083" s="97"/>
      <c r="Y1083" s="97"/>
      <c r="Z1083" s="97"/>
      <c r="AA1083" s="100"/>
      <c r="AB1083" s="134"/>
    </row>
    <row r="1084" spans="1:28" ht="13.5" customHeight="1" thickBot="1" x14ac:dyDescent="0.3">
      <c r="A1084" s="142"/>
      <c r="B1084" s="138"/>
      <c r="C1084" s="113"/>
      <c r="D1084" s="107"/>
      <c r="E1084" s="107"/>
      <c r="F1084" s="107"/>
      <c r="G1084" s="110"/>
      <c r="H1084" s="104"/>
      <c r="I1084" s="98"/>
      <c r="J1084" s="98"/>
      <c r="K1084" s="98"/>
      <c r="L1084" s="101"/>
      <c r="M1084" s="104"/>
      <c r="N1084" s="98"/>
      <c r="O1084" s="98"/>
      <c r="P1084" s="98"/>
      <c r="Q1084" s="101"/>
      <c r="R1084" s="104"/>
      <c r="S1084" s="98"/>
      <c r="T1084" s="98"/>
      <c r="U1084" s="98"/>
      <c r="V1084" s="101"/>
      <c r="W1084" s="104"/>
      <c r="X1084" s="98"/>
      <c r="Y1084" s="98"/>
      <c r="Z1084" s="98"/>
      <c r="AA1084" s="101"/>
      <c r="AB1084" s="135"/>
    </row>
    <row r="1086" spans="1:28" ht="15" x14ac:dyDescent="0.25">
      <c r="A1086" s="28"/>
      <c r="B1086" s="26" t="s">
        <v>35</v>
      </c>
      <c r="E1086" s="21" t="s">
        <v>41</v>
      </c>
      <c r="I1086" s="21" t="s">
        <v>42</v>
      </c>
      <c r="M1086" s="21" t="s">
        <v>43</v>
      </c>
      <c r="Q1086" s="21" t="s">
        <v>44</v>
      </c>
      <c r="U1086" s="21" t="s">
        <v>45</v>
      </c>
      <c r="Y1086" s="21" t="s">
        <v>46</v>
      </c>
    </row>
    <row r="1092" spans="1:32" ht="24.6" x14ac:dyDescent="0.25">
      <c r="A1092" s="144" t="str">
        <f>'INSCRIPCION '!A$1</f>
        <v>TIRADA</v>
      </c>
      <c r="B1092" s="144"/>
      <c r="C1092" s="144"/>
      <c r="D1092" s="144"/>
      <c r="E1092" s="144"/>
      <c r="F1092" s="144"/>
      <c r="G1092" s="144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  <c r="AF1092" s="144"/>
    </row>
    <row r="1093" spans="1:32" ht="24.6" x14ac:dyDescent="0.4">
      <c r="A1093" s="23"/>
      <c r="B1093" s="23"/>
    </row>
    <row r="1094" spans="1:32" ht="22.8" x14ac:dyDescent="0.25">
      <c r="A1094" s="132" t="str">
        <f>'INSCRIPCION '!A$2</f>
        <v>CAMPO DE TIRO LA ISLA</v>
      </c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L1094" s="132"/>
      <c r="M1094" s="132"/>
      <c r="N1094" s="132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  <c r="AC1094" s="132"/>
      <c r="AD1094" s="132"/>
      <c r="AE1094" s="132"/>
      <c r="AF1094" s="132"/>
    </row>
    <row r="1095" spans="1:32" ht="20.399999999999999" x14ac:dyDescent="0.25">
      <c r="A1095" s="143" t="str">
        <f>'INSCRIPCION '!A$3</f>
        <v>XXX PLATOS</v>
      </c>
      <c r="B1095" s="143"/>
      <c r="C1095" s="143"/>
      <c r="D1095" s="143"/>
      <c r="E1095" s="143"/>
      <c r="F1095" s="143"/>
      <c r="G1095" s="143"/>
      <c r="H1095" s="143"/>
      <c r="I1095" s="143"/>
      <c r="J1095" s="143"/>
      <c r="K1095" s="143"/>
      <c r="L1095" s="143"/>
      <c r="M1095" s="143"/>
      <c r="N1095" s="143"/>
      <c r="O1095" s="143"/>
      <c r="P1095" s="143"/>
      <c r="Q1095" s="143"/>
      <c r="R1095" s="143"/>
      <c r="S1095" s="143"/>
      <c r="T1095" s="143"/>
      <c r="U1095" s="143"/>
      <c r="V1095" s="143"/>
      <c r="W1095" s="143"/>
      <c r="X1095" s="143"/>
      <c r="Y1095" s="143"/>
      <c r="Z1095" s="143"/>
      <c r="AA1095" s="143"/>
      <c r="AB1095" s="143"/>
      <c r="AC1095" s="143"/>
      <c r="AD1095" s="143"/>
      <c r="AE1095" s="143"/>
      <c r="AF1095" s="143"/>
    </row>
    <row r="1096" spans="1:32" ht="22.8" x14ac:dyDescent="0.4">
      <c r="A1096" s="24"/>
      <c r="B1096" s="24"/>
    </row>
    <row r="1097" spans="1:32" ht="17.399999999999999" x14ac:dyDescent="0.3">
      <c r="A1097" s="25" t="s">
        <v>70</v>
      </c>
      <c r="B1097" s="25"/>
      <c r="J1097" s="9" t="s">
        <v>6</v>
      </c>
      <c r="K1097" s="9"/>
      <c r="L1097" s="9"/>
      <c r="M1097" s="9"/>
      <c r="N1097" s="9"/>
      <c r="O1097" s="22">
        <v>3</v>
      </c>
      <c r="P1097" s="22"/>
      <c r="Q1097" s="8"/>
      <c r="R1097" s="8"/>
      <c r="S1097" s="7"/>
      <c r="T1097" s="8"/>
      <c r="U1097" s="8"/>
      <c r="V1097" s="9" t="s">
        <v>7</v>
      </c>
      <c r="W1097" s="9"/>
      <c r="X1097" s="9"/>
      <c r="Y1097" s="9"/>
      <c r="Z1097" s="22">
        <v>2</v>
      </c>
      <c r="AA1097" s="22"/>
    </row>
    <row r="1098" spans="1:32" ht="13.8" thickBot="1" x14ac:dyDescent="0.3"/>
    <row r="1099" spans="1:32" ht="15.6" thickBot="1" x14ac:dyDescent="0.3">
      <c r="A1099" s="27" t="s">
        <v>0</v>
      </c>
      <c r="B1099" s="27" t="s">
        <v>8</v>
      </c>
      <c r="C1099" s="47">
        <v>1</v>
      </c>
      <c r="D1099" s="48">
        <v>2</v>
      </c>
      <c r="E1099" s="48">
        <v>3</v>
      </c>
      <c r="F1099" s="48">
        <v>4</v>
      </c>
      <c r="G1099" s="49">
        <v>5</v>
      </c>
      <c r="H1099" s="47">
        <v>6</v>
      </c>
      <c r="I1099" s="48">
        <v>7</v>
      </c>
      <c r="J1099" s="48">
        <v>8</v>
      </c>
      <c r="K1099" s="48">
        <v>9</v>
      </c>
      <c r="L1099" s="49">
        <v>10</v>
      </c>
      <c r="M1099" s="47">
        <v>11</v>
      </c>
      <c r="N1099" s="48">
        <v>12</v>
      </c>
      <c r="O1099" s="48">
        <v>13</v>
      </c>
      <c r="P1099" s="48">
        <v>14</v>
      </c>
      <c r="Q1099" s="49">
        <v>15</v>
      </c>
      <c r="R1099" s="47">
        <v>16</v>
      </c>
      <c r="S1099" s="48">
        <v>17</v>
      </c>
      <c r="T1099" s="48">
        <v>18</v>
      </c>
      <c r="U1099" s="48">
        <v>19</v>
      </c>
      <c r="V1099" s="49">
        <v>20</v>
      </c>
      <c r="W1099" s="47">
        <v>21</v>
      </c>
      <c r="X1099" s="48">
        <v>22</v>
      </c>
      <c r="Y1099" s="48">
        <v>23</v>
      </c>
      <c r="Z1099" s="48">
        <v>24</v>
      </c>
      <c r="AA1099" s="49">
        <v>25</v>
      </c>
      <c r="AB1099" s="30" t="s">
        <v>1</v>
      </c>
    </row>
    <row r="1100" spans="1:32" ht="14.4" thickTop="1" thickBot="1" x14ac:dyDescent="0.3">
      <c r="A1100" s="139">
        <v>199</v>
      </c>
      <c r="B1100" s="136">
        <f>ESCUADRAS!C210</f>
        <v>0</v>
      </c>
      <c r="C1100" s="129"/>
      <c r="D1100" s="114"/>
      <c r="E1100" s="114"/>
      <c r="F1100" s="114"/>
      <c r="G1100" s="117"/>
      <c r="H1100" s="111"/>
      <c r="I1100" s="105"/>
      <c r="J1100" s="105"/>
      <c r="K1100" s="105"/>
      <c r="L1100" s="108"/>
      <c r="M1100" s="111"/>
      <c r="N1100" s="105"/>
      <c r="O1100" s="105"/>
      <c r="P1100" s="105"/>
      <c r="Q1100" s="108"/>
      <c r="R1100" s="111"/>
      <c r="S1100" s="105"/>
      <c r="T1100" s="105"/>
      <c r="U1100" s="105"/>
      <c r="V1100" s="108"/>
      <c r="W1100" s="111"/>
      <c r="X1100" s="105"/>
      <c r="Y1100" s="105"/>
      <c r="Z1100" s="105"/>
      <c r="AA1100" s="108"/>
      <c r="AB1100" s="133"/>
    </row>
    <row r="1101" spans="1:32" ht="14.4" thickTop="1" thickBot="1" x14ac:dyDescent="0.3">
      <c r="A1101" s="139"/>
      <c r="B1101" s="137"/>
      <c r="C1101" s="130"/>
      <c r="D1101" s="115"/>
      <c r="E1101" s="115"/>
      <c r="F1101" s="115"/>
      <c r="G1101" s="118"/>
      <c r="H1101" s="112"/>
      <c r="I1101" s="106"/>
      <c r="J1101" s="106"/>
      <c r="K1101" s="106"/>
      <c r="L1101" s="109"/>
      <c r="M1101" s="112"/>
      <c r="N1101" s="106"/>
      <c r="O1101" s="106"/>
      <c r="P1101" s="106"/>
      <c r="Q1101" s="109"/>
      <c r="R1101" s="112"/>
      <c r="S1101" s="106"/>
      <c r="T1101" s="106"/>
      <c r="U1101" s="106"/>
      <c r="V1101" s="109"/>
      <c r="W1101" s="112"/>
      <c r="X1101" s="106"/>
      <c r="Y1101" s="106"/>
      <c r="Z1101" s="106"/>
      <c r="AA1101" s="109"/>
      <c r="AB1101" s="134"/>
    </row>
    <row r="1102" spans="1:32" ht="14.4" thickTop="1" thickBot="1" x14ac:dyDescent="0.3">
      <c r="A1102" s="139"/>
      <c r="B1102" s="138"/>
      <c r="C1102" s="131"/>
      <c r="D1102" s="116"/>
      <c r="E1102" s="116"/>
      <c r="F1102" s="116"/>
      <c r="G1102" s="119"/>
      <c r="H1102" s="113"/>
      <c r="I1102" s="107"/>
      <c r="J1102" s="107"/>
      <c r="K1102" s="107"/>
      <c r="L1102" s="110"/>
      <c r="M1102" s="113"/>
      <c r="N1102" s="107"/>
      <c r="O1102" s="107"/>
      <c r="P1102" s="107"/>
      <c r="Q1102" s="110"/>
      <c r="R1102" s="113"/>
      <c r="S1102" s="107"/>
      <c r="T1102" s="107"/>
      <c r="U1102" s="107"/>
      <c r="V1102" s="110"/>
      <c r="W1102" s="113"/>
      <c r="X1102" s="107"/>
      <c r="Y1102" s="107"/>
      <c r="Z1102" s="107"/>
      <c r="AA1102" s="110"/>
      <c r="AB1102" s="135"/>
    </row>
    <row r="1103" spans="1:32" ht="13.8" thickTop="1" x14ac:dyDescent="0.25">
      <c r="A1103" s="140">
        <v>200</v>
      </c>
      <c r="B1103" s="136">
        <f>ESCUADRAS!C205</f>
        <v>0</v>
      </c>
      <c r="C1103" s="93"/>
      <c r="D1103" s="123"/>
      <c r="E1103" s="123"/>
      <c r="F1103" s="123"/>
      <c r="G1103" s="126"/>
      <c r="H1103" s="102"/>
      <c r="I1103" s="96"/>
      <c r="J1103" s="96"/>
      <c r="K1103" s="96"/>
      <c r="L1103" s="99"/>
      <c r="M1103" s="102"/>
      <c r="N1103" s="96"/>
      <c r="O1103" s="96"/>
      <c r="P1103" s="96"/>
      <c r="Q1103" s="99"/>
      <c r="R1103" s="102"/>
      <c r="S1103" s="96"/>
      <c r="T1103" s="96"/>
      <c r="U1103" s="96"/>
      <c r="V1103" s="99"/>
      <c r="W1103" s="111"/>
      <c r="X1103" s="105"/>
      <c r="Y1103" s="105"/>
      <c r="Z1103" s="105"/>
      <c r="AA1103" s="108"/>
      <c r="AB1103" s="133"/>
    </row>
    <row r="1104" spans="1:32" x14ac:dyDescent="0.25">
      <c r="A1104" s="141"/>
      <c r="B1104" s="137"/>
      <c r="C1104" s="94"/>
      <c r="D1104" s="124"/>
      <c r="E1104" s="124"/>
      <c r="F1104" s="124"/>
      <c r="G1104" s="127"/>
      <c r="H1104" s="103"/>
      <c r="I1104" s="97"/>
      <c r="J1104" s="97"/>
      <c r="K1104" s="97"/>
      <c r="L1104" s="100"/>
      <c r="M1104" s="103"/>
      <c r="N1104" s="97"/>
      <c r="O1104" s="97"/>
      <c r="P1104" s="97"/>
      <c r="Q1104" s="100"/>
      <c r="R1104" s="103"/>
      <c r="S1104" s="97"/>
      <c r="T1104" s="97"/>
      <c r="U1104" s="97"/>
      <c r="V1104" s="100"/>
      <c r="W1104" s="112"/>
      <c r="X1104" s="106"/>
      <c r="Y1104" s="106"/>
      <c r="Z1104" s="106"/>
      <c r="AA1104" s="109"/>
      <c r="AB1104" s="134"/>
    </row>
    <row r="1105" spans="1:28" ht="13.8" thickBot="1" x14ac:dyDescent="0.3">
      <c r="A1105" s="142"/>
      <c r="B1105" s="138"/>
      <c r="C1105" s="95"/>
      <c r="D1105" s="125"/>
      <c r="E1105" s="125"/>
      <c r="F1105" s="125"/>
      <c r="G1105" s="128"/>
      <c r="H1105" s="104"/>
      <c r="I1105" s="98"/>
      <c r="J1105" s="98"/>
      <c r="K1105" s="98"/>
      <c r="L1105" s="101"/>
      <c r="M1105" s="104"/>
      <c r="N1105" s="98"/>
      <c r="O1105" s="98"/>
      <c r="P1105" s="98"/>
      <c r="Q1105" s="101"/>
      <c r="R1105" s="104"/>
      <c r="S1105" s="98"/>
      <c r="T1105" s="98"/>
      <c r="U1105" s="98"/>
      <c r="V1105" s="101"/>
      <c r="W1105" s="113"/>
      <c r="X1105" s="107"/>
      <c r="Y1105" s="107"/>
      <c r="Z1105" s="107"/>
      <c r="AA1105" s="110"/>
      <c r="AB1105" s="135"/>
    </row>
    <row r="1106" spans="1:28" ht="14.4" thickTop="1" thickBot="1" x14ac:dyDescent="0.3">
      <c r="A1106" s="139">
        <v>201</v>
      </c>
      <c r="B1106" s="136">
        <f>ESCUADRAS!C206</f>
        <v>0</v>
      </c>
      <c r="C1106" s="93"/>
      <c r="D1106" s="123"/>
      <c r="E1106" s="123"/>
      <c r="F1106" s="123"/>
      <c r="G1106" s="126"/>
      <c r="H1106" s="102"/>
      <c r="I1106" s="96"/>
      <c r="J1106" s="96"/>
      <c r="K1106" s="96"/>
      <c r="L1106" s="99"/>
      <c r="M1106" s="102"/>
      <c r="N1106" s="96"/>
      <c r="O1106" s="96"/>
      <c r="P1106" s="96"/>
      <c r="Q1106" s="99"/>
      <c r="R1106" s="111"/>
      <c r="S1106" s="105"/>
      <c r="T1106" s="105"/>
      <c r="U1106" s="105"/>
      <c r="V1106" s="108"/>
      <c r="W1106" s="102"/>
      <c r="X1106" s="96"/>
      <c r="Y1106" s="96"/>
      <c r="Z1106" s="96"/>
      <c r="AA1106" s="99"/>
      <c r="AB1106" s="133"/>
    </row>
    <row r="1107" spans="1:28" ht="14.4" thickTop="1" thickBot="1" x14ac:dyDescent="0.3">
      <c r="A1107" s="139"/>
      <c r="B1107" s="137"/>
      <c r="C1107" s="94"/>
      <c r="D1107" s="124"/>
      <c r="E1107" s="124"/>
      <c r="F1107" s="124"/>
      <c r="G1107" s="127"/>
      <c r="H1107" s="103"/>
      <c r="I1107" s="97"/>
      <c r="J1107" s="97"/>
      <c r="K1107" s="97"/>
      <c r="L1107" s="100"/>
      <c r="M1107" s="103"/>
      <c r="N1107" s="97"/>
      <c r="O1107" s="97"/>
      <c r="P1107" s="97"/>
      <c r="Q1107" s="100"/>
      <c r="R1107" s="112"/>
      <c r="S1107" s="106"/>
      <c r="T1107" s="106"/>
      <c r="U1107" s="106"/>
      <c r="V1107" s="109"/>
      <c r="W1107" s="103"/>
      <c r="X1107" s="97"/>
      <c r="Y1107" s="97"/>
      <c r="Z1107" s="97"/>
      <c r="AA1107" s="100"/>
      <c r="AB1107" s="134"/>
    </row>
    <row r="1108" spans="1:28" ht="14.4" thickTop="1" thickBot="1" x14ac:dyDescent="0.3">
      <c r="A1108" s="139"/>
      <c r="B1108" s="138"/>
      <c r="C1108" s="95"/>
      <c r="D1108" s="125"/>
      <c r="E1108" s="125"/>
      <c r="F1108" s="125"/>
      <c r="G1108" s="128"/>
      <c r="H1108" s="104"/>
      <c r="I1108" s="98"/>
      <c r="J1108" s="98"/>
      <c r="K1108" s="98"/>
      <c r="L1108" s="101"/>
      <c r="M1108" s="104"/>
      <c r="N1108" s="98"/>
      <c r="O1108" s="98"/>
      <c r="P1108" s="98"/>
      <c r="Q1108" s="101"/>
      <c r="R1108" s="113"/>
      <c r="S1108" s="107"/>
      <c r="T1108" s="107"/>
      <c r="U1108" s="107"/>
      <c r="V1108" s="110"/>
      <c r="W1108" s="104"/>
      <c r="X1108" s="98"/>
      <c r="Y1108" s="98"/>
      <c r="Z1108" s="98"/>
      <c r="AA1108" s="101"/>
      <c r="AB1108" s="135"/>
    </row>
    <row r="1109" spans="1:28" ht="13.8" thickTop="1" x14ac:dyDescent="0.25">
      <c r="A1109" s="140">
        <v>202</v>
      </c>
      <c r="B1109" s="136">
        <f>ESCUADRAS!C207</f>
        <v>0</v>
      </c>
      <c r="C1109" s="93"/>
      <c r="D1109" s="123"/>
      <c r="E1109" s="123"/>
      <c r="F1109" s="123"/>
      <c r="G1109" s="126"/>
      <c r="H1109" s="102"/>
      <c r="I1109" s="96"/>
      <c r="J1109" s="96"/>
      <c r="K1109" s="96"/>
      <c r="L1109" s="99"/>
      <c r="M1109" s="111"/>
      <c r="N1109" s="105"/>
      <c r="O1109" s="105"/>
      <c r="P1109" s="105"/>
      <c r="Q1109" s="108"/>
      <c r="R1109" s="102"/>
      <c r="S1109" s="96"/>
      <c r="T1109" s="96"/>
      <c r="U1109" s="96"/>
      <c r="V1109" s="99"/>
      <c r="W1109" s="102"/>
      <c r="X1109" s="96"/>
      <c r="Y1109" s="96"/>
      <c r="Z1109" s="96"/>
      <c r="AA1109" s="99"/>
      <c r="AB1109" s="133"/>
    </row>
    <row r="1110" spans="1:28" x14ac:dyDescent="0.25">
      <c r="A1110" s="141"/>
      <c r="B1110" s="137"/>
      <c r="C1110" s="94"/>
      <c r="D1110" s="124"/>
      <c r="E1110" s="124"/>
      <c r="F1110" s="124"/>
      <c r="G1110" s="127"/>
      <c r="H1110" s="103"/>
      <c r="I1110" s="97"/>
      <c r="J1110" s="97"/>
      <c r="K1110" s="97"/>
      <c r="L1110" s="100"/>
      <c r="M1110" s="112"/>
      <c r="N1110" s="106"/>
      <c r="O1110" s="106"/>
      <c r="P1110" s="106"/>
      <c r="Q1110" s="109"/>
      <c r="R1110" s="103"/>
      <c r="S1110" s="97"/>
      <c r="T1110" s="97"/>
      <c r="U1110" s="97"/>
      <c r="V1110" s="100"/>
      <c r="W1110" s="103"/>
      <c r="X1110" s="97"/>
      <c r="Y1110" s="97"/>
      <c r="Z1110" s="97"/>
      <c r="AA1110" s="100"/>
      <c r="AB1110" s="134"/>
    </row>
    <row r="1111" spans="1:28" ht="13.8" thickBot="1" x14ac:dyDescent="0.3">
      <c r="A1111" s="142"/>
      <c r="B1111" s="138"/>
      <c r="C1111" s="95"/>
      <c r="D1111" s="125"/>
      <c r="E1111" s="125"/>
      <c r="F1111" s="125"/>
      <c r="G1111" s="128"/>
      <c r="H1111" s="104"/>
      <c r="I1111" s="98"/>
      <c r="J1111" s="98"/>
      <c r="K1111" s="98"/>
      <c r="L1111" s="101"/>
      <c r="M1111" s="113"/>
      <c r="N1111" s="107"/>
      <c r="O1111" s="107"/>
      <c r="P1111" s="107"/>
      <c r="Q1111" s="110"/>
      <c r="R1111" s="104"/>
      <c r="S1111" s="98"/>
      <c r="T1111" s="98"/>
      <c r="U1111" s="98"/>
      <c r="V1111" s="101"/>
      <c r="W1111" s="104"/>
      <c r="X1111" s="98"/>
      <c r="Y1111" s="98"/>
      <c r="Z1111" s="98"/>
      <c r="AA1111" s="101"/>
      <c r="AB1111" s="135"/>
    </row>
    <row r="1112" spans="1:28" ht="14.4" thickTop="1" thickBot="1" x14ac:dyDescent="0.3">
      <c r="A1112" s="139">
        <v>203</v>
      </c>
      <c r="B1112" s="136">
        <f>ESCUADRAS!C208</f>
        <v>0</v>
      </c>
      <c r="C1112" s="93"/>
      <c r="D1112" s="123"/>
      <c r="E1112" s="123"/>
      <c r="F1112" s="123"/>
      <c r="G1112" s="126"/>
      <c r="H1112" s="111"/>
      <c r="I1112" s="105"/>
      <c r="J1112" s="105"/>
      <c r="K1112" s="105"/>
      <c r="L1112" s="108"/>
      <c r="M1112" s="102"/>
      <c r="N1112" s="96"/>
      <c r="O1112" s="96"/>
      <c r="P1112" s="96"/>
      <c r="Q1112" s="99"/>
      <c r="R1112" s="102"/>
      <c r="S1112" s="96"/>
      <c r="T1112" s="96"/>
      <c r="U1112" s="96"/>
      <c r="V1112" s="99"/>
      <c r="W1112" s="102"/>
      <c r="X1112" s="96"/>
      <c r="Y1112" s="96"/>
      <c r="Z1112" s="96"/>
      <c r="AA1112" s="99"/>
      <c r="AB1112" s="133"/>
    </row>
    <row r="1113" spans="1:28" ht="14.4" thickTop="1" thickBot="1" x14ac:dyDescent="0.3">
      <c r="A1113" s="139"/>
      <c r="B1113" s="137"/>
      <c r="C1113" s="94"/>
      <c r="D1113" s="124"/>
      <c r="E1113" s="124"/>
      <c r="F1113" s="124"/>
      <c r="G1113" s="127"/>
      <c r="H1113" s="112"/>
      <c r="I1113" s="106"/>
      <c r="J1113" s="106"/>
      <c r="K1113" s="106"/>
      <c r="L1113" s="109"/>
      <c r="M1113" s="103"/>
      <c r="N1113" s="97"/>
      <c r="O1113" s="97"/>
      <c r="P1113" s="97"/>
      <c r="Q1113" s="100"/>
      <c r="R1113" s="103"/>
      <c r="S1113" s="97"/>
      <c r="T1113" s="97"/>
      <c r="U1113" s="97"/>
      <c r="V1113" s="100"/>
      <c r="W1113" s="103"/>
      <c r="X1113" s="97"/>
      <c r="Y1113" s="97"/>
      <c r="Z1113" s="97"/>
      <c r="AA1113" s="100"/>
      <c r="AB1113" s="134"/>
    </row>
    <row r="1114" spans="1:28" ht="14.4" thickTop="1" thickBot="1" x14ac:dyDescent="0.3">
      <c r="A1114" s="139"/>
      <c r="B1114" s="138"/>
      <c r="C1114" s="95"/>
      <c r="D1114" s="125"/>
      <c r="E1114" s="125"/>
      <c r="F1114" s="125"/>
      <c r="G1114" s="128"/>
      <c r="H1114" s="113"/>
      <c r="I1114" s="107"/>
      <c r="J1114" s="107"/>
      <c r="K1114" s="107"/>
      <c r="L1114" s="110"/>
      <c r="M1114" s="104"/>
      <c r="N1114" s="98"/>
      <c r="O1114" s="98"/>
      <c r="P1114" s="98"/>
      <c r="Q1114" s="101"/>
      <c r="R1114" s="104"/>
      <c r="S1114" s="98"/>
      <c r="T1114" s="98"/>
      <c r="U1114" s="98"/>
      <c r="V1114" s="101"/>
      <c r="W1114" s="104"/>
      <c r="X1114" s="98"/>
      <c r="Y1114" s="98"/>
      <c r="Z1114" s="98"/>
      <c r="AA1114" s="101"/>
      <c r="AB1114" s="135"/>
    </row>
    <row r="1115" spans="1:28" ht="13.8" thickTop="1" x14ac:dyDescent="0.25">
      <c r="A1115" s="140">
        <v>204</v>
      </c>
      <c r="B1115" s="136">
        <f>ESCUADRAS!C209</f>
        <v>0</v>
      </c>
      <c r="C1115" s="111"/>
      <c r="D1115" s="105"/>
      <c r="E1115" s="105"/>
      <c r="F1115" s="105"/>
      <c r="G1115" s="108"/>
      <c r="H1115" s="122"/>
      <c r="I1115" s="120"/>
      <c r="J1115" s="120"/>
      <c r="K1115" s="120"/>
      <c r="L1115" s="121"/>
      <c r="M1115" s="122"/>
      <c r="N1115" s="120"/>
      <c r="O1115" s="120"/>
      <c r="P1115" s="120"/>
      <c r="Q1115" s="121"/>
      <c r="R1115" s="122"/>
      <c r="S1115" s="120"/>
      <c r="T1115" s="120"/>
      <c r="U1115" s="120"/>
      <c r="V1115" s="121"/>
      <c r="W1115" s="122"/>
      <c r="X1115" s="120"/>
      <c r="Y1115" s="120"/>
      <c r="Z1115" s="120"/>
      <c r="AA1115" s="121"/>
      <c r="AB1115" s="133"/>
    </row>
    <row r="1116" spans="1:28" x14ac:dyDescent="0.25">
      <c r="A1116" s="141"/>
      <c r="B1116" s="137"/>
      <c r="C1116" s="112"/>
      <c r="D1116" s="106"/>
      <c r="E1116" s="106"/>
      <c r="F1116" s="106"/>
      <c r="G1116" s="109"/>
      <c r="H1116" s="103"/>
      <c r="I1116" s="97"/>
      <c r="J1116" s="97"/>
      <c r="K1116" s="97"/>
      <c r="L1116" s="100"/>
      <c r="M1116" s="103"/>
      <c r="N1116" s="97"/>
      <c r="O1116" s="97"/>
      <c r="P1116" s="97"/>
      <c r="Q1116" s="100"/>
      <c r="R1116" s="103"/>
      <c r="S1116" s="97"/>
      <c r="T1116" s="97"/>
      <c r="U1116" s="97"/>
      <c r="V1116" s="100"/>
      <c r="W1116" s="103"/>
      <c r="X1116" s="97"/>
      <c r="Y1116" s="97"/>
      <c r="Z1116" s="97"/>
      <c r="AA1116" s="100"/>
      <c r="AB1116" s="134"/>
    </row>
    <row r="1117" spans="1:28" ht="13.8" thickBot="1" x14ac:dyDescent="0.3">
      <c r="A1117" s="142"/>
      <c r="B1117" s="138"/>
      <c r="C1117" s="113"/>
      <c r="D1117" s="107"/>
      <c r="E1117" s="107"/>
      <c r="F1117" s="107"/>
      <c r="G1117" s="110"/>
      <c r="H1117" s="104"/>
      <c r="I1117" s="98"/>
      <c r="J1117" s="98"/>
      <c r="K1117" s="98"/>
      <c r="L1117" s="101"/>
      <c r="M1117" s="104"/>
      <c r="N1117" s="98"/>
      <c r="O1117" s="98"/>
      <c r="P1117" s="98"/>
      <c r="Q1117" s="101"/>
      <c r="R1117" s="104"/>
      <c r="S1117" s="98"/>
      <c r="T1117" s="98"/>
      <c r="U1117" s="98"/>
      <c r="V1117" s="101"/>
      <c r="W1117" s="104"/>
      <c r="X1117" s="98"/>
      <c r="Y1117" s="98"/>
      <c r="Z1117" s="98"/>
      <c r="AA1117" s="101"/>
      <c r="AB1117" s="135"/>
    </row>
    <row r="1119" spans="1:28" ht="15" x14ac:dyDescent="0.25">
      <c r="A1119" s="28"/>
      <c r="B1119" s="26" t="s">
        <v>35</v>
      </c>
      <c r="E1119" s="21" t="s">
        <v>41</v>
      </c>
      <c r="I1119" s="21" t="s">
        <v>42</v>
      </c>
      <c r="M1119" s="21" t="s">
        <v>43</v>
      </c>
      <c r="Q1119" s="21" t="s">
        <v>44</v>
      </c>
      <c r="U1119" s="21" t="s">
        <v>45</v>
      </c>
      <c r="Y1119" s="21" t="s">
        <v>46</v>
      </c>
    </row>
  </sheetData>
  <mergeCells count="5815">
    <mergeCell ref="X1115:X1117"/>
    <mergeCell ref="Y1115:Y1117"/>
    <mergeCell ref="Z1115:Z1117"/>
    <mergeCell ref="AA1115:AA1117"/>
    <mergeCell ref="AB1115:AB1117"/>
    <mergeCell ref="R1115:R1117"/>
    <mergeCell ref="S1115:S1117"/>
    <mergeCell ref="T1115:T1117"/>
    <mergeCell ref="U1115:U1117"/>
    <mergeCell ref="V1115:V1117"/>
    <mergeCell ref="W1115:W1117"/>
    <mergeCell ref="L1115:L1117"/>
    <mergeCell ref="M1115:M1117"/>
    <mergeCell ref="N1115:N1117"/>
    <mergeCell ref="O1115:O1117"/>
    <mergeCell ref="P1115:P1117"/>
    <mergeCell ref="Q1115:Q1117"/>
    <mergeCell ref="F1115:F1117"/>
    <mergeCell ref="G1115:G1117"/>
    <mergeCell ref="H1115:H1117"/>
    <mergeCell ref="I1115:I1117"/>
    <mergeCell ref="J1115:J1117"/>
    <mergeCell ref="K1115:K1117"/>
    <mergeCell ref="X1112:X1114"/>
    <mergeCell ref="Y1112:Y1114"/>
    <mergeCell ref="Z1112:Z1114"/>
    <mergeCell ref="AA1112:AA1114"/>
    <mergeCell ref="AB1112:AB1114"/>
    <mergeCell ref="A1115:A1117"/>
    <mergeCell ref="B1115:B1117"/>
    <mergeCell ref="C1115:C1117"/>
    <mergeCell ref="D1115:D1117"/>
    <mergeCell ref="E1115:E1117"/>
    <mergeCell ref="R1112:R1114"/>
    <mergeCell ref="S1112:S1114"/>
    <mergeCell ref="T1112:T1114"/>
    <mergeCell ref="U1112:U1114"/>
    <mergeCell ref="V1112:V1114"/>
    <mergeCell ref="W1112:W1114"/>
    <mergeCell ref="L1112:L1114"/>
    <mergeCell ref="M1112:M1114"/>
    <mergeCell ref="N1112:N1114"/>
    <mergeCell ref="O1112:O1114"/>
    <mergeCell ref="P1112:P1114"/>
    <mergeCell ref="Q1112:Q1114"/>
    <mergeCell ref="F1112:F1114"/>
    <mergeCell ref="G1112:G1114"/>
    <mergeCell ref="H1112:H1114"/>
    <mergeCell ref="I1112:I1114"/>
    <mergeCell ref="J1112:J1114"/>
    <mergeCell ref="K1112:K1114"/>
    <mergeCell ref="X1109:X1111"/>
    <mergeCell ref="Y1109:Y1111"/>
    <mergeCell ref="Z1109:Z1111"/>
    <mergeCell ref="AA1109:AA1111"/>
    <mergeCell ref="AB1109:AB1111"/>
    <mergeCell ref="A1112:A1114"/>
    <mergeCell ref="B1112:B1114"/>
    <mergeCell ref="C1112:C1114"/>
    <mergeCell ref="D1112:D1114"/>
    <mergeCell ref="E1112:E1114"/>
    <mergeCell ref="R1109:R1111"/>
    <mergeCell ref="S1109:S1111"/>
    <mergeCell ref="T1109:T1111"/>
    <mergeCell ref="U1109:U1111"/>
    <mergeCell ref="V1109:V1111"/>
    <mergeCell ref="W1109:W1111"/>
    <mergeCell ref="L1109:L1111"/>
    <mergeCell ref="M1109:M1111"/>
    <mergeCell ref="N1109:N1111"/>
    <mergeCell ref="O1109:O1111"/>
    <mergeCell ref="P1109:P1111"/>
    <mergeCell ref="Q1109:Q1111"/>
    <mergeCell ref="F1109:F1111"/>
    <mergeCell ref="G1109:G1111"/>
    <mergeCell ref="H1109:H1111"/>
    <mergeCell ref="I1109:I1111"/>
    <mergeCell ref="J1109:J1111"/>
    <mergeCell ref="K1109:K1111"/>
    <mergeCell ref="AB1106:AB1108"/>
    <mergeCell ref="A1109:A1111"/>
    <mergeCell ref="B1109:B1111"/>
    <mergeCell ref="C1109:C1111"/>
    <mergeCell ref="D1109:D1111"/>
    <mergeCell ref="E1109:E1111"/>
    <mergeCell ref="R1106:R1108"/>
    <mergeCell ref="S1106:S1108"/>
    <mergeCell ref="T1106:T1108"/>
    <mergeCell ref="U1106:U1108"/>
    <mergeCell ref="V1106:V1108"/>
    <mergeCell ref="W1106:W1108"/>
    <mergeCell ref="L1106:L1108"/>
    <mergeCell ref="M1106:M1108"/>
    <mergeCell ref="N1106:N1108"/>
    <mergeCell ref="O1106:O1108"/>
    <mergeCell ref="P1106:P1108"/>
    <mergeCell ref="Q1106:Q1108"/>
    <mergeCell ref="F1106:F1108"/>
    <mergeCell ref="G1106:G1108"/>
    <mergeCell ref="H1106:H1108"/>
    <mergeCell ref="I1106:I1108"/>
    <mergeCell ref="J1106:J1108"/>
    <mergeCell ref="K1106:K1108"/>
    <mergeCell ref="X1103:X1105"/>
    <mergeCell ref="Y1103:Y1105"/>
    <mergeCell ref="Z1103:Z1105"/>
    <mergeCell ref="AA1103:AA1105"/>
    <mergeCell ref="AB1103:AB1105"/>
    <mergeCell ref="A1106:A1108"/>
    <mergeCell ref="B1106:B1108"/>
    <mergeCell ref="C1106:C1108"/>
    <mergeCell ref="D1106:D1108"/>
    <mergeCell ref="E1106:E1108"/>
    <mergeCell ref="R1103:R1105"/>
    <mergeCell ref="S1103:S1105"/>
    <mergeCell ref="T1103:T1105"/>
    <mergeCell ref="U1103:U1105"/>
    <mergeCell ref="V1103:V1105"/>
    <mergeCell ref="W1103:W1105"/>
    <mergeCell ref="L1103:L1105"/>
    <mergeCell ref="M1103:M1105"/>
    <mergeCell ref="N1103:N1105"/>
    <mergeCell ref="O1103:O1105"/>
    <mergeCell ref="P1103:P1105"/>
    <mergeCell ref="Q1103:Q1105"/>
    <mergeCell ref="F1103:F1105"/>
    <mergeCell ref="G1103:G1105"/>
    <mergeCell ref="H1103:H1105"/>
    <mergeCell ref="I1103:I1105"/>
    <mergeCell ref="J1103:J1105"/>
    <mergeCell ref="K1103:K1105"/>
    <mergeCell ref="X1106:X1108"/>
    <mergeCell ref="Y1106:Y1108"/>
    <mergeCell ref="Z1106:Z1108"/>
    <mergeCell ref="AA1106:AA1108"/>
    <mergeCell ref="A1103:A1105"/>
    <mergeCell ref="B1103:B1105"/>
    <mergeCell ref="C1103:C1105"/>
    <mergeCell ref="D1103:D1105"/>
    <mergeCell ref="E1103:E1105"/>
    <mergeCell ref="R1100:R1102"/>
    <mergeCell ref="S1100:S1102"/>
    <mergeCell ref="T1100:T1102"/>
    <mergeCell ref="U1100:U1102"/>
    <mergeCell ref="V1100:V1102"/>
    <mergeCell ref="W1100:W1102"/>
    <mergeCell ref="L1100:L1102"/>
    <mergeCell ref="M1100:M1102"/>
    <mergeCell ref="N1100:N1102"/>
    <mergeCell ref="O1100:O1102"/>
    <mergeCell ref="P1100:P1102"/>
    <mergeCell ref="Q1100:Q1102"/>
    <mergeCell ref="F1100:F1102"/>
    <mergeCell ref="G1100:G1102"/>
    <mergeCell ref="H1100:H1102"/>
    <mergeCell ref="I1100:I1102"/>
    <mergeCell ref="J1100:J1102"/>
    <mergeCell ref="K1100:K1102"/>
    <mergeCell ref="A1092:AF1092"/>
    <mergeCell ref="A1094:AF1094"/>
    <mergeCell ref="A1095:AF1095"/>
    <mergeCell ref="A1100:A1102"/>
    <mergeCell ref="B1100:B1102"/>
    <mergeCell ref="C1100:C1102"/>
    <mergeCell ref="D1100:D1102"/>
    <mergeCell ref="E1100:E1102"/>
    <mergeCell ref="U1082:U1084"/>
    <mergeCell ref="V1082:V1084"/>
    <mergeCell ref="W1082:W1084"/>
    <mergeCell ref="X1082:X1084"/>
    <mergeCell ref="Y1082:Y1084"/>
    <mergeCell ref="Z1082:Z1084"/>
    <mergeCell ref="O1082:O1084"/>
    <mergeCell ref="P1082:P1084"/>
    <mergeCell ref="Q1082:Q1084"/>
    <mergeCell ref="R1082:R1084"/>
    <mergeCell ref="S1082:S1084"/>
    <mergeCell ref="T1082:T1084"/>
    <mergeCell ref="I1082:I1084"/>
    <mergeCell ref="J1082:J1084"/>
    <mergeCell ref="K1082:K1084"/>
    <mergeCell ref="L1082:L1084"/>
    <mergeCell ref="M1082:M1084"/>
    <mergeCell ref="N1082:N1084"/>
    <mergeCell ref="X1100:X1102"/>
    <mergeCell ref="Y1100:Y1102"/>
    <mergeCell ref="Z1100:Z1102"/>
    <mergeCell ref="AA1100:AA1102"/>
    <mergeCell ref="AB1100:AB1102"/>
    <mergeCell ref="AA1079:AA1081"/>
    <mergeCell ref="AB1079:AB1081"/>
    <mergeCell ref="A1082:A1084"/>
    <mergeCell ref="B1082:B1084"/>
    <mergeCell ref="C1082:C1084"/>
    <mergeCell ref="D1082:D1084"/>
    <mergeCell ref="E1082:E1084"/>
    <mergeCell ref="F1082:F1084"/>
    <mergeCell ref="G1082:G1084"/>
    <mergeCell ref="H1082:H1084"/>
    <mergeCell ref="U1079:U1081"/>
    <mergeCell ref="V1079:V1081"/>
    <mergeCell ref="W1079:W1081"/>
    <mergeCell ref="X1079:X1081"/>
    <mergeCell ref="Y1079:Y1081"/>
    <mergeCell ref="Z1079:Z1081"/>
    <mergeCell ref="O1079:O1081"/>
    <mergeCell ref="P1079:P1081"/>
    <mergeCell ref="Q1079:Q1081"/>
    <mergeCell ref="R1079:R1081"/>
    <mergeCell ref="S1079:S1081"/>
    <mergeCell ref="T1079:T1081"/>
    <mergeCell ref="I1079:I1081"/>
    <mergeCell ref="J1079:J1081"/>
    <mergeCell ref="K1079:K1081"/>
    <mergeCell ref="L1079:L1081"/>
    <mergeCell ref="M1079:M1081"/>
    <mergeCell ref="N1079:N1081"/>
    <mergeCell ref="AA1082:AA1084"/>
    <mergeCell ref="AB1082:AB1084"/>
    <mergeCell ref="A1079:A1081"/>
    <mergeCell ref="B1079:B1081"/>
    <mergeCell ref="C1079:C1081"/>
    <mergeCell ref="D1079:D1081"/>
    <mergeCell ref="E1079:E1081"/>
    <mergeCell ref="F1079:F1081"/>
    <mergeCell ref="G1079:G1081"/>
    <mergeCell ref="H1079:H1081"/>
    <mergeCell ref="U1076:U1078"/>
    <mergeCell ref="V1076:V1078"/>
    <mergeCell ref="W1076:W1078"/>
    <mergeCell ref="X1076:X1078"/>
    <mergeCell ref="Y1076:Y1078"/>
    <mergeCell ref="Z1076:Z1078"/>
    <mergeCell ref="O1076:O1078"/>
    <mergeCell ref="P1076:P1078"/>
    <mergeCell ref="Q1076:Q1078"/>
    <mergeCell ref="R1076:R1078"/>
    <mergeCell ref="S1076:S1078"/>
    <mergeCell ref="T1076:T1078"/>
    <mergeCell ref="I1076:I1078"/>
    <mergeCell ref="J1076:J1078"/>
    <mergeCell ref="K1076:K1078"/>
    <mergeCell ref="L1076:L1078"/>
    <mergeCell ref="M1076:M1078"/>
    <mergeCell ref="N1076:N1078"/>
    <mergeCell ref="AA1073:AA1075"/>
    <mergeCell ref="AB1073:AB1075"/>
    <mergeCell ref="A1076:A1078"/>
    <mergeCell ref="B1076:B1078"/>
    <mergeCell ref="C1076:C1078"/>
    <mergeCell ref="D1076:D1078"/>
    <mergeCell ref="E1076:E1078"/>
    <mergeCell ref="F1076:F1078"/>
    <mergeCell ref="G1076:G1078"/>
    <mergeCell ref="H1076:H1078"/>
    <mergeCell ref="U1073:U1075"/>
    <mergeCell ref="V1073:V1075"/>
    <mergeCell ref="W1073:W1075"/>
    <mergeCell ref="X1073:X1075"/>
    <mergeCell ref="Y1073:Y1075"/>
    <mergeCell ref="Z1073:Z1075"/>
    <mergeCell ref="O1073:O1075"/>
    <mergeCell ref="P1073:P1075"/>
    <mergeCell ref="Q1073:Q1075"/>
    <mergeCell ref="R1073:R1075"/>
    <mergeCell ref="S1073:S1075"/>
    <mergeCell ref="T1073:T1075"/>
    <mergeCell ref="I1073:I1075"/>
    <mergeCell ref="J1073:J1075"/>
    <mergeCell ref="K1073:K1075"/>
    <mergeCell ref="L1073:L1075"/>
    <mergeCell ref="M1073:M1075"/>
    <mergeCell ref="N1073:N1075"/>
    <mergeCell ref="AA1076:AA1078"/>
    <mergeCell ref="AB1076:AB1078"/>
    <mergeCell ref="A1073:A1075"/>
    <mergeCell ref="B1073:B1075"/>
    <mergeCell ref="C1073:C1075"/>
    <mergeCell ref="D1073:D1075"/>
    <mergeCell ref="E1073:E1075"/>
    <mergeCell ref="F1073:F1075"/>
    <mergeCell ref="G1073:G1075"/>
    <mergeCell ref="H1073:H1075"/>
    <mergeCell ref="U1070:U1072"/>
    <mergeCell ref="V1070:V1072"/>
    <mergeCell ref="W1070:W1072"/>
    <mergeCell ref="X1070:X1072"/>
    <mergeCell ref="Y1070:Y1072"/>
    <mergeCell ref="Z1070:Z1072"/>
    <mergeCell ref="O1070:O1072"/>
    <mergeCell ref="P1070:P1072"/>
    <mergeCell ref="Q1070:Q1072"/>
    <mergeCell ref="R1070:R1072"/>
    <mergeCell ref="S1070:S1072"/>
    <mergeCell ref="T1070:T1072"/>
    <mergeCell ref="I1070:I1072"/>
    <mergeCell ref="J1070:J1072"/>
    <mergeCell ref="K1070:K1072"/>
    <mergeCell ref="L1070:L1072"/>
    <mergeCell ref="M1070:M1072"/>
    <mergeCell ref="N1070:N1072"/>
    <mergeCell ref="AA1067:AA1069"/>
    <mergeCell ref="AB1067:AB1069"/>
    <mergeCell ref="A1070:A1072"/>
    <mergeCell ref="B1070:B1072"/>
    <mergeCell ref="C1070:C1072"/>
    <mergeCell ref="D1070:D1072"/>
    <mergeCell ref="E1070:E1072"/>
    <mergeCell ref="F1070:F1072"/>
    <mergeCell ref="G1070:G1072"/>
    <mergeCell ref="H1070:H1072"/>
    <mergeCell ref="U1067:U1069"/>
    <mergeCell ref="V1067:V1069"/>
    <mergeCell ref="W1067:W1069"/>
    <mergeCell ref="X1067:X1069"/>
    <mergeCell ref="Y1067:Y1069"/>
    <mergeCell ref="Z1067:Z1069"/>
    <mergeCell ref="O1067:O1069"/>
    <mergeCell ref="P1067:P1069"/>
    <mergeCell ref="Q1067:Q1069"/>
    <mergeCell ref="R1067:R1069"/>
    <mergeCell ref="S1067:S1069"/>
    <mergeCell ref="T1067:T1069"/>
    <mergeCell ref="I1067:I1069"/>
    <mergeCell ref="J1067:J1069"/>
    <mergeCell ref="K1067:K1069"/>
    <mergeCell ref="L1067:L1069"/>
    <mergeCell ref="M1067:M1069"/>
    <mergeCell ref="N1067:N1069"/>
    <mergeCell ref="AA1070:AA1072"/>
    <mergeCell ref="AB1070:AB1072"/>
    <mergeCell ref="A1061:AF1061"/>
    <mergeCell ref="A1062:AF1062"/>
    <mergeCell ref="A1067:A1069"/>
    <mergeCell ref="B1067:B1069"/>
    <mergeCell ref="C1067:C1069"/>
    <mergeCell ref="D1067:D1069"/>
    <mergeCell ref="E1067:E1069"/>
    <mergeCell ref="F1067:F1069"/>
    <mergeCell ref="G1067:G1069"/>
    <mergeCell ref="H1067:H1069"/>
    <mergeCell ref="X1049:X1051"/>
    <mergeCell ref="Y1049:Y1051"/>
    <mergeCell ref="Z1049:Z1051"/>
    <mergeCell ref="AA1049:AA1051"/>
    <mergeCell ref="AB1049:AB1051"/>
    <mergeCell ref="A1059:AF1059"/>
    <mergeCell ref="R1049:R1051"/>
    <mergeCell ref="S1049:S1051"/>
    <mergeCell ref="T1049:T1051"/>
    <mergeCell ref="U1049:U1051"/>
    <mergeCell ref="V1049:V1051"/>
    <mergeCell ref="W1049:W1051"/>
    <mergeCell ref="L1049:L1051"/>
    <mergeCell ref="M1049:M1051"/>
    <mergeCell ref="N1049:N1051"/>
    <mergeCell ref="O1049:O1051"/>
    <mergeCell ref="P1049:P1051"/>
    <mergeCell ref="Q1049:Q1051"/>
    <mergeCell ref="F1049:F1051"/>
    <mergeCell ref="G1049:G1051"/>
    <mergeCell ref="H1049:H1051"/>
    <mergeCell ref="I1049:I1051"/>
    <mergeCell ref="J1049:J1051"/>
    <mergeCell ref="K1049:K1051"/>
    <mergeCell ref="X1046:X1048"/>
    <mergeCell ref="Y1046:Y1048"/>
    <mergeCell ref="Z1046:Z1048"/>
    <mergeCell ref="AA1046:AA1048"/>
    <mergeCell ref="AB1046:AB1048"/>
    <mergeCell ref="A1049:A1051"/>
    <mergeCell ref="B1049:B1051"/>
    <mergeCell ref="C1049:C1051"/>
    <mergeCell ref="D1049:D1051"/>
    <mergeCell ref="E1049:E1051"/>
    <mergeCell ref="R1046:R1048"/>
    <mergeCell ref="S1046:S1048"/>
    <mergeCell ref="T1046:T1048"/>
    <mergeCell ref="U1046:U1048"/>
    <mergeCell ref="V1046:V1048"/>
    <mergeCell ref="W1046:W1048"/>
    <mergeCell ref="L1046:L1048"/>
    <mergeCell ref="M1046:M1048"/>
    <mergeCell ref="N1046:N1048"/>
    <mergeCell ref="O1046:O1048"/>
    <mergeCell ref="P1046:P1048"/>
    <mergeCell ref="Q1046:Q1048"/>
    <mergeCell ref="F1046:F1048"/>
    <mergeCell ref="G1046:G1048"/>
    <mergeCell ref="H1046:H1048"/>
    <mergeCell ref="I1046:I1048"/>
    <mergeCell ref="J1046:J1048"/>
    <mergeCell ref="K1046:K1048"/>
    <mergeCell ref="A1046:A1048"/>
    <mergeCell ref="B1046:B1048"/>
    <mergeCell ref="C1046:C1048"/>
    <mergeCell ref="D1046:D1048"/>
    <mergeCell ref="E1046:E1048"/>
    <mergeCell ref="R1043:R1045"/>
    <mergeCell ref="S1043:S1045"/>
    <mergeCell ref="T1043:T1045"/>
    <mergeCell ref="U1043:U1045"/>
    <mergeCell ref="V1043:V1045"/>
    <mergeCell ref="W1043:W1045"/>
    <mergeCell ref="L1043:L1045"/>
    <mergeCell ref="M1043:M1045"/>
    <mergeCell ref="N1043:N1045"/>
    <mergeCell ref="O1043:O1045"/>
    <mergeCell ref="P1043:P1045"/>
    <mergeCell ref="Q1043:Q1045"/>
    <mergeCell ref="F1043:F1045"/>
    <mergeCell ref="G1043:G1045"/>
    <mergeCell ref="H1043:H1045"/>
    <mergeCell ref="I1043:I1045"/>
    <mergeCell ref="J1043:J1045"/>
    <mergeCell ref="K1043:K1045"/>
    <mergeCell ref="AB1040:AB1042"/>
    <mergeCell ref="A1043:A1045"/>
    <mergeCell ref="B1043:B1045"/>
    <mergeCell ref="C1043:C1045"/>
    <mergeCell ref="D1043:D1045"/>
    <mergeCell ref="E1043:E1045"/>
    <mergeCell ref="R1040:R1042"/>
    <mergeCell ref="S1040:S1042"/>
    <mergeCell ref="T1040:T1042"/>
    <mergeCell ref="U1040:U1042"/>
    <mergeCell ref="V1040:V1042"/>
    <mergeCell ref="W1040:W1042"/>
    <mergeCell ref="L1040:L1042"/>
    <mergeCell ref="M1040:M1042"/>
    <mergeCell ref="N1040:N1042"/>
    <mergeCell ref="O1040:O1042"/>
    <mergeCell ref="P1040:P1042"/>
    <mergeCell ref="Q1040:Q1042"/>
    <mergeCell ref="F1040:F1042"/>
    <mergeCell ref="G1040:G1042"/>
    <mergeCell ref="H1040:H1042"/>
    <mergeCell ref="I1040:I1042"/>
    <mergeCell ref="J1040:J1042"/>
    <mergeCell ref="K1040:K1042"/>
    <mergeCell ref="X1043:X1045"/>
    <mergeCell ref="Y1043:Y1045"/>
    <mergeCell ref="Z1043:Z1045"/>
    <mergeCell ref="AA1043:AA1045"/>
    <mergeCell ref="AB1043:AB1045"/>
    <mergeCell ref="X1037:X1039"/>
    <mergeCell ref="Y1037:Y1039"/>
    <mergeCell ref="Z1037:Z1039"/>
    <mergeCell ref="AA1037:AA1039"/>
    <mergeCell ref="AB1037:AB1039"/>
    <mergeCell ref="A1040:A1042"/>
    <mergeCell ref="B1040:B1042"/>
    <mergeCell ref="C1040:C1042"/>
    <mergeCell ref="D1040:D1042"/>
    <mergeCell ref="E1040:E1042"/>
    <mergeCell ref="R1037:R1039"/>
    <mergeCell ref="S1037:S1039"/>
    <mergeCell ref="T1037:T1039"/>
    <mergeCell ref="U1037:U1039"/>
    <mergeCell ref="V1037:V1039"/>
    <mergeCell ref="W1037:W1039"/>
    <mergeCell ref="L1037:L1039"/>
    <mergeCell ref="M1037:M1039"/>
    <mergeCell ref="N1037:N1039"/>
    <mergeCell ref="O1037:O1039"/>
    <mergeCell ref="P1037:P1039"/>
    <mergeCell ref="Q1037:Q1039"/>
    <mergeCell ref="F1037:F1039"/>
    <mergeCell ref="G1037:G1039"/>
    <mergeCell ref="H1037:H1039"/>
    <mergeCell ref="I1037:I1039"/>
    <mergeCell ref="J1037:J1039"/>
    <mergeCell ref="K1037:K1039"/>
    <mergeCell ref="X1040:X1042"/>
    <mergeCell ref="Y1040:Y1042"/>
    <mergeCell ref="Z1040:Z1042"/>
    <mergeCell ref="AA1040:AA1042"/>
    <mergeCell ref="A1037:A1039"/>
    <mergeCell ref="B1037:B1039"/>
    <mergeCell ref="C1037:C1039"/>
    <mergeCell ref="D1037:D1039"/>
    <mergeCell ref="E1037:E1039"/>
    <mergeCell ref="R1034:R1036"/>
    <mergeCell ref="S1034:S1036"/>
    <mergeCell ref="T1034:T1036"/>
    <mergeCell ref="U1034:U1036"/>
    <mergeCell ref="V1034:V1036"/>
    <mergeCell ref="W1034:W1036"/>
    <mergeCell ref="L1034:L1036"/>
    <mergeCell ref="M1034:M1036"/>
    <mergeCell ref="N1034:N1036"/>
    <mergeCell ref="O1034:O1036"/>
    <mergeCell ref="P1034:P1036"/>
    <mergeCell ref="Q1034:Q1036"/>
    <mergeCell ref="F1034:F1036"/>
    <mergeCell ref="G1034:G1036"/>
    <mergeCell ref="H1034:H1036"/>
    <mergeCell ref="I1034:I1036"/>
    <mergeCell ref="J1034:J1036"/>
    <mergeCell ref="K1034:K1036"/>
    <mergeCell ref="A1026:AF1026"/>
    <mergeCell ref="A1028:AF1028"/>
    <mergeCell ref="A1029:AF1029"/>
    <mergeCell ref="A1034:A1036"/>
    <mergeCell ref="B1034:B1036"/>
    <mergeCell ref="C1034:C1036"/>
    <mergeCell ref="D1034:D1036"/>
    <mergeCell ref="E1034:E1036"/>
    <mergeCell ref="U1016:U1018"/>
    <mergeCell ref="V1016:V1018"/>
    <mergeCell ref="W1016:W1018"/>
    <mergeCell ref="X1016:X1018"/>
    <mergeCell ref="Y1016:Y1018"/>
    <mergeCell ref="Z1016:Z1018"/>
    <mergeCell ref="O1016:O1018"/>
    <mergeCell ref="P1016:P1018"/>
    <mergeCell ref="Q1016:Q1018"/>
    <mergeCell ref="R1016:R1018"/>
    <mergeCell ref="S1016:S1018"/>
    <mergeCell ref="T1016:T1018"/>
    <mergeCell ref="I1016:I1018"/>
    <mergeCell ref="J1016:J1018"/>
    <mergeCell ref="K1016:K1018"/>
    <mergeCell ref="L1016:L1018"/>
    <mergeCell ref="M1016:M1018"/>
    <mergeCell ref="N1016:N1018"/>
    <mergeCell ref="X1034:X1036"/>
    <mergeCell ref="Y1034:Y1036"/>
    <mergeCell ref="Z1034:Z1036"/>
    <mergeCell ref="AA1034:AA1036"/>
    <mergeCell ref="AB1034:AB1036"/>
    <mergeCell ref="AA1013:AA1015"/>
    <mergeCell ref="AB1013:AB1015"/>
    <mergeCell ref="A1016:A1018"/>
    <mergeCell ref="B1016:B1018"/>
    <mergeCell ref="C1016:C1018"/>
    <mergeCell ref="D1016:D1018"/>
    <mergeCell ref="E1016:E1018"/>
    <mergeCell ref="F1016:F1018"/>
    <mergeCell ref="G1016:G1018"/>
    <mergeCell ref="H1016:H1018"/>
    <mergeCell ref="U1013:U1015"/>
    <mergeCell ref="V1013:V1015"/>
    <mergeCell ref="W1013:W1015"/>
    <mergeCell ref="X1013:X1015"/>
    <mergeCell ref="Y1013:Y1015"/>
    <mergeCell ref="Z1013:Z1015"/>
    <mergeCell ref="O1013:O1015"/>
    <mergeCell ref="P1013:P1015"/>
    <mergeCell ref="Q1013:Q1015"/>
    <mergeCell ref="R1013:R1015"/>
    <mergeCell ref="S1013:S1015"/>
    <mergeCell ref="T1013:T1015"/>
    <mergeCell ref="I1013:I1015"/>
    <mergeCell ref="J1013:J1015"/>
    <mergeCell ref="K1013:K1015"/>
    <mergeCell ref="L1013:L1015"/>
    <mergeCell ref="M1013:M1015"/>
    <mergeCell ref="N1013:N1015"/>
    <mergeCell ref="AA1016:AA1018"/>
    <mergeCell ref="AB1016:AB1018"/>
    <mergeCell ref="A1013:A1015"/>
    <mergeCell ref="B1013:B1015"/>
    <mergeCell ref="C1013:C1015"/>
    <mergeCell ref="D1013:D1015"/>
    <mergeCell ref="E1013:E1015"/>
    <mergeCell ref="F1013:F1015"/>
    <mergeCell ref="G1013:G1015"/>
    <mergeCell ref="H1013:H1015"/>
    <mergeCell ref="U1010:U1012"/>
    <mergeCell ref="V1010:V1012"/>
    <mergeCell ref="W1010:W1012"/>
    <mergeCell ref="X1010:X1012"/>
    <mergeCell ref="Y1010:Y1012"/>
    <mergeCell ref="Z1010:Z1012"/>
    <mergeCell ref="O1010:O1012"/>
    <mergeCell ref="P1010:P1012"/>
    <mergeCell ref="Q1010:Q1012"/>
    <mergeCell ref="R1010:R1012"/>
    <mergeCell ref="S1010:S1012"/>
    <mergeCell ref="T1010:T1012"/>
    <mergeCell ref="I1010:I1012"/>
    <mergeCell ref="J1010:J1012"/>
    <mergeCell ref="K1010:K1012"/>
    <mergeCell ref="L1010:L1012"/>
    <mergeCell ref="M1010:M1012"/>
    <mergeCell ref="N1010:N1012"/>
    <mergeCell ref="AA1007:AA1009"/>
    <mergeCell ref="AB1007:AB1009"/>
    <mergeCell ref="A1010:A1012"/>
    <mergeCell ref="B1010:B1012"/>
    <mergeCell ref="C1010:C1012"/>
    <mergeCell ref="D1010:D1012"/>
    <mergeCell ref="E1010:E1012"/>
    <mergeCell ref="F1010:F1012"/>
    <mergeCell ref="G1010:G1012"/>
    <mergeCell ref="H1010:H1012"/>
    <mergeCell ref="U1007:U1009"/>
    <mergeCell ref="V1007:V1009"/>
    <mergeCell ref="W1007:W1009"/>
    <mergeCell ref="X1007:X1009"/>
    <mergeCell ref="Y1007:Y1009"/>
    <mergeCell ref="Z1007:Z1009"/>
    <mergeCell ref="O1007:O1009"/>
    <mergeCell ref="P1007:P1009"/>
    <mergeCell ref="Q1007:Q1009"/>
    <mergeCell ref="R1007:R1009"/>
    <mergeCell ref="S1007:S1009"/>
    <mergeCell ref="T1007:T1009"/>
    <mergeCell ref="I1007:I1009"/>
    <mergeCell ref="J1007:J1009"/>
    <mergeCell ref="K1007:K1009"/>
    <mergeCell ref="L1007:L1009"/>
    <mergeCell ref="M1007:M1009"/>
    <mergeCell ref="N1007:N1009"/>
    <mergeCell ref="AA1010:AA1012"/>
    <mergeCell ref="AB1010:AB1012"/>
    <mergeCell ref="A1007:A1009"/>
    <mergeCell ref="B1007:B1009"/>
    <mergeCell ref="C1007:C1009"/>
    <mergeCell ref="D1007:D1009"/>
    <mergeCell ref="E1007:E1009"/>
    <mergeCell ref="F1007:F1009"/>
    <mergeCell ref="G1007:G1009"/>
    <mergeCell ref="H1007:H1009"/>
    <mergeCell ref="U1004:U1006"/>
    <mergeCell ref="V1004:V1006"/>
    <mergeCell ref="W1004:W1006"/>
    <mergeCell ref="X1004:X1006"/>
    <mergeCell ref="Y1004:Y1006"/>
    <mergeCell ref="Z1004:Z1006"/>
    <mergeCell ref="O1004:O1006"/>
    <mergeCell ref="P1004:P1006"/>
    <mergeCell ref="Q1004:Q1006"/>
    <mergeCell ref="R1004:R1006"/>
    <mergeCell ref="S1004:S1006"/>
    <mergeCell ref="T1004:T1006"/>
    <mergeCell ref="I1004:I1006"/>
    <mergeCell ref="J1004:J1006"/>
    <mergeCell ref="K1004:K1006"/>
    <mergeCell ref="L1004:L1006"/>
    <mergeCell ref="M1004:M1006"/>
    <mergeCell ref="N1004:N1006"/>
    <mergeCell ref="AA1001:AA1003"/>
    <mergeCell ref="AB1001:AB1003"/>
    <mergeCell ref="A1004:A1006"/>
    <mergeCell ref="B1004:B1006"/>
    <mergeCell ref="C1004:C1006"/>
    <mergeCell ref="D1004:D1006"/>
    <mergeCell ref="E1004:E1006"/>
    <mergeCell ref="F1004:F1006"/>
    <mergeCell ref="G1004:G1006"/>
    <mergeCell ref="H1004:H1006"/>
    <mergeCell ref="U1001:U1003"/>
    <mergeCell ref="V1001:V1003"/>
    <mergeCell ref="W1001:W1003"/>
    <mergeCell ref="X1001:X1003"/>
    <mergeCell ref="Y1001:Y1003"/>
    <mergeCell ref="Z1001:Z1003"/>
    <mergeCell ref="O1001:O1003"/>
    <mergeCell ref="P1001:P1003"/>
    <mergeCell ref="Q1001:Q1003"/>
    <mergeCell ref="R1001:R1003"/>
    <mergeCell ref="S1001:S1003"/>
    <mergeCell ref="T1001:T1003"/>
    <mergeCell ref="I1001:I1003"/>
    <mergeCell ref="J1001:J1003"/>
    <mergeCell ref="K1001:K1003"/>
    <mergeCell ref="L1001:L1003"/>
    <mergeCell ref="M1001:M1003"/>
    <mergeCell ref="N1001:N1003"/>
    <mergeCell ref="AA1004:AA1006"/>
    <mergeCell ref="AB1004:AB1006"/>
    <mergeCell ref="A995:AF995"/>
    <mergeCell ref="A996:AF996"/>
    <mergeCell ref="A1001:A1003"/>
    <mergeCell ref="B1001:B1003"/>
    <mergeCell ref="C1001:C1003"/>
    <mergeCell ref="D1001:D1003"/>
    <mergeCell ref="E1001:E1003"/>
    <mergeCell ref="F1001:F1003"/>
    <mergeCell ref="G1001:G1003"/>
    <mergeCell ref="H1001:H1003"/>
    <mergeCell ref="X980:X982"/>
    <mergeCell ref="Y980:Y982"/>
    <mergeCell ref="Z980:Z982"/>
    <mergeCell ref="AA980:AA982"/>
    <mergeCell ref="AB980:AB982"/>
    <mergeCell ref="A993:AF993"/>
    <mergeCell ref="R980:R982"/>
    <mergeCell ref="S980:S982"/>
    <mergeCell ref="T980:T982"/>
    <mergeCell ref="U980:U982"/>
    <mergeCell ref="V980:V982"/>
    <mergeCell ref="W980:W982"/>
    <mergeCell ref="L980:L982"/>
    <mergeCell ref="M980:M982"/>
    <mergeCell ref="N980:N982"/>
    <mergeCell ref="O980:O982"/>
    <mergeCell ref="P980:P982"/>
    <mergeCell ref="Q980:Q982"/>
    <mergeCell ref="F980:F982"/>
    <mergeCell ref="G980:G982"/>
    <mergeCell ref="H980:H982"/>
    <mergeCell ref="I980:I982"/>
    <mergeCell ref="J980:J982"/>
    <mergeCell ref="K980:K982"/>
    <mergeCell ref="X977:X979"/>
    <mergeCell ref="Y977:Y979"/>
    <mergeCell ref="Z977:Z979"/>
    <mergeCell ref="AA977:AA979"/>
    <mergeCell ref="AB977:AB979"/>
    <mergeCell ref="A980:A982"/>
    <mergeCell ref="B980:B982"/>
    <mergeCell ref="C980:C982"/>
    <mergeCell ref="D980:D982"/>
    <mergeCell ref="E980:E982"/>
    <mergeCell ref="R977:R979"/>
    <mergeCell ref="S977:S979"/>
    <mergeCell ref="T977:T979"/>
    <mergeCell ref="U977:U979"/>
    <mergeCell ref="V977:V979"/>
    <mergeCell ref="W977:W979"/>
    <mergeCell ref="L977:L979"/>
    <mergeCell ref="M977:M979"/>
    <mergeCell ref="N977:N979"/>
    <mergeCell ref="O977:O979"/>
    <mergeCell ref="P977:P979"/>
    <mergeCell ref="Q977:Q979"/>
    <mergeCell ref="F977:F979"/>
    <mergeCell ref="G977:G979"/>
    <mergeCell ref="H977:H979"/>
    <mergeCell ref="I977:I979"/>
    <mergeCell ref="J977:J979"/>
    <mergeCell ref="K977:K979"/>
    <mergeCell ref="A977:A979"/>
    <mergeCell ref="B977:B979"/>
    <mergeCell ref="C977:C979"/>
    <mergeCell ref="D977:D979"/>
    <mergeCell ref="E977:E979"/>
    <mergeCell ref="R974:R976"/>
    <mergeCell ref="S974:S976"/>
    <mergeCell ref="T974:T976"/>
    <mergeCell ref="U974:U976"/>
    <mergeCell ref="V974:V976"/>
    <mergeCell ref="W974:W976"/>
    <mergeCell ref="L974:L976"/>
    <mergeCell ref="M974:M976"/>
    <mergeCell ref="N974:N976"/>
    <mergeCell ref="O974:O976"/>
    <mergeCell ref="P974:P976"/>
    <mergeCell ref="Q974:Q976"/>
    <mergeCell ref="F974:F976"/>
    <mergeCell ref="G974:G976"/>
    <mergeCell ref="H974:H976"/>
    <mergeCell ref="I974:I976"/>
    <mergeCell ref="J974:J976"/>
    <mergeCell ref="K974:K976"/>
    <mergeCell ref="AB971:AB973"/>
    <mergeCell ref="A974:A976"/>
    <mergeCell ref="B974:B976"/>
    <mergeCell ref="C974:C976"/>
    <mergeCell ref="D974:D976"/>
    <mergeCell ref="E974:E976"/>
    <mergeCell ref="R971:R973"/>
    <mergeCell ref="S971:S973"/>
    <mergeCell ref="T971:T973"/>
    <mergeCell ref="U971:U973"/>
    <mergeCell ref="V971:V973"/>
    <mergeCell ref="W971:W973"/>
    <mergeCell ref="L971:L973"/>
    <mergeCell ref="M971:M973"/>
    <mergeCell ref="N971:N973"/>
    <mergeCell ref="O971:O973"/>
    <mergeCell ref="P971:P973"/>
    <mergeCell ref="Q971:Q973"/>
    <mergeCell ref="F971:F973"/>
    <mergeCell ref="G971:G973"/>
    <mergeCell ref="H971:H973"/>
    <mergeCell ref="I971:I973"/>
    <mergeCell ref="J971:J973"/>
    <mergeCell ref="K971:K973"/>
    <mergeCell ref="X974:X976"/>
    <mergeCell ref="Y974:Y976"/>
    <mergeCell ref="Z974:Z976"/>
    <mergeCell ref="AA974:AA976"/>
    <mergeCell ref="AB974:AB976"/>
    <mergeCell ref="X968:X970"/>
    <mergeCell ref="Y968:Y970"/>
    <mergeCell ref="Z968:Z970"/>
    <mergeCell ref="AA968:AA970"/>
    <mergeCell ref="AB968:AB970"/>
    <mergeCell ref="A971:A973"/>
    <mergeCell ref="B971:B973"/>
    <mergeCell ref="C971:C973"/>
    <mergeCell ref="D971:D973"/>
    <mergeCell ref="E971:E973"/>
    <mergeCell ref="R968:R970"/>
    <mergeCell ref="S968:S970"/>
    <mergeCell ref="T968:T970"/>
    <mergeCell ref="U968:U970"/>
    <mergeCell ref="V968:V970"/>
    <mergeCell ref="W968:W970"/>
    <mergeCell ref="L968:L970"/>
    <mergeCell ref="M968:M970"/>
    <mergeCell ref="N968:N970"/>
    <mergeCell ref="O968:O970"/>
    <mergeCell ref="P968:P970"/>
    <mergeCell ref="Q968:Q970"/>
    <mergeCell ref="F968:F970"/>
    <mergeCell ref="G968:G970"/>
    <mergeCell ref="H968:H970"/>
    <mergeCell ref="I968:I970"/>
    <mergeCell ref="J968:J970"/>
    <mergeCell ref="K968:K970"/>
    <mergeCell ref="X971:X973"/>
    <mergeCell ref="Y971:Y973"/>
    <mergeCell ref="Z971:Z973"/>
    <mergeCell ref="AA971:AA973"/>
    <mergeCell ref="A968:A970"/>
    <mergeCell ref="B968:B970"/>
    <mergeCell ref="C968:C970"/>
    <mergeCell ref="D968:D970"/>
    <mergeCell ref="E968:E970"/>
    <mergeCell ref="R965:R967"/>
    <mergeCell ref="S965:S967"/>
    <mergeCell ref="T965:T967"/>
    <mergeCell ref="U965:U967"/>
    <mergeCell ref="V965:V967"/>
    <mergeCell ref="W965:W967"/>
    <mergeCell ref="L965:L967"/>
    <mergeCell ref="M965:M967"/>
    <mergeCell ref="N965:N967"/>
    <mergeCell ref="O965:O967"/>
    <mergeCell ref="P965:P967"/>
    <mergeCell ref="Q965:Q967"/>
    <mergeCell ref="F965:F967"/>
    <mergeCell ref="G965:G967"/>
    <mergeCell ref="H965:H967"/>
    <mergeCell ref="I965:I967"/>
    <mergeCell ref="J965:J967"/>
    <mergeCell ref="K965:K967"/>
    <mergeCell ref="A957:AF957"/>
    <mergeCell ref="A959:AF959"/>
    <mergeCell ref="A960:AF960"/>
    <mergeCell ref="A965:A967"/>
    <mergeCell ref="B965:B967"/>
    <mergeCell ref="C965:C967"/>
    <mergeCell ref="D965:D967"/>
    <mergeCell ref="E965:E967"/>
    <mergeCell ref="U946:U948"/>
    <mergeCell ref="V946:V948"/>
    <mergeCell ref="W946:W948"/>
    <mergeCell ref="X946:X948"/>
    <mergeCell ref="Y946:Y948"/>
    <mergeCell ref="Z946:Z948"/>
    <mergeCell ref="O946:O948"/>
    <mergeCell ref="P946:P948"/>
    <mergeCell ref="Q946:Q948"/>
    <mergeCell ref="R946:R948"/>
    <mergeCell ref="S946:S948"/>
    <mergeCell ref="T946:T948"/>
    <mergeCell ref="I946:I948"/>
    <mergeCell ref="J946:J948"/>
    <mergeCell ref="K946:K948"/>
    <mergeCell ref="L946:L948"/>
    <mergeCell ref="M946:M948"/>
    <mergeCell ref="N946:N948"/>
    <mergeCell ref="X965:X967"/>
    <mergeCell ref="Y965:Y967"/>
    <mergeCell ref="Z965:Z967"/>
    <mergeCell ref="AA965:AA967"/>
    <mergeCell ref="AB965:AB967"/>
    <mergeCell ref="AA943:AA945"/>
    <mergeCell ref="AB943:AB945"/>
    <mergeCell ref="A946:A948"/>
    <mergeCell ref="B946:B948"/>
    <mergeCell ref="C946:C948"/>
    <mergeCell ref="D946:D948"/>
    <mergeCell ref="E946:E948"/>
    <mergeCell ref="F946:F948"/>
    <mergeCell ref="G946:G948"/>
    <mergeCell ref="H946:H948"/>
    <mergeCell ref="U943:U945"/>
    <mergeCell ref="V943:V945"/>
    <mergeCell ref="W943:W945"/>
    <mergeCell ref="X943:X945"/>
    <mergeCell ref="Y943:Y945"/>
    <mergeCell ref="Z943:Z945"/>
    <mergeCell ref="O943:O945"/>
    <mergeCell ref="P943:P945"/>
    <mergeCell ref="Q943:Q945"/>
    <mergeCell ref="R943:R945"/>
    <mergeCell ref="S943:S945"/>
    <mergeCell ref="T943:T945"/>
    <mergeCell ref="I943:I945"/>
    <mergeCell ref="J943:J945"/>
    <mergeCell ref="K943:K945"/>
    <mergeCell ref="L943:L945"/>
    <mergeCell ref="M943:M945"/>
    <mergeCell ref="N943:N945"/>
    <mergeCell ref="AA946:AA948"/>
    <mergeCell ref="AB946:AB948"/>
    <mergeCell ref="A943:A945"/>
    <mergeCell ref="B943:B945"/>
    <mergeCell ref="C943:C945"/>
    <mergeCell ref="D943:D945"/>
    <mergeCell ref="E943:E945"/>
    <mergeCell ref="F943:F945"/>
    <mergeCell ref="G943:G945"/>
    <mergeCell ref="H943:H945"/>
    <mergeCell ref="U940:U942"/>
    <mergeCell ref="V940:V942"/>
    <mergeCell ref="W940:W942"/>
    <mergeCell ref="X940:X942"/>
    <mergeCell ref="Y940:Y942"/>
    <mergeCell ref="Z940:Z942"/>
    <mergeCell ref="O940:O942"/>
    <mergeCell ref="P940:P942"/>
    <mergeCell ref="Q940:Q942"/>
    <mergeCell ref="R940:R942"/>
    <mergeCell ref="S940:S942"/>
    <mergeCell ref="T940:T942"/>
    <mergeCell ref="I940:I942"/>
    <mergeCell ref="J940:J942"/>
    <mergeCell ref="K940:K942"/>
    <mergeCell ref="L940:L942"/>
    <mergeCell ref="M940:M942"/>
    <mergeCell ref="N940:N942"/>
    <mergeCell ref="AA937:AA939"/>
    <mergeCell ref="AB937:AB939"/>
    <mergeCell ref="A940:A942"/>
    <mergeCell ref="B940:B942"/>
    <mergeCell ref="C940:C942"/>
    <mergeCell ref="D940:D942"/>
    <mergeCell ref="E940:E942"/>
    <mergeCell ref="F940:F942"/>
    <mergeCell ref="G940:G942"/>
    <mergeCell ref="H940:H942"/>
    <mergeCell ref="U937:U939"/>
    <mergeCell ref="V937:V939"/>
    <mergeCell ref="W937:W939"/>
    <mergeCell ref="X937:X939"/>
    <mergeCell ref="Y937:Y939"/>
    <mergeCell ref="Z937:Z939"/>
    <mergeCell ref="O937:O939"/>
    <mergeCell ref="P937:P939"/>
    <mergeCell ref="Q937:Q939"/>
    <mergeCell ref="R937:R939"/>
    <mergeCell ref="S937:S939"/>
    <mergeCell ref="T937:T939"/>
    <mergeCell ref="I937:I939"/>
    <mergeCell ref="J937:J939"/>
    <mergeCell ref="K937:K939"/>
    <mergeCell ref="L937:L939"/>
    <mergeCell ref="M937:M939"/>
    <mergeCell ref="N937:N939"/>
    <mergeCell ref="AA940:AA942"/>
    <mergeCell ref="AB940:AB942"/>
    <mergeCell ref="A937:A939"/>
    <mergeCell ref="B937:B939"/>
    <mergeCell ref="C937:C939"/>
    <mergeCell ref="D937:D939"/>
    <mergeCell ref="E937:E939"/>
    <mergeCell ref="F937:F939"/>
    <mergeCell ref="G937:G939"/>
    <mergeCell ref="H937:H939"/>
    <mergeCell ref="U934:U936"/>
    <mergeCell ref="V934:V936"/>
    <mergeCell ref="W934:W936"/>
    <mergeCell ref="X934:X936"/>
    <mergeCell ref="Y934:Y936"/>
    <mergeCell ref="Z934:Z936"/>
    <mergeCell ref="O934:O936"/>
    <mergeCell ref="P934:P936"/>
    <mergeCell ref="Q934:Q936"/>
    <mergeCell ref="R934:R936"/>
    <mergeCell ref="S934:S936"/>
    <mergeCell ref="T934:T936"/>
    <mergeCell ref="I934:I936"/>
    <mergeCell ref="J934:J936"/>
    <mergeCell ref="K934:K936"/>
    <mergeCell ref="L934:L936"/>
    <mergeCell ref="M934:M936"/>
    <mergeCell ref="N934:N936"/>
    <mergeCell ref="AA931:AA933"/>
    <mergeCell ref="AB931:AB933"/>
    <mergeCell ref="A934:A936"/>
    <mergeCell ref="B934:B936"/>
    <mergeCell ref="C934:C936"/>
    <mergeCell ref="D934:D936"/>
    <mergeCell ref="E934:E936"/>
    <mergeCell ref="F934:F936"/>
    <mergeCell ref="G934:G936"/>
    <mergeCell ref="H934:H936"/>
    <mergeCell ref="U931:U933"/>
    <mergeCell ref="V931:V933"/>
    <mergeCell ref="W931:W933"/>
    <mergeCell ref="X931:X933"/>
    <mergeCell ref="Y931:Y933"/>
    <mergeCell ref="Z931:Z933"/>
    <mergeCell ref="O931:O933"/>
    <mergeCell ref="P931:P933"/>
    <mergeCell ref="Q931:Q933"/>
    <mergeCell ref="R931:R933"/>
    <mergeCell ref="S931:S933"/>
    <mergeCell ref="T931:T933"/>
    <mergeCell ref="I931:I933"/>
    <mergeCell ref="J931:J933"/>
    <mergeCell ref="K931:K933"/>
    <mergeCell ref="L931:L933"/>
    <mergeCell ref="M931:M933"/>
    <mergeCell ref="N931:N933"/>
    <mergeCell ref="AA934:AA936"/>
    <mergeCell ref="AB934:AB936"/>
    <mergeCell ref="A925:AF925"/>
    <mergeCell ref="A926:AF926"/>
    <mergeCell ref="A931:A933"/>
    <mergeCell ref="B931:B933"/>
    <mergeCell ref="C931:C933"/>
    <mergeCell ref="D931:D933"/>
    <mergeCell ref="E931:E933"/>
    <mergeCell ref="F931:F933"/>
    <mergeCell ref="G931:G933"/>
    <mergeCell ref="H931:H933"/>
    <mergeCell ref="X912:X914"/>
    <mergeCell ref="Y912:Y914"/>
    <mergeCell ref="Z912:Z914"/>
    <mergeCell ref="AA912:AA914"/>
    <mergeCell ref="AB912:AB914"/>
    <mergeCell ref="A923:AF923"/>
    <mergeCell ref="R912:R914"/>
    <mergeCell ref="S912:S914"/>
    <mergeCell ref="T912:T914"/>
    <mergeCell ref="U912:U914"/>
    <mergeCell ref="V912:V914"/>
    <mergeCell ref="W912:W914"/>
    <mergeCell ref="L912:L914"/>
    <mergeCell ref="M912:M914"/>
    <mergeCell ref="N912:N914"/>
    <mergeCell ref="O912:O914"/>
    <mergeCell ref="P912:P914"/>
    <mergeCell ref="Q912:Q914"/>
    <mergeCell ref="F912:F914"/>
    <mergeCell ref="G912:G914"/>
    <mergeCell ref="H912:H914"/>
    <mergeCell ref="I912:I914"/>
    <mergeCell ref="J912:J914"/>
    <mergeCell ref="K912:K914"/>
    <mergeCell ref="X909:X911"/>
    <mergeCell ref="Y909:Y911"/>
    <mergeCell ref="Z909:Z911"/>
    <mergeCell ref="AA909:AA911"/>
    <mergeCell ref="AB909:AB911"/>
    <mergeCell ref="A912:A914"/>
    <mergeCell ref="B912:B914"/>
    <mergeCell ref="C912:C914"/>
    <mergeCell ref="D912:D914"/>
    <mergeCell ref="E912:E914"/>
    <mergeCell ref="R909:R911"/>
    <mergeCell ref="S909:S911"/>
    <mergeCell ref="T909:T911"/>
    <mergeCell ref="U909:U911"/>
    <mergeCell ref="V909:V911"/>
    <mergeCell ref="W909:W911"/>
    <mergeCell ref="L909:L911"/>
    <mergeCell ref="M909:M911"/>
    <mergeCell ref="N909:N911"/>
    <mergeCell ref="O909:O911"/>
    <mergeCell ref="P909:P911"/>
    <mergeCell ref="Q909:Q911"/>
    <mergeCell ref="F909:F911"/>
    <mergeCell ref="G909:G911"/>
    <mergeCell ref="H909:H911"/>
    <mergeCell ref="I909:I911"/>
    <mergeCell ref="J909:J911"/>
    <mergeCell ref="K909:K911"/>
    <mergeCell ref="A909:A911"/>
    <mergeCell ref="B909:B911"/>
    <mergeCell ref="C909:C911"/>
    <mergeCell ref="D909:D911"/>
    <mergeCell ref="E909:E911"/>
    <mergeCell ref="R906:R908"/>
    <mergeCell ref="S906:S908"/>
    <mergeCell ref="T906:T908"/>
    <mergeCell ref="U906:U908"/>
    <mergeCell ref="V906:V908"/>
    <mergeCell ref="W906:W908"/>
    <mergeCell ref="L906:L908"/>
    <mergeCell ref="M906:M908"/>
    <mergeCell ref="N906:N908"/>
    <mergeCell ref="O906:O908"/>
    <mergeCell ref="P906:P908"/>
    <mergeCell ref="Q906:Q908"/>
    <mergeCell ref="F906:F908"/>
    <mergeCell ref="G906:G908"/>
    <mergeCell ref="H906:H908"/>
    <mergeCell ref="I906:I908"/>
    <mergeCell ref="J906:J908"/>
    <mergeCell ref="K906:K908"/>
    <mergeCell ref="AB903:AB905"/>
    <mergeCell ref="A906:A908"/>
    <mergeCell ref="B906:B908"/>
    <mergeCell ref="C906:C908"/>
    <mergeCell ref="D906:D908"/>
    <mergeCell ref="E906:E908"/>
    <mergeCell ref="R903:R905"/>
    <mergeCell ref="S903:S905"/>
    <mergeCell ref="T903:T905"/>
    <mergeCell ref="U903:U905"/>
    <mergeCell ref="V903:V905"/>
    <mergeCell ref="W903:W905"/>
    <mergeCell ref="L903:L905"/>
    <mergeCell ref="M903:M905"/>
    <mergeCell ref="N903:N905"/>
    <mergeCell ref="O903:O905"/>
    <mergeCell ref="P903:P905"/>
    <mergeCell ref="Q903:Q905"/>
    <mergeCell ref="F903:F905"/>
    <mergeCell ref="G903:G905"/>
    <mergeCell ref="H903:H905"/>
    <mergeCell ref="I903:I905"/>
    <mergeCell ref="J903:J905"/>
    <mergeCell ref="K903:K905"/>
    <mergeCell ref="X906:X908"/>
    <mergeCell ref="Y906:Y908"/>
    <mergeCell ref="Z906:Z908"/>
    <mergeCell ref="AA906:AA908"/>
    <mergeCell ref="AB906:AB908"/>
    <mergeCell ref="X900:X902"/>
    <mergeCell ref="Y900:Y902"/>
    <mergeCell ref="Z900:Z902"/>
    <mergeCell ref="AA900:AA902"/>
    <mergeCell ref="AB900:AB902"/>
    <mergeCell ref="A903:A905"/>
    <mergeCell ref="B903:B905"/>
    <mergeCell ref="C903:C905"/>
    <mergeCell ref="D903:D905"/>
    <mergeCell ref="E903:E905"/>
    <mergeCell ref="R900:R902"/>
    <mergeCell ref="S900:S902"/>
    <mergeCell ref="T900:T902"/>
    <mergeCell ref="U900:U902"/>
    <mergeCell ref="V900:V902"/>
    <mergeCell ref="W900:W902"/>
    <mergeCell ref="L900:L902"/>
    <mergeCell ref="M900:M902"/>
    <mergeCell ref="N900:N902"/>
    <mergeCell ref="O900:O902"/>
    <mergeCell ref="P900:P902"/>
    <mergeCell ref="Q900:Q902"/>
    <mergeCell ref="F900:F902"/>
    <mergeCell ref="G900:G902"/>
    <mergeCell ref="H900:H902"/>
    <mergeCell ref="I900:I902"/>
    <mergeCell ref="J900:J902"/>
    <mergeCell ref="K900:K902"/>
    <mergeCell ref="X903:X905"/>
    <mergeCell ref="Y903:Y905"/>
    <mergeCell ref="Z903:Z905"/>
    <mergeCell ref="AA903:AA905"/>
    <mergeCell ref="A900:A902"/>
    <mergeCell ref="B900:B902"/>
    <mergeCell ref="C900:C902"/>
    <mergeCell ref="D900:D902"/>
    <mergeCell ref="E900:E902"/>
    <mergeCell ref="R897:R899"/>
    <mergeCell ref="S897:S899"/>
    <mergeCell ref="T897:T899"/>
    <mergeCell ref="U897:U899"/>
    <mergeCell ref="V897:V899"/>
    <mergeCell ref="W897:W899"/>
    <mergeCell ref="L897:L899"/>
    <mergeCell ref="M897:M899"/>
    <mergeCell ref="N897:N899"/>
    <mergeCell ref="O897:O899"/>
    <mergeCell ref="P897:P899"/>
    <mergeCell ref="Q897:Q899"/>
    <mergeCell ref="F897:F899"/>
    <mergeCell ref="G897:G899"/>
    <mergeCell ref="H897:H899"/>
    <mergeCell ref="I897:I899"/>
    <mergeCell ref="J897:J899"/>
    <mergeCell ref="K897:K899"/>
    <mergeCell ref="A889:AF889"/>
    <mergeCell ref="A891:AF891"/>
    <mergeCell ref="A892:AF892"/>
    <mergeCell ref="A897:A899"/>
    <mergeCell ref="B897:B899"/>
    <mergeCell ref="C897:C899"/>
    <mergeCell ref="D897:D899"/>
    <mergeCell ref="E897:E899"/>
    <mergeCell ref="U878:U880"/>
    <mergeCell ref="V878:V880"/>
    <mergeCell ref="W878:W880"/>
    <mergeCell ref="X878:X880"/>
    <mergeCell ref="Y878:Y880"/>
    <mergeCell ref="Z878:Z880"/>
    <mergeCell ref="O878:O880"/>
    <mergeCell ref="P878:P880"/>
    <mergeCell ref="Q878:Q880"/>
    <mergeCell ref="R878:R880"/>
    <mergeCell ref="S878:S880"/>
    <mergeCell ref="T878:T880"/>
    <mergeCell ref="I878:I880"/>
    <mergeCell ref="J878:J880"/>
    <mergeCell ref="K878:K880"/>
    <mergeCell ref="L878:L880"/>
    <mergeCell ref="M878:M880"/>
    <mergeCell ref="N878:N880"/>
    <mergeCell ref="X897:X899"/>
    <mergeCell ref="Y897:Y899"/>
    <mergeCell ref="Z897:Z899"/>
    <mergeCell ref="AA897:AA899"/>
    <mergeCell ref="AB897:AB899"/>
    <mergeCell ref="AA875:AA877"/>
    <mergeCell ref="AB875:AB877"/>
    <mergeCell ref="A878:A880"/>
    <mergeCell ref="B878:B880"/>
    <mergeCell ref="C878:C880"/>
    <mergeCell ref="D878:D880"/>
    <mergeCell ref="E878:E880"/>
    <mergeCell ref="F878:F880"/>
    <mergeCell ref="G878:G880"/>
    <mergeCell ref="H878:H880"/>
    <mergeCell ref="U875:U877"/>
    <mergeCell ref="V875:V877"/>
    <mergeCell ref="W875:W877"/>
    <mergeCell ref="X875:X877"/>
    <mergeCell ref="Y875:Y877"/>
    <mergeCell ref="Z875:Z877"/>
    <mergeCell ref="O875:O877"/>
    <mergeCell ref="P875:P877"/>
    <mergeCell ref="Q875:Q877"/>
    <mergeCell ref="R875:R877"/>
    <mergeCell ref="S875:S877"/>
    <mergeCell ref="T875:T877"/>
    <mergeCell ref="I875:I877"/>
    <mergeCell ref="J875:J877"/>
    <mergeCell ref="K875:K877"/>
    <mergeCell ref="L875:L877"/>
    <mergeCell ref="M875:M877"/>
    <mergeCell ref="N875:N877"/>
    <mergeCell ref="AA878:AA880"/>
    <mergeCell ref="AB878:AB880"/>
    <mergeCell ref="A875:A877"/>
    <mergeCell ref="B875:B877"/>
    <mergeCell ref="C875:C877"/>
    <mergeCell ref="D875:D877"/>
    <mergeCell ref="E875:E877"/>
    <mergeCell ref="F875:F877"/>
    <mergeCell ref="G875:G877"/>
    <mergeCell ref="H875:H877"/>
    <mergeCell ref="U872:U874"/>
    <mergeCell ref="V872:V874"/>
    <mergeCell ref="W872:W874"/>
    <mergeCell ref="X872:X874"/>
    <mergeCell ref="Y872:Y874"/>
    <mergeCell ref="Z872:Z874"/>
    <mergeCell ref="O872:O874"/>
    <mergeCell ref="P872:P874"/>
    <mergeCell ref="Q872:Q874"/>
    <mergeCell ref="R872:R874"/>
    <mergeCell ref="S872:S874"/>
    <mergeCell ref="T872:T874"/>
    <mergeCell ref="I872:I874"/>
    <mergeCell ref="J872:J874"/>
    <mergeCell ref="K872:K874"/>
    <mergeCell ref="L872:L874"/>
    <mergeCell ref="M872:M874"/>
    <mergeCell ref="N872:N874"/>
    <mergeCell ref="AA869:AA871"/>
    <mergeCell ref="AB869:AB871"/>
    <mergeCell ref="A872:A874"/>
    <mergeCell ref="B872:B874"/>
    <mergeCell ref="C872:C874"/>
    <mergeCell ref="D872:D874"/>
    <mergeCell ref="E872:E874"/>
    <mergeCell ref="F872:F874"/>
    <mergeCell ref="G872:G874"/>
    <mergeCell ref="H872:H874"/>
    <mergeCell ref="U869:U871"/>
    <mergeCell ref="V869:V871"/>
    <mergeCell ref="W869:W871"/>
    <mergeCell ref="X869:X871"/>
    <mergeCell ref="Y869:Y871"/>
    <mergeCell ref="Z869:Z871"/>
    <mergeCell ref="O869:O871"/>
    <mergeCell ref="P869:P871"/>
    <mergeCell ref="Q869:Q871"/>
    <mergeCell ref="R869:R871"/>
    <mergeCell ref="S869:S871"/>
    <mergeCell ref="T869:T871"/>
    <mergeCell ref="I869:I871"/>
    <mergeCell ref="J869:J871"/>
    <mergeCell ref="K869:K871"/>
    <mergeCell ref="L869:L871"/>
    <mergeCell ref="M869:M871"/>
    <mergeCell ref="N869:N871"/>
    <mergeCell ref="AA872:AA874"/>
    <mergeCell ref="AB872:AB874"/>
    <mergeCell ref="A869:A871"/>
    <mergeCell ref="B869:B871"/>
    <mergeCell ref="C869:C871"/>
    <mergeCell ref="D869:D871"/>
    <mergeCell ref="E869:E871"/>
    <mergeCell ref="F869:F871"/>
    <mergeCell ref="G869:G871"/>
    <mergeCell ref="H869:H871"/>
    <mergeCell ref="U866:U868"/>
    <mergeCell ref="V866:V868"/>
    <mergeCell ref="W866:W868"/>
    <mergeCell ref="X866:X868"/>
    <mergeCell ref="Y866:Y868"/>
    <mergeCell ref="Z866:Z868"/>
    <mergeCell ref="O866:O868"/>
    <mergeCell ref="P866:P868"/>
    <mergeCell ref="Q866:Q868"/>
    <mergeCell ref="R866:R868"/>
    <mergeCell ref="S866:S868"/>
    <mergeCell ref="T866:T868"/>
    <mergeCell ref="I866:I868"/>
    <mergeCell ref="J866:J868"/>
    <mergeCell ref="K866:K868"/>
    <mergeCell ref="L866:L868"/>
    <mergeCell ref="M866:M868"/>
    <mergeCell ref="N866:N868"/>
    <mergeCell ref="AA863:AA865"/>
    <mergeCell ref="AB863:AB865"/>
    <mergeCell ref="A866:A868"/>
    <mergeCell ref="B866:B868"/>
    <mergeCell ref="C866:C868"/>
    <mergeCell ref="D866:D868"/>
    <mergeCell ref="E866:E868"/>
    <mergeCell ref="F866:F868"/>
    <mergeCell ref="G866:G868"/>
    <mergeCell ref="H866:H868"/>
    <mergeCell ref="U863:U865"/>
    <mergeCell ref="V863:V865"/>
    <mergeCell ref="W863:W865"/>
    <mergeCell ref="X863:X865"/>
    <mergeCell ref="Y863:Y865"/>
    <mergeCell ref="Z863:Z865"/>
    <mergeCell ref="O863:O865"/>
    <mergeCell ref="P863:P865"/>
    <mergeCell ref="Q863:Q865"/>
    <mergeCell ref="R863:R865"/>
    <mergeCell ref="S863:S865"/>
    <mergeCell ref="T863:T865"/>
    <mergeCell ref="I863:I865"/>
    <mergeCell ref="J863:J865"/>
    <mergeCell ref="K863:K865"/>
    <mergeCell ref="L863:L865"/>
    <mergeCell ref="M863:M865"/>
    <mergeCell ref="N863:N865"/>
    <mergeCell ref="AA866:AA868"/>
    <mergeCell ref="AB866:AB868"/>
    <mergeCell ref="A857:AF857"/>
    <mergeCell ref="A858:AF858"/>
    <mergeCell ref="A863:A865"/>
    <mergeCell ref="B863:B865"/>
    <mergeCell ref="C863:C865"/>
    <mergeCell ref="D863:D865"/>
    <mergeCell ref="E863:E865"/>
    <mergeCell ref="F863:F865"/>
    <mergeCell ref="G863:G865"/>
    <mergeCell ref="H863:H865"/>
    <mergeCell ref="X844:X846"/>
    <mergeCell ref="Y844:Y846"/>
    <mergeCell ref="Z844:Z846"/>
    <mergeCell ref="AA844:AA846"/>
    <mergeCell ref="AB844:AB846"/>
    <mergeCell ref="A855:AF855"/>
    <mergeCell ref="R844:R846"/>
    <mergeCell ref="S844:S846"/>
    <mergeCell ref="T844:T846"/>
    <mergeCell ref="U844:U846"/>
    <mergeCell ref="V844:V846"/>
    <mergeCell ref="W844:W846"/>
    <mergeCell ref="L844:L846"/>
    <mergeCell ref="M844:M846"/>
    <mergeCell ref="N844:N846"/>
    <mergeCell ref="O844:O846"/>
    <mergeCell ref="P844:P846"/>
    <mergeCell ref="Q844:Q846"/>
    <mergeCell ref="F844:F846"/>
    <mergeCell ref="G844:G846"/>
    <mergeCell ref="H844:H846"/>
    <mergeCell ref="I844:I846"/>
    <mergeCell ref="J844:J846"/>
    <mergeCell ref="K844:K846"/>
    <mergeCell ref="X841:X843"/>
    <mergeCell ref="Y841:Y843"/>
    <mergeCell ref="Z841:Z843"/>
    <mergeCell ref="AA841:AA843"/>
    <mergeCell ref="AB841:AB843"/>
    <mergeCell ref="A844:A846"/>
    <mergeCell ref="B844:B846"/>
    <mergeCell ref="C844:C846"/>
    <mergeCell ref="D844:D846"/>
    <mergeCell ref="E844:E846"/>
    <mergeCell ref="R841:R843"/>
    <mergeCell ref="S841:S843"/>
    <mergeCell ref="T841:T843"/>
    <mergeCell ref="U841:U843"/>
    <mergeCell ref="V841:V843"/>
    <mergeCell ref="W841:W843"/>
    <mergeCell ref="L841:L843"/>
    <mergeCell ref="M841:M843"/>
    <mergeCell ref="N841:N843"/>
    <mergeCell ref="O841:O843"/>
    <mergeCell ref="P841:P843"/>
    <mergeCell ref="Q841:Q843"/>
    <mergeCell ref="F841:F843"/>
    <mergeCell ref="G841:G843"/>
    <mergeCell ref="H841:H843"/>
    <mergeCell ref="I841:I843"/>
    <mergeCell ref="J841:J843"/>
    <mergeCell ref="K841:K843"/>
    <mergeCell ref="A841:A843"/>
    <mergeCell ref="B841:B843"/>
    <mergeCell ref="C841:C843"/>
    <mergeCell ref="D841:D843"/>
    <mergeCell ref="E841:E843"/>
    <mergeCell ref="R838:R840"/>
    <mergeCell ref="S838:S840"/>
    <mergeCell ref="T838:T840"/>
    <mergeCell ref="U838:U840"/>
    <mergeCell ref="V838:V840"/>
    <mergeCell ref="W838:W840"/>
    <mergeCell ref="L838:L840"/>
    <mergeCell ref="M838:M840"/>
    <mergeCell ref="N838:N840"/>
    <mergeCell ref="O838:O840"/>
    <mergeCell ref="P838:P840"/>
    <mergeCell ref="Q838:Q840"/>
    <mergeCell ref="F838:F840"/>
    <mergeCell ref="G838:G840"/>
    <mergeCell ref="H838:H840"/>
    <mergeCell ref="I838:I840"/>
    <mergeCell ref="J838:J840"/>
    <mergeCell ref="K838:K840"/>
    <mergeCell ref="AB835:AB837"/>
    <mergeCell ref="A838:A840"/>
    <mergeCell ref="B838:B840"/>
    <mergeCell ref="C838:C840"/>
    <mergeCell ref="D838:D840"/>
    <mergeCell ref="E838:E840"/>
    <mergeCell ref="R835:R837"/>
    <mergeCell ref="S835:S837"/>
    <mergeCell ref="T835:T837"/>
    <mergeCell ref="U835:U837"/>
    <mergeCell ref="V835:V837"/>
    <mergeCell ref="W835:W837"/>
    <mergeCell ref="L835:L837"/>
    <mergeCell ref="M835:M837"/>
    <mergeCell ref="N835:N837"/>
    <mergeCell ref="O835:O837"/>
    <mergeCell ref="P835:P837"/>
    <mergeCell ref="Q835:Q837"/>
    <mergeCell ref="F835:F837"/>
    <mergeCell ref="G835:G837"/>
    <mergeCell ref="H835:H837"/>
    <mergeCell ref="I835:I837"/>
    <mergeCell ref="J835:J837"/>
    <mergeCell ref="K835:K837"/>
    <mergeCell ref="X838:X840"/>
    <mergeCell ref="Y838:Y840"/>
    <mergeCell ref="Z838:Z840"/>
    <mergeCell ref="AA838:AA840"/>
    <mergeCell ref="AB838:AB840"/>
    <mergeCell ref="X832:X834"/>
    <mergeCell ref="Y832:Y834"/>
    <mergeCell ref="Z832:Z834"/>
    <mergeCell ref="AA832:AA834"/>
    <mergeCell ref="AB832:AB834"/>
    <mergeCell ref="A835:A837"/>
    <mergeCell ref="B835:B837"/>
    <mergeCell ref="C835:C837"/>
    <mergeCell ref="D835:D837"/>
    <mergeCell ref="E835:E837"/>
    <mergeCell ref="R832:R834"/>
    <mergeCell ref="S832:S834"/>
    <mergeCell ref="T832:T834"/>
    <mergeCell ref="U832:U834"/>
    <mergeCell ref="V832:V834"/>
    <mergeCell ref="W832:W834"/>
    <mergeCell ref="L832:L834"/>
    <mergeCell ref="M832:M834"/>
    <mergeCell ref="N832:N834"/>
    <mergeCell ref="O832:O834"/>
    <mergeCell ref="P832:P834"/>
    <mergeCell ref="Q832:Q834"/>
    <mergeCell ref="F832:F834"/>
    <mergeCell ref="G832:G834"/>
    <mergeCell ref="H832:H834"/>
    <mergeCell ref="I832:I834"/>
    <mergeCell ref="J832:J834"/>
    <mergeCell ref="K832:K834"/>
    <mergeCell ref="X835:X837"/>
    <mergeCell ref="Y835:Y837"/>
    <mergeCell ref="Z835:Z837"/>
    <mergeCell ref="AA835:AA837"/>
    <mergeCell ref="A832:A834"/>
    <mergeCell ref="B832:B834"/>
    <mergeCell ref="C832:C834"/>
    <mergeCell ref="D832:D834"/>
    <mergeCell ref="E832:E834"/>
    <mergeCell ref="R829:R831"/>
    <mergeCell ref="S829:S831"/>
    <mergeCell ref="T829:T831"/>
    <mergeCell ref="U829:U831"/>
    <mergeCell ref="V829:V831"/>
    <mergeCell ref="W829:W831"/>
    <mergeCell ref="L829:L831"/>
    <mergeCell ref="M829:M831"/>
    <mergeCell ref="N829:N831"/>
    <mergeCell ref="O829:O831"/>
    <mergeCell ref="P829:P831"/>
    <mergeCell ref="Q829:Q831"/>
    <mergeCell ref="F829:F831"/>
    <mergeCell ref="G829:G831"/>
    <mergeCell ref="H829:H831"/>
    <mergeCell ref="I829:I831"/>
    <mergeCell ref="J829:J831"/>
    <mergeCell ref="K829:K831"/>
    <mergeCell ref="A821:AF821"/>
    <mergeCell ref="A823:AF823"/>
    <mergeCell ref="A824:AF824"/>
    <mergeCell ref="A829:A831"/>
    <mergeCell ref="B829:B831"/>
    <mergeCell ref="C829:C831"/>
    <mergeCell ref="D829:D831"/>
    <mergeCell ref="E829:E831"/>
    <mergeCell ref="U810:U812"/>
    <mergeCell ref="V810:V812"/>
    <mergeCell ref="W810:W812"/>
    <mergeCell ref="X810:X812"/>
    <mergeCell ref="Y810:Y812"/>
    <mergeCell ref="Z810:Z812"/>
    <mergeCell ref="O810:O812"/>
    <mergeCell ref="P810:P812"/>
    <mergeCell ref="Q810:Q812"/>
    <mergeCell ref="R810:R812"/>
    <mergeCell ref="S810:S812"/>
    <mergeCell ref="T810:T812"/>
    <mergeCell ref="I810:I812"/>
    <mergeCell ref="J810:J812"/>
    <mergeCell ref="K810:K812"/>
    <mergeCell ref="L810:L812"/>
    <mergeCell ref="M810:M812"/>
    <mergeCell ref="N810:N812"/>
    <mergeCell ref="X829:X831"/>
    <mergeCell ref="Y829:Y831"/>
    <mergeCell ref="Z829:Z831"/>
    <mergeCell ref="AA829:AA831"/>
    <mergeCell ref="AB829:AB831"/>
    <mergeCell ref="AA807:AA809"/>
    <mergeCell ref="AB807:AB809"/>
    <mergeCell ref="A810:A812"/>
    <mergeCell ref="B810:B812"/>
    <mergeCell ref="C810:C812"/>
    <mergeCell ref="D810:D812"/>
    <mergeCell ref="E810:E812"/>
    <mergeCell ref="F810:F812"/>
    <mergeCell ref="G810:G812"/>
    <mergeCell ref="H810:H812"/>
    <mergeCell ref="U807:U809"/>
    <mergeCell ref="V807:V809"/>
    <mergeCell ref="W807:W809"/>
    <mergeCell ref="X807:X809"/>
    <mergeCell ref="Y807:Y809"/>
    <mergeCell ref="Z807:Z809"/>
    <mergeCell ref="O807:O809"/>
    <mergeCell ref="P807:P809"/>
    <mergeCell ref="Q807:Q809"/>
    <mergeCell ref="R807:R809"/>
    <mergeCell ref="S807:S809"/>
    <mergeCell ref="T807:T809"/>
    <mergeCell ref="I807:I809"/>
    <mergeCell ref="J807:J809"/>
    <mergeCell ref="K807:K809"/>
    <mergeCell ref="L807:L809"/>
    <mergeCell ref="M807:M809"/>
    <mergeCell ref="N807:N809"/>
    <mergeCell ref="AA810:AA812"/>
    <mergeCell ref="AB810:AB812"/>
    <mergeCell ref="A807:A809"/>
    <mergeCell ref="B807:B809"/>
    <mergeCell ref="C807:C809"/>
    <mergeCell ref="D807:D809"/>
    <mergeCell ref="E807:E809"/>
    <mergeCell ref="F807:F809"/>
    <mergeCell ref="G807:G809"/>
    <mergeCell ref="H807:H809"/>
    <mergeCell ref="U804:U806"/>
    <mergeCell ref="V804:V806"/>
    <mergeCell ref="W804:W806"/>
    <mergeCell ref="X804:X806"/>
    <mergeCell ref="Y804:Y806"/>
    <mergeCell ref="Z804:Z806"/>
    <mergeCell ref="O804:O806"/>
    <mergeCell ref="P804:P806"/>
    <mergeCell ref="Q804:Q806"/>
    <mergeCell ref="R804:R806"/>
    <mergeCell ref="S804:S806"/>
    <mergeCell ref="T804:T806"/>
    <mergeCell ref="I804:I806"/>
    <mergeCell ref="J804:J806"/>
    <mergeCell ref="K804:K806"/>
    <mergeCell ref="L804:L806"/>
    <mergeCell ref="M804:M806"/>
    <mergeCell ref="N804:N806"/>
    <mergeCell ref="AA801:AA803"/>
    <mergeCell ref="AB801:AB803"/>
    <mergeCell ref="A804:A806"/>
    <mergeCell ref="B804:B806"/>
    <mergeCell ref="C804:C806"/>
    <mergeCell ref="D804:D806"/>
    <mergeCell ref="E804:E806"/>
    <mergeCell ref="F804:F806"/>
    <mergeCell ref="G804:G806"/>
    <mergeCell ref="H804:H806"/>
    <mergeCell ref="U801:U803"/>
    <mergeCell ref="V801:V803"/>
    <mergeCell ref="W801:W803"/>
    <mergeCell ref="X801:X803"/>
    <mergeCell ref="Y801:Y803"/>
    <mergeCell ref="Z801:Z803"/>
    <mergeCell ref="O801:O803"/>
    <mergeCell ref="P801:P803"/>
    <mergeCell ref="Q801:Q803"/>
    <mergeCell ref="R801:R803"/>
    <mergeCell ref="S801:S803"/>
    <mergeCell ref="T801:T803"/>
    <mergeCell ref="I801:I803"/>
    <mergeCell ref="J801:J803"/>
    <mergeCell ref="K801:K803"/>
    <mergeCell ref="L801:L803"/>
    <mergeCell ref="M801:M803"/>
    <mergeCell ref="N801:N803"/>
    <mergeCell ref="AA804:AA806"/>
    <mergeCell ref="AB804:AB806"/>
    <mergeCell ref="A801:A803"/>
    <mergeCell ref="B801:B803"/>
    <mergeCell ref="C801:C803"/>
    <mergeCell ref="D801:D803"/>
    <mergeCell ref="E801:E803"/>
    <mergeCell ref="F801:F803"/>
    <mergeCell ref="G801:G803"/>
    <mergeCell ref="H801:H803"/>
    <mergeCell ref="U798:U800"/>
    <mergeCell ref="V798:V800"/>
    <mergeCell ref="W798:W800"/>
    <mergeCell ref="X798:X800"/>
    <mergeCell ref="Y798:Y800"/>
    <mergeCell ref="Z798:Z800"/>
    <mergeCell ref="O798:O800"/>
    <mergeCell ref="P798:P800"/>
    <mergeCell ref="Q798:Q800"/>
    <mergeCell ref="R798:R800"/>
    <mergeCell ref="S798:S800"/>
    <mergeCell ref="T798:T800"/>
    <mergeCell ref="I798:I800"/>
    <mergeCell ref="J798:J800"/>
    <mergeCell ref="K798:K800"/>
    <mergeCell ref="L798:L800"/>
    <mergeCell ref="M798:M800"/>
    <mergeCell ref="N798:N800"/>
    <mergeCell ref="AA795:AA797"/>
    <mergeCell ref="AB795:AB797"/>
    <mergeCell ref="A798:A800"/>
    <mergeCell ref="B798:B800"/>
    <mergeCell ref="C798:C800"/>
    <mergeCell ref="D798:D800"/>
    <mergeCell ref="E798:E800"/>
    <mergeCell ref="F798:F800"/>
    <mergeCell ref="G798:G800"/>
    <mergeCell ref="H798:H800"/>
    <mergeCell ref="U795:U797"/>
    <mergeCell ref="V795:V797"/>
    <mergeCell ref="W795:W797"/>
    <mergeCell ref="X795:X797"/>
    <mergeCell ref="Y795:Y797"/>
    <mergeCell ref="Z795:Z797"/>
    <mergeCell ref="O795:O797"/>
    <mergeCell ref="P795:P797"/>
    <mergeCell ref="Q795:Q797"/>
    <mergeCell ref="R795:R797"/>
    <mergeCell ref="S795:S797"/>
    <mergeCell ref="T795:T797"/>
    <mergeCell ref="I795:I797"/>
    <mergeCell ref="J795:J797"/>
    <mergeCell ref="K795:K797"/>
    <mergeCell ref="L795:L797"/>
    <mergeCell ref="M795:M797"/>
    <mergeCell ref="N795:N797"/>
    <mergeCell ref="AA798:AA800"/>
    <mergeCell ref="AB798:AB800"/>
    <mergeCell ref="A789:AF789"/>
    <mergeCell ref="A790:AF790"/>
    <mergeCell ref="A795:A797"/>
    <mergeCell ref="B795:B797"/>
    <mergeCell ref="C795:C797"/>
    <mergeCell ref="D795:D797"/>
    <mergeCell ref="E795:E797"/>
    <mergeCell ref="F795:F797"/>
    <mergeCell ref="G795:G797"/>
    <mergeCell ref="H795:H797"/>
    <mergeCell ref="X776:X778"/>
    <mergeCell ref="Y776:Y778"/>
    <mergeCell ref="Z776:Z778"/>
    <mergeCell ref="AA776:AA778"/>
    <mergeCell ref="AB776:AB778"/>
    <mergeCell ref="A787:AF787"/>
    <mergeCell ref="R776:R778"/>
    <mergeCell ref="S776:S778"/>
    <mergeCell ref="T776:T778"/>
    <mergeCell ref="U776:U778"/>
    <mergeCell ref="V776:V778"/>
    <mergeCell ref="W776:W778"/>
    <mergeCell ref="L776:L778"/>
    <mergeCell ref="M776:M778"/>
    <mergeCell ref="N776:N778"/>
    <mergeCell ref="O776:O778"/>
    <mergeCell ref="P776:P778"/>
    <mergeCell ref="Q776:Q778"/>
    <mergeCell ref="F776:F778"/>
    <mergeCell ref="G776:G778"/>
    <mergeCell ref="H776:H778"/>
    <mergeCell ref="I776:I778"/>
    <mergeCell ref="J776:J778"/>
    <mergeCell ref="K776:K778"/>
    <mergeCell ref="X773:X775"/>
    <mergeCell ref="Y773:Y775"/>
    <mergeCell ref="Z773:Z775"/>
    <mergeCell ref="AA773:AA775"/>
    <mergeCell ref="AB773:AB775"/>
    <mergeCell ref="A776:A778"/>
    <mergeCell ref="B776:B778"/>
    <mergeCell ref="C776:C778"/>
    <mergeCell ref="D776:D778"/>
    <mergeCell ref="E776:E778"/>
    <mergeCell ref="R773:R775"/>
    <mergeCell ref="S773:S775"/>
    <mergeCell ref="T773:T775"/>
    <mergeCell ref="U773:U775"/>
    <mergeCell ref="V773:V775"/>
    <mergeCell ref="W773:W775"/>
    <mergeCell ref="L773:L775"/>
    <mergeCell ref="M773:M775"/>
    <mergeCell ref="N773:N775"/>
    <mergeCell ref="O773:O775"/>
    <mergeCell ref="P773:P775"/>
    <mergeCell ref="Q773:Q775"/>
    <mergeCell ref="F773:F775"/>
    <mergeCell ref="G773:G775"/>
    <mergeCell ref="H773:H775"/>
    <mergeCell ref="I773:I775"/>
    <mergeCell ref="J773:J775"/>
    <mergeCell ref="K773:K775"/>
    <mergeCell ref="A773:A775"/>
    <mergeCell ref="B773:B775"/>
    <mergeCell ref="C773:C775"/>
    <mergeCell ref="D773:D775"/>
    <mergeCell ref="E773:E775"/>
    <mergeCell ref="R770:R772"/>
    <mergeCell ref="S770:S772"/>
    <mergeCell ref="T770:T772"/>
    <mergeCell ref="U770:U772"/>
    <mergeCell ref="V770:V772"/>
    <mergeCell ref="W770:W772"/>
    <mergeCell ref="L770:L772"/>
    <mergeCell ref="M770:M772"/>
    <mergeCell ref="N770:N772"/>
    <mergeCell ref="O770:O772"/>
    <mergeCell ref="P770:P772"/>
    <mergeCell ref="Q770:Q772"/>
    <mergeCell ref="F770:F772"/>
    <mergeCell ref="G770:G772"/>
    <mergeCell ref="H770:H772"/>
    <mergeCell ref="I770:I772"/>
    <mergeCell ref="J770:J772"/>
    <mergeCell ref="K770:K772"/>
    <mergeCell ref="AB767:AB769"/>
    <mergeCell ref="A770:A772"/>
    <mergeCell ref="B770:B772"/>
    <mergeCell ref="C770:C772"/>
    <mergeCell ref="D770:D772"/>
    <mergeCell ref="E770:E772"/>
    <mergeCell ref="R767:R769"/>
    <mergeCell ref="S767:S769"/>
    <mergeCell ref="T767:T769"/>
    <mergeCell ref="U767:U769"/>
    <mergeCell ref="V767:V769"/>
    <mergeCell ref="W767:W769"/>
    <mergeCell ref="L767:L769"/>
    <mergeCell ref="M767:M769"/>
    <mergeCell ref="N767:N769"/>
    <mergeCell ref="O767:O769"/>
    <mergeCell ref="P767:P769"/>
    <mergeCell ref="Q767:Q769"/>
    <mergeCell ref="F767:F769"/>
    <mergeCell ref="G767:G769"/>
    <mergeCell ref="H767:H769"/>
    <mergeCell ref="I767:I769"/>
    <mergeCell ref="J767:J769"/>
    <mergeCell ref="K767:K769"/>
    <mergeCell ref="X770:X772"/>
    <mergeCell ref="Y770:Y772"/>
    <mergeCell ref="Z770:Z772"/>
    <mergeCell ref="AA770:AA772"/>
    <mergeCell ref="AB770:AB772"/>
    <mergeCell ref="X764:X766"/>
    <mergeCell ref="Y764:Y766"/>
    <mergeCell ref="Z764:Z766"/>
    <mergeCell ref="AA764:AA766"/>
    <mergeCell ref="AB764:AB766"/>
    <mergeCell ref="A767:A769"/>
    <mergeCell ref="B767:B769"/>
    <mergeCell ref="C767:C769"/>
    <mergeCell ref="D767:D769"/>
    <mergeCell ref="E767:E769"/>
    <mergeCell ref="R764:R766"/>
    <mergeCell ref="S764:S766"/>
    <mergeCell ref="T764:T766"/>
    <mergeCell ref="U764:U766"/>
    <mergeCell ref="V764:V766"/>
    <mergeCell ref="W764:W766"/>
    <mergeCell ref="L764:L766"/>
    <mergeCell ref="M764:M766"/>
    <mergeCell ref="N764:N766"/>
    <mergeCell ref="O764:O766"/>
    <mergeCell ref="P764:P766"/>
    <mergeCell ref="Q764:Q766"/>
    <mergeCell ref="F764:F766"/>
    <mergeCell ref="G764:G766"/>
    <mergeCell ref="H764:H766"/>
    <mergeCell ref="I764:I766"/>
    <mergeCell ref="J764:J766"/>
    <mergeCell ref="K764:K766"/>
    <mergeCell ref="X767:X769"/>
    <mergeCell ref="Y767:Y769"/>
    <mergeCell ref="Z767:Z769"/>
    <mergeCell ref="AA767:AA769"/>
    <mergeCell ref="A764:A766"/>
    <mergeCell ref="B764:B766"/>
    <mergeCell ref="C764:C766"/>
    <mergeCell ref="D764:D766"/>
    <mergeCell ref="E764:E766"/>
    <mergeCell ref="R761:R763"/>
    <mergeCell ref="S761:S763"/>
    <mergeCell ref="T761:T763"/>
    <mergeCell ref="U761:U763"/>
    <mergeCell ref="V761:V763"/>
    <mergeCell ref="W761:W763"/>
    <mergeCell ref="L761:L763"/>
    <mergeCell ref="M761:M763"/>
    <mergeCell ref="N761:N763"/>
    <mergeCell ref="O761:O763"/>
    <mergeCell ref="P761:P763"/>
    <mergeCell ref="Q761:Q763"/>
    <mergeCell ref="F761:F763"/>
    <mergeCell ref="G761:G763"/>
    <mergeCell ref="H761:H763"/>
    <mergeCell ref="I761:I763"/>
    <mergeCell ref="J761:J763"/>
    <mergeCell ref="K761:K763"/>
    <mergeCell ref="A753:AF753"/>
    <mergeCell ref="A755:AF755"/>
    <mergeCell ref="A756:AF756"/>
    <mergeCell ref="A761:A763"/>
    <mergeCell ref="B761:B763"/>
    <mergeCell ref="C761:C763"/>
    <mergeCell ref="D761:D763"/>
    <mergeCell ref="E761:E763"/>
    <mergeCell ref="U742:U744"/>
    <mergeCell ref="V742:V744"/>
    <mergeCell ref="W742:W744"/>
    <mergeCell ref="X742:X744"/>
    <mergeCell ref="Y742:Y744"/>
    <mergeCell ref="Z742:Z744"/>
    <mergeCell ref="O742:O744"/>
    <mergeCell ref="P742:P744"/>
    <mergeCell ref="Q742:Q744"/>
    <mergeCell ref="R742:R744"/>
    <mergeCell ref="S742:S744"/>
    <mergeCell ref="T742:T744"/>
    <mergeCell ref="I742:I744"/>
    <mergeCell ref="J742:J744"/>
    <mergeCell ref="K742:K744"/>
    <mergeCell ref="L742:L744"/>
    <mergeCell ref="M742:M744"/>
    <mergeCell ref="N742:N744"/>
    <mergeCell ref="X761:X763"/>
    <mergeCell ref="Y761:Y763"/>
    <mergeCell ref="Z761:Z763"/>
    <mergeCell ref="AA761:AA763"/>
    <mergeCell ref="AB761:AB763"/>
    <mergeCell ref="AA739:AA741"/>
    <mergeCell ref="AB739:AB741"/>
    <mergeCell ref="A742:A744"/>
    <mergeCell ref="B742:B744"/>
    <mergeCell ref="C742:C744"/>
    <mergeCell ref="D742:D744"/>
    <mergeCell ref="E742:E744"/>
    <mergeCell ref="F742:F744"/>
    <mergeCell ref="G742:G744"/>
    <mergeCell ref="H742:H744"/>
    <mergeCell ref="U739:U741"/>
    <mergeCell ref="V739:V741"/>
    <mergeCell ref="W739:W741"/>
    <mergeCell ref="X739:X741"/>
    <mergeCell ref="Y739:Y741"/>
    <mergeCell ref="Z739:Z741"/>
    <mergeCell ref="O739:O741"/>
    <mergeCell ref="P739:P741"/>
    <mergeCell ref="Q739:Q741"/>
    <mergeCell ref="R739:R741"/>
    <mergeCell ref="S739:S741"/>
    <mergeCell ref="T739:T741"/>
    <mergeCell ref="I739:I741"/>
    <mergeCell ref="J739:J741"/>
    <mergeCell ref="K739:K741"/>
    <mergeCell ref="L739:L741"/>
    <mergeCell ref="M739:M741"/>
    <mergeCell ref="N739:N741"/>
    <mergeCell ref="AA742:AA744"/>
    <mergeCell ref="AB742:AB744"/>
    <mergeCell ref="A739:A741"/>
    <mergeCell ref="B739:B741"/>
    <mergeCell ref="C739:C741"/>
    <mergeCell ref="D739:D741"/>
    <mergeCell ref="E739:E741"/>
    <mergeCell ref="F739:F741"/>
    <mergeCell ref="G739:G741"/>
    <mergeCell ref="H739:H741"/>
    <mergeCell ref="U736:U738"/>
    <mergeCell ref="V736:V738"/>
    <mergeCell ref="W736:W738"/>
    <mergeCell ref="X736:X738"/>
    <mergeCell ref="Y736:Y738"/>
    <mergeCell ref="Z736:Z738"/>
    <mergeCell ref="O736:O738"/>
    <mergeCell ref="P736:P738"/>
    <mergeCell ref="Q736:Q738"/>
    <mergeCell ref="R736:R738"/>
    <mergeCell ref="S736:S738"/>
    <mergeCell ref="T736:T738"/>
    <mergeCell ref="I736:I738"/>
    <mergeCell ref="J736:J738"/>
    <mergeCell ref="K736:K738"/>
    <mergeCell ref="L736:L738"/>
    <mergeCell ref="M736:M738"/>
    <mergeCell ref="N736:N738"/>
    <mergeCell ref="AA733:AA735"/>
    <mergeCell ref="AB733:AB735"/>
    <mergeCell ref="A736:A738"/>
    <mergeCell ref="B736:B738"/>
    <mergeCell ref="C736:C738"/>
    <mergeCell ref="D736:D738"/>
    <mergeCell ref="E736:E738"/>
    <mergeCell ref="F736:F738"/>
    <mergeCell ref="G736:G738"/>
    <mergeCell ref="H736:H738"/>
    <mergeCell ref="U733:U735"/>
    <mergeCell ref="V733:V735"/>
    <mergeCell ref="W733:W735"/>
    <mergeCell ref="X733:X735"/>
    <mergeCell ref="Y733:Y735"/>
    <mergeCell ref="Z733:Z735"/>
    <mergeCell ref="O733:O735"/>
    <mergeCell ref="P733:P735"/>
    <mergeCell ref="Q733:Q735"/>
    <mergeCell ref="R733:R735"/>
    <mergeCell ref="S733:S735"/>
    <mergeCell ref="T733:T735"/>
    <mergeCell ref="I733:I735"/>
    <mergeCell ref="J733:J735"/>
    <mergeCell ref="K733:K735"/>
    <mergeCell ref="L733:L735"/>
    <mergeCell ref="M733:M735"/>
    <mergeCell ref="N733:N735"/>
    <mergeCell ref="AA736:AA738"/>
    <mergeCell ref="AB736:AB738"/>
    <mergeCell ref="A733:A735"/>
    <mergeCell ref="B733:B735"/>
    <mergeCell ref="C733:C735"/>
    <mergeCell ref="D733:D735"/>
    <mergeCell ref="E733:E735"/>
    <mergeCell ref="F733:F735"/>
    <mergeCell ref="G733:G735"/>
    <mergeCell ref="H733:H735"/>
    <mergeCell ref="U730:U732"/>
    <mergeCell ref="V730:V732"/>
    <mergeCell ref="W730:W732"/>
    <mergeCell ref="X730:X732"/>
    <mergeCell ref="Y730:Y732"/>
    <mergeCell ref="Z730:Z732"/>
    <mergeCell ref="O730:O732"/>
    <mergeCell ref="P730:P732"/>
    <mergeCell ref="Q730:Q732"/>
    <mergeCell ref="R730:R732"/>
    <mergeCell ref="S730:S732"/>
    <mergeCell ref="T730:T732"/>
    <mergeCell ref="I730:I732"/>
    <mergeCell ref="J730:J732"/>
    <mergeCell ref="K730:K732"/>
    <mergeCell ref="L730:L732"/>
    <mergeCell ref="M730:M732"/>
    <mergeCell ref="N730:N732"/>
    <mergeCell ref="AA727:AA729"/>
    <mergeCell ref="AB727:AB729"/>
    <mergeCell ref="A730:A732"/>
    <mergeCell ref="B730:B732"/>
    <mergeCell ref="C730:C732"/>
    <mergeCell ref="D730:D732"/>
    <mergeCell ref="E730:E732"/>
    <mergeCell ref="F730:F732"/>
    <mergeCell ref="G730:G732"/>
    <mergeCell ref="H730:H732"/>
    <mergeCell ref="U727:U729"/>
    <mergeCell ref="V727:V729"/>
    <mergeCell ref="W727:W729"/>
    <mergeCell ref="X727:X729"/>
    <mergeCell ref="Y727:Y729"/>
    <mergeCell ref="Z727:Z729"/>
    <mergeCell ref="O727:O729"/>
    <mergeCell ref="P727:P729"/>
    <mergeCell ref="Q727:Q729"/>
    <mergeCell ref="R727:R729"/>
    <mergeCell ref="S727:S729"/>
    <mergeCell ref="T727:T729"/>
    <mergeCell ref="I727:I729"/>
    <mergeCell ref="J727:J729"/>
    <mergeCell ref="K727:K729"/>
    <mergeCell ref="L727:L729"/>
    <mergeCell ref="M727:M729"/>
    <mergeCell ref="N727:N729"/>
    <mergeCell ref="AA730:AA732"/>
    <mergeCell ref="AB730:AB732"/>
    <mergeCell ref="A721:AF721"/>
    <mergeCell ref="A722:AF722"/>
    <mergeCell ref="A727:A729"/>
    <mergeCell ref="B727:B729"/>
    <mergeCell ref="C727:C729"/>
    <mergeCell ref="D727:D729"/>
    <mergeCell ref="E727:E729"/>
    <mergeCell ref="F727:F729"/>
    <mergeCell ref="G727:G729"/>
    <mergeCell ref="H727:H729"/>
    <mergeCell ref="X708:X710"/>
    <mergeCell ref="Y708:Y710"/>
    <mergeCell ref="Z708:Z710"/>
    <mergeCell ref="AA708:AA710"/>
    <mergeCell ref="AB708:AB710"/>
    <mergeCell ref="A719:AF719"/>
    <mergeCell ref="R708:R710"/>
    <mergeCell ref="S708:S710"/>
    <mergeCell ref="T708:T710"/>
    <mergeCell ref="U708:U710"/>
    <mergeCell ref="V708:V710"/>
    <mergeCell ref="W708:W710"/>
    <mergeCell ref="L708:L710"/>
    <mergeCell ref="M708:M710"/>
    <mergeCell ref="N708:N710"/>
    <mergeCell ref="O708:O710"/>
    <mergeCell ref="P708:P710"/>
    <mergeCell ref="Q708:Q710"/>
    <mergeCell ref="F708:F710"/>
    <mergeCell ref="G708:G710"/>
    <mergeCell ref="H708:H710"/>
    <mergeCell ref="I708:I710"/>
    <mergeCell ref="J708:J710"/>
    <mergeCell ref="K708:K710"/>
    <mergeCell ref="X705:X707"/>
    <mergeCell ref="Y705:Y707"/>
    <mergeCell ref="Z705:Z707"/>
    <mergeCell ref="AA705:AA707"/>
    <mergeCell ref="AB705:AB707"/>
    <mergeCell ref="A708:A710"/>
    <mergeCell ref="B708:B710"/>
    <mergeCell ref="C708:C710"/>
    <mergeCell ref="D708:D710"/>
    <mergeCell ref="E708:E710"/>
    <mergeCell ref="R705:R707"/>
    <mergeCell ref="S705:S707"/>
    <mergeCell ref="T705:T707"/>
    <mergeCell ref="U705:U707"/>
    <mergeCell ref="V705:V707"/>
    <mergeCell ref="W705:W707"/>
    <mergeCell ref="L705:L707"/>
    <mergeCell ref="M705:M707"/>
    <mergeCell ref="N705:N707"/>
    <mergeCell ref="O705:O707"/>
    <mergeCell ref="P705:P707"/>
    <mergeCell ref="Q705:Q707"/>
    <mergeCell ref="F705:F707"/>
    <mergeCell ref="G705:G707"/>
    <mergeCell ref="H705:H707"/>
    <mergeCell ref="I705:I707"/>
    <mergeCell ref="J705:J707"/>
    <mergeCell ref="K705:K707"/>
    <mergeCell ref="A705:A707"/>
    <mergeCell ref="B705:B707"/>
    <mergeCell ref="C705:C707"/>
    <mergeCell ref="D705:D707"/>
    <mergeCell ref="E705:E707"/>
    <mergeCell ref="R702:R704"/>
    <mergeCell ref="S702:S704"/>
    <mergeCell ref="T702:T704"/>
    <mergeCell ref="U702:U704"/>
    <mergeCell ref="V702:V704"/>
    <mergeCell ref="W702:W704"/>
    <mergeCell ref="L702:L704"/>
    <mergeCell ref="M702:M704"/>
    <mergeCell ref="N702:N704"/>
    <mergeCell ref="O702:O704"/>
    <mergeCell ref="P702:P704"/>
    <mergeCell ref="Q702:Q704"/>
    <mergeCell ref="F702:F704"/>
    <mergeCell ref="G702:G704"/>
    <mergeCell ref="H702:H704"/>
    <mergeCell ref="I702:I704"/>
    <mergeCell ref="J702:J704"/>
    <mergeCell ref="K702:K704"/>
    <mergeCell ref="AB699:AB701"/>
    <mergeCell ref="A702:A704"/>
    <mergeCell ref="B702:B704"/>
    <mergeCell ref="C702:C704"/>
    <mergeCell ref="D702:D704"/>
    <mergeCell ref="E702:E704"/>
    <mergeCell ref="R699:R701"/>
    <mergeCell ref="S699:S701"/>
    <mergeCell ref="T699:T701"/>
    <mergeCell ref="U699:U701"/>
    <mergeCell ref="V699:V701"/>
    <mergeCell ref="W699:W701"/>
    <mergeCell ref="L699:L701"/>
    <mergeCell ref="M699:M701"/>
    <mergeCell ref="N699:N701"/>
    <mergeCell ref="O699:O701"/>
    <mergeCell ref="P699:P701"/>
    <mergeCell ref="Q699:Q701"/>
    <mergeCell ref="F699:F701"/>
    <mergeCell ref="G699:G701"/>
    <mergeCell ref="H699:H701"/>
    <mergeCell ref="I699:I701"/>
    <mergeCell ref="J699:J701"/>
    <mergeCell ref="K699:K701"/>
    <mergeCell ref="X702:X704"/>
    <mergeCell ref="Y702:Y704"/>
    <mergeCell ref="Z702:Z704"/>
    <mergeCell ref="AA702:AA704"/>
    <mergeCell ref="AB702:AB704"/>
    <mergeCell ref="X696:X698"/>
    <mergeCell ref="Y696:Y698"/>
    <mergeCell ref="Z696:Z698"/>
    <mergeCell ref="AA696:AA698"/>
    <mergeCell ref="AB696:AB698"/>
    <mergeCell ref="A699:A701"/>
    <mergeCell ref="B699:B701"/>
    <mergeCell ref="C699:C701"/>
    <mergeCell ref="D699:D701"/>
    <mergeCell ref="E699:E701"/>
    <mergeCell ref="R696:R698"/>
    <mergeCell ref="S696:S698"/>
    <mergeCell ref="T696:T698"/>
    <mergeCell ref="U696:U698"/>
    <mergeCell ref="V696:V698"/>
    <mergeCell ref="W696:W698"/>
    <mergeCell ref="L696:L698"/>
    <mergeCell ref="M696:M698"/>
    <mergeCell ref="N696:N698"/>
    <mergeCell ref="O696:O698"/>
    <mergeCell ref="P696:P698"/>
    <mergeCell ref="Q696:Q698"/>
    <mergeCell ref="F696:F698"/>
    <mergeCell ref="G696:G698"/>
    <mergeCell ref="H696:H698"/>
    <mergeCell ref="I696:I698"/>
    <mergeCell ref="J696:J698"/>
    <mergeCell ref="K696:K698"/>
    <mergeCell ref="X699:X701"/>
    <mergeCell ref="Y699:Y701"/>
    <mergeCell ref="Z699:Z701"/>
    <mergeCell ref="AA699:AA701"/>
    <mergeCell ref="A696:A698"/>
    <mergeCell ref="B696:B698"/>
    <mergeCell ref="C696:C698"/>
    <mergeCell ref="D696:D698"/>
    <mergeCell ref="E696:E698"/>
    <mergeCell ref="R693:R695"/>
    <mergeCell ref="S693:S695"/>
    <mergeCell ref="T693:T695"/>
    <mergeCell ref="U693:U695"/>
    <mergeCell ref="V693:V695"/>
    <mergeCell ref="W693:W695"/>
    <mergeCell ref="L693:L695"/>
    <mergeCell ref="M693:M695"/>
    <mergeCell ref="N693:N695"/>
    <mergeCell ref="O693:O695"/>
    <mergeCell ref="P693:P695"/>
    <mergeCell ref="Q693:Q695"/>
    <mergeCell ref="F693:F695"/>
    <mergeCell ref="G693:G695"/>
    <mergeCell ref="H693:H695"/>
    <mergeCell ref="I693:I695"/>
    <mergeCell ref="J693:J695"/>
    <mergeCell ref="K693:K695"/>
    <mergeCell ref="A685:AF685"/>
    <mergeCell ref="A687:AF687"/>
    <mergeCell ref="A688:AF688"/>
    <mergeCell ref="A693:A695"/>
    <mergeCell ref="B693:B695"/>
    <mergeCell ref="C693:C695"/>
    <mergeCell ref="D693:D695"/>
    <mergeCell ref="E693:E695"/>
    <mergeCell ref="U674:U676"/>
    <mergeCell ref="V674:V676"/>
    <mergeCell ref="W674:W676"/>
    <mergeCell ref="X674:X676"/>
    <mergeCell ref="Y674:Y676"/>
    <mergeCell ref="Z674:Z676"/>
    <mergeCell ref="O674:O676"/>
    <mergeCell ref="P674:P676"/>
    <mergeCell ref="Q674:Q676"/>
    <mergeCell ref="R674:R676"/>
    <mergeCell ref="S674:S676"/>
    <mergeCell ref="T674:T676"/>
    <mergeCell ref="I674:I676"/>
    <mergeCell ref="J674:J676"/>
    <mergeCell ref="K674:K676"/>
    <mergeCell ref="L674:L676"/>
    <mergeCell ref="M674:M676"/>
    <mergeCell ref="N674:N676"/>
    <mergeCell ref="X693:X695"/>
    <mergeCell ref="Y693:Y695"/>
    <mergeCell ref="Z693:Z695"/>
    <mergeCell ref="AA693:AA695"/>
    <mergeCell ref="AB693:AB695"/>
    <mergeCell ref="AA671:AA673"/>
    <mergeCell ref="AB671:AB673"/>
    <mergeCell ref="A674:A676"/>
    <mergeCell ref="B674:B676"/>
    <mergeCell ref="C674:C676"/>
    <mergeCell ref="D674:D676"/>
    <mergeCell ref="E674:E676"/>
    <mergeCell ref="F674:F676"/>
    <mergeCell ref="G674:G676"/>
    <mergeCell ref="H674:H676"/>
    <mergeCell ref="U671:U673"/>
    <mergeCell ref="V671:V673"/>
    <mergeCell ref="W671:W673"/>
    <mergeCell ref="X671:X673"/>
    <mergeCell ref="Y671:Y673"/>
    <mergeCell ref="Z671:Z673"/>
    <mergeCell ref="O671:O673"/>
    <mergeCell ref="P671:P673"/>
    <mergeCell ref="Q671:Q673"/>
    <mergeCell ref="R671:R673"/>
    <mergeCell ref="S671:S673"/>
    <mergeCell ref="T671:T673"/>
    <mergeCell ref="I671:I673"/>
    <mergeCell ref="J671:J673"/>
    <mergeCell ref="K671:K673"/>
    <mergeCell ref="L671:L673"/>
    <mergeCell ref="M671:M673"/>
    <mergeCell ref="N671:N673"/>
    <mergeCell ref="AA674:AA676"/>
    <mergeCell ref="AB674:AB676"/>
    <mergeCell ref="A671:A673"/>
    <mergeCell ref="B671:B673"/>
    <mergeCell ref="C671:C673"/>
    <mergeCell ref="D671:D673"/>
    <mergeCell ref="E671:E673"/>
    <mergeCell ref="F671:F673"/>
    <mergeCell ref="G671:G673"/>
    <mergeCell ref="H671:H673"/>
    <mergeCell ref="U668:U670"/>
    <mergeCell ref="V668:V670"/>
    <mergeCell ref="W668:W670"/>
    <mergeCell ref="X668:X670"/>
    <mergeCell ref="Y668:Y670"/>
    <mergeCell ref="Z668:Z670"/>
    <mergeCell ref="O668:O670"/>
    <mergeCell ref="P668:P670"/>
    <mergeCell ref="Q668:Q670"/>
    <mergeCell ref="R668:R670"/>
    <mergeCell ref="S668:S670"/>
    <mergeCell ref="T668:T670"/>
    <mergeCell ref="I668:I670"/>
    <mergeCell ref="J668:J670"/>
    <mergeCell ref="K668:K670"/>
    <mergeCell ref="L668:L670"/>
    <mergeCell ref="M668:M670"/>
    <mergeCell ref="N668:N670"/>
    <mergeCell ref="AA665:AA667"/>
    <mergeCell ref="AB665:AB667"/>
    <mergeCell ref="A668:A670"/>
    <mergeCell ref="B668:B670"/>
    <mergeCell ref="C668:C670"/>
    <mergeCell ref="D668:D670"/>
    <mergeCell ref="E668:E670"/>
    <mergeCell ref="F668:F670"/>
    <mergeCell ref="G668:G670"/>
    <mergeCell ref="H668:H670"/>
    <mergeCell ref="U665:U667"/>
    <mergeCell ref="V665:V667"/>
    <mergeCell ref="W665:W667"/>
    <mergeCell ref="X665:X667"/>
    <mergeCell ref="Y665:Y667"/>
    <mergeCell ref="Z665:Z667"/>
    <mergeCell ref="O665:O667"/>
    <mergeCell ref="P665:P667"/>
    <mergeCell ref="Q665:Q667"/>
    <mergeCell ref="R665:R667"/>
    <mergeCell ref="S665:S667"/>
    <mergeCell ref="T665:T667"/>
    <mergeCell ref="I665:I667"/>
    <mergeCell ref="J665:J667"/>
    <mergeCell ref="K665:K667"/>
    <mergeCell ref="L665:L667"/>
    <mergeCell ref="M665:M667"/>
    <mergeCell ref="N665:N667"/>
    <mergeCell ref="AA668:AA670"/>
    <mergeCell ref="AB668:AB670"/>
    <mergeCell ref="A665:A667"/>
    <mergeCell ref="B665:B667"/>
    <mergeCell ref="C665:C667"/>
    <mergeCell ref="D665:D667"/>
    <mergeCell ref="E665:E667"/>
    <mergeCell ref="F665:F667"/>
    <mergeCell ref="G665:G667"/>
    <mergeCell ref="H665:H667"/>
    <mergeCell ref="U662:U664"/>
    <mergeCell ref="V662:V664"/>
    <mergeCell ref="W662:W664"/>
    <mergeCell ref="X662:X664"/>
    <mergeCell ref="Y662:Y664"/>
    <mergeCell ref="Z662:Z664"/>
    <mergeCell ref="O662:O664"/>
    <mergeCell ref="P662:P664"/>
    <mergeCell ref="Q662:Q664"/>
    <mergeCell ref="R662:R664"/>
    <mergeCell ref="S662:S664"/>
    <mergeCell ref="T662:T664"/>
    <mergeCell ref="I662:I664"/>
    <mergeCell ref="J662:J664"/>
    <mergeCell ref="K662:K664"/>
    <mergeCell ref="L662:L664"/>
    <mergeCell ref="M662:M664"/>
    <mergeCell ref="N662:N664"/>
    <mergeCell ref="AA659:AA661"/>
    <mergeCell ref="AB659:AB661"/>
    <mergeCell ref="A662:A664"/>
    <mergeCell ref="B662:B664"/>
    <mergeCell ref="C662:C664"/>
    <mergeCell ref="D662:D664"/>
    <mergeCell ref="E662:E664"/>
    <mergeCell ref="F662:F664"/>
    <mergeCell ref="G662:G664"/>
    <mergeCell ref="H662:H664"/>
    <mergeCell ref="U659:U661"/>
    <mergeCell ref="V659:V661"/>
    <mergeCell ref="W659:W661"/>
    <mergeCell ref="X659:X661"/>
    <mergeCell ref="Y659:Y661"/>
    <mergeCell ref="Z659:Z661"/>
    <mergeCell ref="O659:O661"/>
    <mergeCell ref="P659:P661"/>
    <mergeCell ref="Q659:Q661"/>
    <mergeCell ref="R659:R661"/>
    <mergeCell ref="S659:S661"/>
    <mergeCell ref="T659:T661"/>
    <mergeCell ref="I659:I661"/>
    <mergeCell ref="J659:J661"/>
    <mergeCell ref="K659:K661"/>
    <mergeCell ref="L659:L661"/>
    <mergeCell ref="M659:M661"/>
    <mergeCell ref="N659:N661"/>
    <mergeCell ref="AA662:AA664"/>
    <mergeCell ref="AB662:AB664"/>
    <mergeCell ref="A653:AF653"/>
    <mergeCell ref="A654:AF654"/>
    <mergeCell ref="A659:A661"/>
    <mergeCell ref="B659:B661"/>
    <mergeCell ref="C659:C661"/>
    <mergeCell ref="D659:D661"/>
    <mergeCell ref="E659:E661"/>
    <mergeCell ref="F659:F661"/>
    <mergeCell ref="G659:G661"/>
    <mergeCell ref="H659:H661"/>
    <mergeCell ref="X640:X642"/>
    <mergeCell ref="Y640:Y642"/>
    <mergeCell ref="Z640:Z642"/>
    <mergeCell ref="AA640:AA642"/>
    <mergeCell ref="AB640:AB642"/>
    <mergeCell ref="A651:AF651"/>
    <mergeCell ref="R640:R642"/>
    <mergeCell ref="S640:S642"/>
    <mergeCell ref="T640:T642"/>
    <mergeCell ref="U640:U642"/>
    <mergeCell ref="V640:V642"/>
    <mergeCell ref="W640:W642"/>
    <mergeCell ref="L640:L642"/>
    <mergeCell ref="M640:M642"/>
    <mergeCell ref="N640:N642"/>
    <mergeCell ref="O640:O642"/>
    <mergeCell ref="P640:P642"/>
    <mergeCell ref="Q640:Q642"/>
    <mergeCell ref="F640:F642"/>
    <mergeCell ref="G640:G642"/>
    <mergeCell ref="H640:H642"/>
    <mergeCell ref="I640:I642"/>
    <mergeCell ref="J640:J642"/>
    <mergeCell ref="K640:K642"/>
    <mergeCell ref="X637:X639"/>
    <mergeCell ref="Y637:Y639"/>
    <mergeCell ref="Z637:Z639"/>
    <mergeCell ref="AA637:AA639"/>
    <mergeCell ref="AB637:AB639"/>
    <mergeCell ref="A640:A642"/>
    <mergeCell ref="B640:B642"/>
    <mergeCell ref="C640:C642"/>
    <mergeCell ref="D640:D642"/>
    <mergeCell ref="E640:E642"/>
    <mergeCell ref="R637:R639"/>
    <mergeCell ref="S637:S639"/>
    <mergeCell ref="T637:T639"/>
    <mergeCell ref="U637:U639"/>
    <mergeCell ref="V637:V639"/>
    <mergeCell ref="W637:W639"/>
    <mergeCell ref="L637:L639"/>
    <mergeCell ref="M637:M639"/>
    <mergeCell ref="N637:N639"/>
    <mergeCell ref="O637:O639"/>
    <mergeCell ref="P637:P639"/>
    <mergeCell ref="Q637:Q639"/>
    <mergeCell ref="F637:F639"/>
    <mergeCell ref="G637:G639"/>
    <mergeCell ref="H637:H639"/>
    <mergeCell ref="I637:I639"/>
    <mergeCell ref="J637:J639"/>
    <mergeCell ref="K637:K639"/>
    <mergeCell ref="A637:A639"/>
    <mergeCell ref="B637:B639"/>
    <mergeCell ref="C637:C639"/>
    <mergeCell ref="D637:D639"/>
    <mergeCell ref="E637:E639"/>
    <mergeCell ref="R634:R636"/>
    <mergeCell ref="S634:S636"/>
    <mergeCell ref="T634:T636"/>
    <mergeCell ref="U634:U636"/>
    <mergeCell ref="V634:V636"/>
    <mergeCell ref="W634:W636"/>
    <mergeCell ref="L634:L636"/>
    <mergeCell ref="M634:M636"/>
    <mergeCell ref="N634:N636"/>
    <mergeCell ref="O634:O636"/>
    <mergeCell ref="P634:P636"/>
    <mergeCell ref="Q634:Q636"/>
    <mergeCell ref="F634:F636"/>
    <mergeCell ref="G634:G636"/>
    <mergeCell ref="H634:H636"/>
    <mergeCell ref="I634:I636"/>
    <mergeCell ref="J634:J636"/>
    <mergeCell ref="K634:K636"/>
    <mergeCell ref="AB631:AB633"/>
    <mergeCell ref="A634:A636"/>
    <mergeCell ref="B634:B636"/>
    <mergeCell ref="C634:C636"/>
    <mergeCell ref="D634:D636"/>
    <mergeCell ref="E634:E636"/>
    <mergeCell ref="R631:R633"/>
    <mergeCell ref="S631:S633"/>
    <mergeCell ref="T631:T633"/>
    <mergeCell ref="U631:U633"/>
    <mergeCell ref="V631:V633"/>
    <mergeCell ref="W631:W633"/>
    <mergeCell ref="L631:L633"/>
    <mergeCell ref="M631:M633"/>
    <mergeCell ref="N631:N633"/>
    <mergeCell ref="O631:O633"/>
    <mergeCell ref="P631:P633"/>
    <mergeCell ref="Q631:Q633"/>
    <mergeCell ref="F631:F633"/>
    <mergeCell ref="G631:G633"/>
    <mergeCell ref="H631:H633"/>
    <mergeCell ref="I631:I633"/>
    <mergeCell ref="J631:J633"/>
    <mergeCell ref="K631:K633"/>
    <mergeCell ref="X634:X636"/>
    <mergeCell ref="Y634:Y636"/>
    <mergeCell ref="Z634:Z636"/>
    <mergeCell ref="AA634:AA636"/>
    <mergeCell ref="AB634:AB636"/>
    <mergeCell ref="X628:X630"/>
    <mergeCell ref="Y628:Y630"/>
    <mergeCell ref="Z628:Z630"/>
    <mergeCell ref="AA628:AA630"/>
    <mergeCell ref="AB628:AB630"/>
    <mergeCell ref="A631:A633"/>
    <mergeCell ref="B631:B633"/>
    <mergeCell ref="C631:C633"/>
    <mergeCell ref="D631:D633"/>
    <mergeCell ref="E631:E633"/>
    <mergeCell ref="R628:R630"/>
    <mergeCell ref="S628:S630"/>
    <mergeCell ref="T628:T630"/>
    <mergeCell ref="U628:U630"/>
    <mergeCell ref="V628:V630"/>
    <mergeCell ref="W628:W630"/>
    <mergeCell ref="L628:L630"/>
    <mergeCell ref="M628:M630"/>
    <mergeCell ref="N628:N630"/>
    <mergeCell ref="O628:O630"/>
    <mergeCell ref="P628:P630"/>
    <mergeCell ref="Q628:Q630"/>
    <mergeCell ref="F628:F630"/>
    <mergeCell ref="G628:G630"/>
    <mergeCell ref="H628:H630"/>
    <mergeCell ref="I628:I630"/>
    <mergeCell ref="J628:J630"/>
    <mergeCell ref="K628:K630"/>
    <mergeCell ref="X631:X633"/>
    <mergeCell ref="Y631:Y633"/>
    <mergeCell ref="Z631:Z633"/>
    <mergeCell ref="AA631:AA633"/>
    <mergeCell ref="A628:A630"/>
    <mergeCell ref="B628:B630"/>
    <mergeCell ref="C628:C630"/>
    <mergeCell ref="D628:D630"/>
    <mergeCell ref="E628:E630"/>
    <mergeCell ref="R625:R627"/>
    <mergeCell ref="S625:S627"/>
    <mergeCell ref="T625:T627"/>
    <mergeCell ref="U625:U627"/>
    <mergeCell ref="V625:V627"/>
    <mergeCell ref="W625:W627"/>
    <mergeCell ref="L625:L627"/>
    <mergeCell ref="M625:M627"/>
    <mergeCell ref="N625:N627"/>
    <mergeCell ref="O625:O627"/>
    <mergeCell ref="P625:P627"/>
    <mergeCell ref="Q625:Q627"/>
    <mergeCell ref="F625:F627"/>
    <mergeCell ref="G625:G627"/>
    <mergeCell ref="H625:H627"/>
    <mergeCell ref="I625:I627"/>
    <mergeCell ref="J625:J627"/>
    <mergeCell ref="K625:K627"/>
    <mergeCell ref="A616:AF616"/>
    <mergeCell ref="A618:AF618"/>
    <mergeCell ref="A619:AF619"/>
    <mergeCell ref="A620:AF620"/>
    <mergeCell ref="A625:A627"/>
    <mergeCell ref="B625:B627"/>
    <mergeCell ref="C625:C627"/>
    <mergeCell ref="D625:D627"/>
    <mergeCell ref="E625:E627"/>
    <mergeCell ref="V606:V608"/>
    <mergeCell ref="W606:W608"/>
    <mergeCell ref="X606:X608"/>
    <mergeCell ref="Y606:Y608"/>
    <mergeCell ref="Z606:Z608"/>
    <mergeCell ref="AA606:AA608"/>
    <mergeCell ref="P606:P608"/>
    <mergeCell ref="Q606:Q608"/>
    <mergeCell ref="R606:R608"/>
    <mergeCell ref="S606:S608"/>
    <mergeCell ref="T606:T608"/>
    <mergeCell ref="U606:U608"/>
    <mergeCell ref="J606:J608"/>
    <mergeCell ref="K606:K608"/>
    <mergeCell ref="L606:L608"/>
    <mergeCell ref="M606:M608"/>
    <mergeCell ref="N606:N608"/>
    <mergeCell ref="O606:O608"/>
    <mergeCell ref="X625:X627"/>
    <mergeCell ref="Y625:Y627"/>
    <mergeCell ref="Z625:Z627"/>
    <mergeCell ref="AA625:AA627"/>
    <mergeCell ref="AB625:AB627"/>
    <mergeCell ref="AB603:AB605"/>
    <mergeCell ref="A606:A608"/>
    <mergeCell ref="B606:B608"/>
    <mergeCell ref="C606:C608"/>
    <mergeCell ref="D606:D608"/>
    <mergeCell ref="E606:E608"/>
    <mergeCell ref="F606:F608"/>
    <mergeCell ref="G606:G608"/>
    <mergeCell ref="H606:H608"/>
    <mergeCell ref="I606:I608"/>
    <mergeCell ref="V603:V605"/>
    <mergeCell ref="W603:W605"/>
    <mergeCell ref="X603:X605"/>
    <mergeCell ref="Y603:Y605"/>
    <mergeCell ref="Z603:Z605"/>
    <mergeCell ref="AA603:AA605"/>
    <mergeCell ref="P603:P605"/>
    <mergeCell ref="Q603:Q605"/>
    <mergeCell ref="R603:R605"/>
    <mergeCell ref="S603:S605"/>
    <mergeCell ref="T603:T605"/>
    <mergeCell ref="U603:U605"/>
    <mergeCell ref="J603:J605"/>
    <mergeCell ref="K603:K605"/>
    <mergeCell ref="L603:L605"/>
    <mergeCell ref="M603:M605"/>
    <mergeCell ref="N603:N605"/>
    <mergeCell ref="O603:O605"/>
    <mergeCell ref="AB606:AB608"/>
    <mergeCell ref="A603:A605"/>
    <mergeCell ref="B603:B605"/>
    <mergeCell ref="C603:C605"/>
    <mergeCell ref="D603:D605"/>
    <mergeCell ref="E603:E605"/>
    <mergeCell ref="F603:F605"/>
    <mergeCell ref="G603:G605"/>
    <mergeCell ref="H603:H605"/>
    <mergeCell ref="I603:I605"/>
    <mergeCell ref="V600:V602"/>
    <mergeCell ref="W600:W602"/>
    <mergeCell ref="X600:X602"/>
    <mergeCell ref="Y600:Y602"/>
    <mergeCell ref="Z600:Z602"/>
    <mergeCell ref="AA600:AA602"/>
    <mergeCell ref="P600:P602"/>
    <mergeCell ref="Q600:Q602"/>
    <mergeCell ref="R600:R602"/>
    <mergeCell ref="S600:S602"/>
    <mergeCell ref="T600:T602"/>
    <mergeCell ref="U600:U602"/>
    <mergeCell ref="J600:J602"/>
    <mergeCell ref="K600:K602"/>
    <mergeCell ref="L600:L602"/>
    <mergeCell ref="M600:M602"/>
    <mergeCell ref="N600:N602"/>
    <mergeCell ref="O600:O602"/>
    <mergeCell ref="AB597:AB599"/>
    <mergeCell ref="A600:A602"/>
    <mergeCell ref="B600:B602"/>
    <mergeCell ref="C600:C602"/>
    <mergeCell ref="D600:D602"/>
    <mergeCell ref="E600:E602"/>
    <mergeCell ref="F600:F602"/>
    <mergeCell ref="G600:G602"/>
    <mergeCell ref="H600:H602"/>
    <mergeCell ref="I600:I602"/>
    <mergeCell ref="V597:V599"/>
    <mergeCell ref="W597:W599"/>
    <mergeCell ref="X597:X599"/>
    <mergeCell ref="Y597:Y599"/>
    <mergeCell ref="Z597:Z599"/>
    <mergeCell ref="AA597:AA599"/>
    <mergeCell ref="P597:P599"/>
    <mergeCell ref="Q597:Q599"/>
    <mergeCell ref="R597:R599"/>
    <mergeCell ref="S597:S599"/>
    <mergeCell ref="T597:T599"/>
    <mergeCell ref="U597:U599"/>
    <mergeCell ref="J597:J599"/>
    <mergeCell ref="K597:K599"/>
    <mergeCell ref="L597:L599"/>
    <mergeCell ref="M597:M599"/>
    <mergeCell ref="N597:N599"/>
    <mergeCell ref="O597:O599"/>
    <mergeCell ref="AB600:AB602"/>
    <mergeCell ref="A597:A599"/>
    <mergeCell ref="B597:B599"/>
    <mergeCell ref="C597:C599"/>
    <mergeCell ref="D597:D599"/>
    <mergeCell ref="E597:E599"/>
    <mergeCell ref="F597:F599"/>
    <mergeCell ref="G597:G599"/>
    <mergeCell ref="H597:H599"/>
    <mergeCell ref="I597:I599"/>
    <mergeCell ref="V594:V596"/>
    <mergeCell ref="W594:W596"/>
    <mergeCell ref="X594:X596"/>
    <mergeCell ref="Y594:Y596"/>
    <mergeCell ref="Z594:Z596"/>
    <mergeCell ref="AA594:AA596"/>
    <mergeCell ref="P594:P596"/>
    <mergeCell ref="Q594:Q596"/>
    <mergeCell ref="R594:R596"/>
    <mergeCell ref="S594:S596"/>
    <mergeCell ref="T594:T596"/>
    <mergeCell ref="U594:U596"/>
    <mergeCell ref="J594:J596"/>
    <mergeCell ref="K594:K596"/>
    <mergeCell ref="L594:L596"/>
    <mergeCell ref="M594:M596"/>
    <mergeCell ref="N594:N596"/>
    <mergeCell ref="O594:O596"/>
    <mergeCell ref="AB591:AB593"/>
    <mergeCell ref="A594:A596"/>
    <mergeCell ref="B594:B596"/>
    <mergeCell ref="C594:C596"/>
    <mergeCell ref="D594:D596"/>
    <mergeCell ref="E594:E596"/>
    <mergeCell ref="F594:F596"/>
    <mergeCell ref="G594:G596"/>
    <mergeCell ref="H594:H596"/>
    <mergeCell ref="I594:I596"/>
    <mergeCell ref="V591:V593"/>
    <mergeCell ref="W591:W593"/>
    <mergeCell ref="X591:X593"/>
    <mergeCell ref="Y591:Y593"/>
    <mergeCell ref="Z591:Z593"/>
    <mergeCell ref="AA591:AA593"/>
    <mergeCell ref="P591:P593"/>
    <mergeCell ref="Q591:Q593"/>
    <mergeCell ref="R591:R593"/>
    <mergeCell ref="S591:S593"/>
    <mergeCell ref="T591:T593"/>
    <mergeCell ref="U591:U593"/>
    <mergeCell ref="J591:J593"/>
    <mergeCell ref="K591:K593"/>
    <mergeCell ref="L591:L593"/>
    <mergeCell ref="M591:M593"/>
    <mergeCell ref="N591:N593"/>
    <mergeCell ref="O591:O593"/>
    <mergeCell ref="AB594:AB596"/>
    <mergeCell ref="A586:AF586"/>
    <mergeCell ref="A591:A593"/>
    <mergeCell ref="B591:B593"/>
    <mergeCell ref="C591:C593"/>
    <mergeCell ref="D591:D593"/>
    <mergeCell ref="E591:E593"/>
    <mergeCell ref="F591:F593"/>
    <mergeCell ref="G591:G593"/>
    <mergeCell ref="H591:H593"/>
    <mergeCell ref="I591:I593"/>
    <mergeCell ref="Y572:Y574"/>
    <mergeCell ref="Z572:Z574"/>
    <mergeCell ref="AA572:AA574"/>
    <mergeCell ref="AB572:AB574"/>
    <mergeCell ref="A583:AF583"/>
    <mergeCell ref="A585:AF585"/>
    <mergeCell ref="S572:S574"/>
    <mergeCell ref="T572:T574"/>
    <mergeCell ref="U572:U574"/>
    <mergeCell ref="V572:V574"/>
    <mergeCell ref="W572:W574"/>
    <mergeCell ref="X572:X574"/>
    <mergeCell ref="M572:M574"/>
    <mergeCell ref="N572:N574"/>
    <mergeCell ref="O572:O574"/>
    <mergeCell ref="P572:P574"/>
    <mergeCell ref="Q572:Q574"/>
    <mergeCell ref="R572:R574"/>
    <mergeCell ref="G572:G574"/>
    <mergeCell ref="H572:H574"/>
    <mergeCell ref="I572:I574"/>
    <mergeCell ref="J572:J574"/>
    <mergeCell ref="K572:K574"/>
    <mergeCell ref="L572:L574"/>
    <mergeCell ref="Y569:Y571"/>
    <mergeCell ref="Z569:Z571"/>
    <mergeCell ref="AA569:AA571"/>
    <mergeCell ref="AB569:AB571"/>
    <mergeCell ref="A572:A574"/>
    <mergeCell ref="B572:B574"/>
    <mergeCell ref="C572:C574"/>
    <mergeCell ref="D572:D574"/>
    <mergeCell ref="E572:E574"/>
    <mergeCell ref="F572:F574"/>
    <mergeCell ref="S569:S571"/>
    <mergeCell ref="T569:T571"/>
    <mergeCell ref="U569:U571"/>
    <mergeCell ref="V569:V571"/>
    <mergeCell ref="W569:W571"/>
    <mergeCell ref="X569:X571"/>
    <mergeCell ref="M569:M571"/>
    <mergeCell ref="N569:N571"/>
    <mergeCell ref="O569:O571"/>
    <mergeCell ref="P569:P571"/>
    <mergeCell ref="Q569:Q571"/>
    <mergeCell ref="R569:R571"/>
    <mergeCell ref="G569:G571"/>
    <mergeCell ref="H569:H571"/>
    <mergeCell ref="I569:I571"/>
    <mergeCell ref="J569:J571"/>
    <mergeCell ref="K569:K571"/>
    <mergeCell ref="L569:L571"/>
    <mergeCell ref="Y566:Y568"/>
    <mergeCell ref="Z566:Z568"/>
    <mergeCell ref="AA566:AA568"/>
    <mergeCell ref="AB566:AB568"/>
    <mergeCell ref="A569:A571"/>
    <mergeCell ref="B569:B571"/>
    <mergeCell ref="C569:C571"/>
    <mergeCell ref="D569:D571"/>
    <mergeCell ref="E569:E571"/>
    <mergeCell ref="F569:F571"/>
    <mergeCell ref="S566:S568"/>
    <mergeCell ref="T566:T568"/>
    <mergeCell ref="U566:U568"/>
    <mergeCell ref="V566:V568"/>
    <mergeCell ref="W566:W568"/>
    <mergeCell ref="X566:X568"/>
    <mergeCell ref="M566:M568"/>
    <mergeCell ref="N566:N568"/>
    <mergeCell ref="O566:O568"/>
    <mergeCell ref="P566:P568"/>
    <mergeCell ref="Q566:Q568"/>
    <mergeCell ref="R566:R568"/>
    <mergeCell ref="G566:G568"/>
    <mergeCell ref="H566:H568"/>
    <mergeCell ref="I566:I568"/>
    <mergeCell ref="J566:J568"/>
    <mergeCell ref="K566:K568"/>
    <mergeCell ref="L566:L568"/>
    <mergeCell ref="A566:A568"/>
    <mergeCell ref="B566:B568"/>
    <mergeCell ref="C566:C568"/>
    <mergeCell ref="D566:D568"/>
    <mergeCell ref="E566:E568"/>
    <mergeCell ref="F566:F568"/>
    <mergeCell ref="S563:S565"/>
    <mergeCell ref="T563:T565"/>
    <mergeCell ref="U563:U565"/>
    <mergeCell ref="V563:V565"/>
    <mergeCell ref="W563:W565"/>
    <mergeCell ref="X563:X565"/>
    <mergeCell ref="M563:M565"/>
    <mergeCell ref="N563:N565"/>
    <mergeCell ref="O563:O565"/>
    <mergeCell ref="P563:P565"/>
    <mergeCell ref="Q563:Q565"/>
    <mergeCell ref="R563:R565"/>
    <mergeCell ref="G563:G565"/>
    <mergeCell ref="H563:H565"/>
    <mergeCell ref="I563:I565"/>
    <mergeCell ref="J563:J565"/>
    <mergeCell ref="K563:K565"/>
    <mergeCell ref="L563:L565"/>
    <mergeCell ref="Y560:Y562"/>
    <mergeCell ref="Z560:Z562"/>
    <mergeCell ref="AA560:AA562"/>
    <mergeCell ref="AB560:AB562"/>
    <mergeCell ref="A563:A565"/>
    <mergeCell ref="B563:B565"/>
    <mergeCell ref="C563:C565"/>
    <mergeCell ref="D563:D565"/>
    <mergeCell ref="E563:E565"/>
    <mergeCell ref="F563:F565"/>
    <mergeCell ref="S560:S562"/>
    <mergeCell ref="T560:T562"/>
    <mergeCell ref="U560:U562"/>
    <mergeCell ref="V560:V562"/>
    <mergeCell ref="W560:W562"/>
    <mergeCell ref="X560:X562"/>
    <mergeCell ref="M560:M562"/>
    <mergeCell ref="N560:N562"/>
    <mergeCell ref="O560:O562"/>
    <mergeCell ref="P560:P562"/>
    <mergeCell ref="Q560:Q562"/>
    <mergeCell ref="R560:R562"/>
    <mergeCell ref="G560:G562"/>
    <mergeCell ref="H560:H562"/>
    <mergeCell ref="I560:I562"/>
    <mergeCell ref="J560:J562"/>
    <mergeCell ref="K560:K562"/>
    <mergeCell ref="L560:L562"/>
    <mergeCell ref="Y563:Y565"/>
    <mergeCell ref="Z563:Z565"/>
    <mergeCell ref="AA563:AA565"/>
    <mergeCell ref="AB563:AB565"/>
    <mergeCell ref="A560:A562"/>
    <mergeCell ref="B560:B562"/>
    <mergeCell ref="C560:C562"/>
    <mergeCell ref="D560:D562"/>
    <mergeCell ref="E560:E562"/>
    <mergeCell ref="F560:F562"/>
    <mergeCell ref="S557:S559"/>
    <mergeCell ref="T557:T559"/>
    <mergeCell ref="U557:U559"/>
    <mergeCell ref="V557:V559"/>
    <mergeCell ref="W557:W559"/>
    <mergeCell ref="X557:X559"/>
    <mergeCell ref="M557:M559"/>
    <mergeCell ref="N557:N559"/>
    <mergeCell ref="O557:O559"/>
    <mergeCell ref="P557:P559"/>
    <mergeCell ref="Q557:Q559"/>
    <mergeCell ref="R557:R559"/>
    <mergeCell ref="G557:G559"/>
    <mergeCell ref="H557:H559"/>
    <mergeCell ref="I557:I559"/>
    <mergeCell ref="J557:J559"/>
    <mergeCell ref="K557:K559"/>
    <mergeCell ref="L557:L559"/>
    <mergeCell ref="A549:AF549"/>
    <mergeCell ref="A551:AF551"/>
    <mergeCell ref="A552:AF552"/>
    <mergeCell ref="A557:A559"/>
    <mergeCell ref="B557:B559"/>
    <mergeCell ref="C557:C559"/>
    <mergeCell ref="D557:D559"/>
    <mergeCell ref="E557:E559"/>
    <mergeCell ref="F557:F559"/>
    <mergeCell ref="V538:V540"/>
    <mergeCell ref="W538:W540"/>
    <mergeCell ref="X538:X540"/>
    <mergeCell ref="Y538:Y540"/>
    <mergeCell ref="Z538:Z540"/>
    <mergeCell ref="AA538:AA540"/>
    <mergeCell ref="P538:P540"/>
    <mergeCell ref="Q538:Q540"/>
    <mergeCell ref="R538:R540"/>
    <mergeCell ref="S538:S540"/>
    <mergeCell ref="T538:T540"/>
    <mergeCell ref="U538:U540"/>
    <mergeCell ref="J538:J540"/>
    <mergeCell ref="K538:K540"/>
    <mergeCell ref="L538:L540"/>
    <mergeCell ref="M538:M540"/>
    <mergeCell ref="N538:N540"/>
    <mergeCell ref="O538:O540"/>
    <mergeCell ref="Y557:Y559"/>
    <mergeCell ref="Z557:Z559"/>
    <mergeCell ref="AA557:AA559"/>
    <mergeCell ref="AB557:AB559"/>
    <mergeCell ref="AB535:AB537"/>
    <mergeCell ref="A538:A540"/>
    <mergeCell ref="B538:B540"/>
    <mergeCell ref="C538:C540"/>
    <mergeCell ref="D538:D540"/>
    <mergeCell ref="E538:E540"/>
    <mergeCell ref="F538:F540"/>
    <mergeCell ref="G538:G540"/>
    <mergeCell ref="H538:H540"/>
    <mergeCell ref="I538:I540"/>
    <mergeCell ref="V535:V537"/>
    <mergeCell ref="W535:W537"/>
    <mergeCell ref="X535:X537"/>
    <mergeCell ref="Y535:Y537"/>
    <mergeCell ref="Z535:Z537"/>
    <mergeCell ref="AA535:AA537"/>
    <mergeCell ref="P535:P537"/>
    <mergeCell ref="Q535:Q537"/>
    <mergeCell ref="R535:R537"/>
    <mergeCell ref="S535:S537"/>
    <mergeCell ref="T535:T537"/>
    <mergeCell ref="U535:U537"/>
    <mergeCell ref="J535:J537"/>
    <mergeCell ref="K535:K537"/>
    <mergeCell ref="L535:L537"/>
    <mergeCell ref="M535:M537"/>
    <mergeCell ref="N535:N537"/>
    <mergeCell ref="O535:O537"/>
    <mergeCell ref="AB538:AB540"/>
    <mergeCell ref="A535:A537"/>
    <mergeCell ref="B535:B537"/>
    <mergeCell ref="C535:C537"/>
    <mergeCell ref="D535:D537"/>
    <mergeCell ref="E535:E537"/>
    <mergeCell ref="F535:F537"/>
    <mergeCell ref="G535:G537"/>
    <mergeCell ref="H535:H537"/>
    <mergeCell ref="I535:I537"/>
    <mergeCell ref="V532:V534"/>
    <mergeCell ref="W532:W534"/>
    <mergeCell ref="X532:X534"/>
    <mergeCell ref="Y532:Y534"/>
    <mergeCell ref="Z532:Z534"/>
    <mergeCell ref="AA532:AA534"/>
    <mergeCell ref="P532:P534"/>
    <mergeCell ref="Q532:Q534"/>
    <mergeCell ref="R532:R534"/>
    <mergeCell ref="S532:S534"/>
    <mergeCell ref="T532:T534"/>
    <mergeCell ref="U532:U534"/>
    <mergeCell ref="J532:J534"/>
    <mergeCell ref="K532:K534"/>
    <mergeCell ref="L532:L534"/>
    <mergeCell ref="M532:M534"/>
    <mergeCell ref="N532:N534"/>
    <mergeCell ref="O532:O534"/>
    <mergeCell ref="AB529:AB531"/>
    <mergeCell ref="A532:A534"/>
    <mergeCell ref="B532:B534"/>
    <mergeCell ref="C532:C534"/>
    <mergeCell ref="D532:D534"/>
    <mergeCell ref="E532:E534"/>
    <mergeCell ref="F532:F534"/>
    <mergeCell ref="G532:G534"/>
    <mergeCell ref="H532:H534"/>
    <mergeCell ref="I532:I534"/>
    <mergeCell ref="V529:V531"/>
    <mergeCell ref="W529:W531"/>
    <mergeCell ref="X529:X531"/>
    <mergeCell ref="Y529:Y531"/>
    <mergeCell ref="Z529:Z531"/>
    <mergeCell ref="AA529:AA531"/>
    <mergeCell ref="P529:P531"/>
    <mergeCell ref="Q529:Q531"/>
    <mergeCell ref="R529:R531"/>
    <mergeCell ref="S529:S531"/>
    <mergeCell ref="T529:T531"/>
    <mergeCell ref="U529:U531"/>
    <mergeCell ref="J529:J531"/>
    <mergeCell ref="K529:K531"/>
    <mergeCell ref="L529:L531"/>
    <mergeCell ref="M529:M531"/>
    <mergeCell ref="N529:N531"/>
    <mergeCell ref="O529:O531"/>
    <mergeCell ref="AB532:AB534"/>
    <mergeCell ref="A529:A531"/>
    <mergeCell ref="B529:B531"/>
    <mergeCell ref="C529:C531"/>
    <mergeCell ref="D529:D531"/>
    <mergeCell ref="E529:E531"/>
    <mergeCell ref="F529:F531"/>
    <mergeCell ref="G529:G531"/>
    <mergeCell ref="H529:H531"/>
    <mergeCell ref="I529:I531"/>
    <mergeCell ref="V526:V528"/>
    <mergeCell ref="W526:W528"/>
    <mergeCell ref="X526:X528"/>
    <mergeCell ref="Y526:Y528"/>
    <mergeCell ref="Z526:Z528"/>
    <mergeCell ref="AA526:AA528"/>
    <mergeCell ref="P526:P528"/>
    <mergeCell ref="Q526:Q528"/>
    <mergeCell ref="R526:R528"/>
    <mergeCell ref="S526:S528"/>
    <mergeCell ref="T526:T528"/>
    <mergeCell ref="U526:U528"/>
    <mergeCell ref="J526:J528"/>
    <mergeCell ref="K526:K528"/>
    <mergeCell ref="L526:L528"/>
    <mergeCell ref="M526:M528"/>
    <mergeCell ref="N526:N528"/>
    <mergeCell ref="O526:O528"/>
    <mergeCell ref="AB523:AB525"/>
    <mergeCell ref="A526:A528"/>
    <mergeCell ref="B526:B528"/>
    <mergeCell ref="C526:C528"/>
    <mergeCell ref="D526:D528"/>
    <mergeCell ref="E526:E528"/>
    <mergeCell ref="F526:F528"/>
    <mergeCell ref="G526:G528"/>
    <mergeCell ref="H526:H528"/>
    <mergeCell ref="I526:I528"/>
    <mergeCell ref="V523:V525"/>
    <mergeCell ref="W523:W525"/>
    <mergeCell ref="X523:X525"/>
    <mergeCell ref="Y523:Y525"/>
    <mergeCell ref="Z523:Z525"/>
    <mergeCell ref="AA523:AA525"/>
    <mergeCell ref="P523:P525"/>
    <mergeCell ref="Q523:Q525"/>
    <mergeCell ref="R523:R525"/>
    <mergeCell ref="S523:S525"/>
    <mergeCell ref="T523:T525"/>
    <mergeCell ref="U523:U525"/>
    <mergeCell ref="J523:J525"/>
    <mergeCell ref="K523:K525"/>
    <mergeCell ref="L523:L525"/>
    <mergeCell ref="M523:M525"/>
    <mergeCell ref="N523:N525"/>
    <mergeCell ref="O523:O525"/>
    <mergeCell ref="AB526:AB528"/>
    <mergeCell ref="A518:AF518"/>
    <mergeCell ref="A523:A525"/>
    <mergeCell ref="B523:B525"/>
    <mergeCell ref="C523:C525"/>
    <mergeCell ref="D523:D525"/>
    <mergeCell ref="E523:E525"/>
    <mergeCell ref="F523:F525"/>
    <mergeCell ref="G523:G525"/>
    <mergeCell ref="H523:H525"/>
    <mergeCell ref="I523:I525"/>
    <mergeCell ref="Y505:Y507"/>
    <mergeCell ref="Z505:Z507"/>
    <mergeCell ref="AA505:AA507"/>
    <mergeCell ref="AB505:AB507"/>
    <mergeCell ref="A515:AF515"/>
    <mergeCell ref="A517:AF517"/>
    <mergeCell ref="S505:S507"/>
    <mergeCell ref="T505:T507"/>
    <mergeCell ref="U505:U507"/>
    <mergeCell ref="V505:V507"/>
    <mergeCell ref="W505:W507"/>
    <mergeCell ref="X505:X507"/>
    <mergeCell ref="M505:M507"/>
    <mergeCell ref="N505:N507"/>
    <mergeCell ref="O505:O507"/>
    <mergeCell ref="P505:P507"/>
    <mergeCell ref="Q505:Q507"/>
    <mergeCell ref="R505:R507"/>
    <mergeCell ref="G505:G507"/>
    <mergeCell ref="H505:H507"/>
    <mergeCell ref="I505:I507"/>
    <mergeCell ref="J505:J507"/>
    <mergeCell ref="K505:K507"/>
    <mergeCell ref="L505:L507"/>
    <mergeCell ref="Y502:Y504"/>
    <mergeCell ref="Z502:Z504"/>
    <mergeCell ref="AA502:AA504"/>
    <mergeCell ref="AB502:AB504"/>
    <mergeCell ref="A505:A507"/>
    <mergeCell ref="B505:B507"/>
    <mergeCell ref="C505:C507"/>
    <mergeCell ref="D505:D507"/>
    <mergeCell ref="E505:E507"/>
    <mergeCell ref="F505:F507"/>
    <mergeCell ref="S502:S504"/>
    <mergeCell ref="T502:T504"/>
    <mergeCell ref="U502:U504"/>
    <mergeCell ref="V502:V504"/>
    <mergeCell ref="W502:W504"/>
    <mergeCell ref="X502:X504"/>
    <mergeCell ref="M502:M504"/>
    <mergeCell ref="N502:N504"/>
    <mergeCell ref="O502:O504"/>
    <mergeCell ref="P502:P504"/>
    <mergeCell ref="Q502:Q504"/>
    <mergeCell ref="R502:R504"/>
    <mergeCell ref="G502:G504"/>
    <mergeCell ref="H502:H504"/>
    <mergeCell ref="I502:I504"/>
    <mergeCell ref="J502:J504"/>
    <mergeCell ref="K502:K504"/>
    <mergeCell ref="L502:L504"/>
    <mergeCell ref="Y499:Y501"/>
    <mergeCell ref="Z499:Z501"/>
    <mergeCell ref="AA499:AA501"/>
    <mergeCell ref="AB499:AB501"/>
    <mergeCell ref="A502:A504"/>
    <mergeCell ref="B502:B504"/>
    <mergeCell ref="C502:C504"/>
    <mergeCell ref="D502:D504"/>
    <mergeCell ref="E502:E504"/>
    <mergeCell ref="F502:F504"/>
    <mergeCell ref="S499:S501"/>
    <mergeCell ref="T499:T501"/>
    <mergeCell ref="U499:U501"/>
    <mergeCell ref="V499:V501"/>
    <mergeCell ref="W499:W501"/>
    <mergeCell ref="X499:X501"/>
    <mergeCell ref="M499:M501"/>
    <mergeCell ref="N499:N501"/>
    <mergeCell ref="O499:O501"/>
    <mergeCell ref="P499:P501"/>
    <mergeCell ref="Q499:Q501"/>
    <mergeCell ref="R499:R501"/>
    <mergeCell ref="G499:G501"/>
    <mergeCell ref="H499:H501"/>
    <mergeCell ref="I499:I501"/>
    <mergeCell ref="J499:J501"/>
    <mergeCell ref="K499:K501"/>
    <mergeCell ref="L499:L501"/>
    <mergeCell ref="A499:A501"/>
    <mergeCell ref="B499:B501"/>
    <mergeCell ref="C499:C501"/>
    <mergeCell ref="D499:D501"/>
    <mergeCell ref="E499:E501"/>
    <mergeCell ref="F499:F501"/>
    <mergeCell ref="S496:S498"/>
    <mergeCell ref="T496:T498"/>
    <mergeCell ref="U496:U498"/>
    <mergeCell ref="V496:V498"/>
    <mergeCell ref="W496:W498"/>
    <mergeCell ref="X496:X498"/>
    <mergeCell ref="M496:M498"/>
    <mergeCell ref="N496:N498"/>
    <mergeCell ref="O496:O498"/>
    <mergeCell ref="P496:P498"/>
    <mergeCell ref="Q496:Q498"/>
    <mergeCell ref="R496:R498"/>
    <mergeCell ref="G496:G498"/>
    <mergeCell ref="H496:H498"/>
    <mergeCell ref="I496:I498"/>
    <mergeCell ref="J496:J498"/>
    <mergeCell ref="K496:K498"/>
    <mergeCell ref="L496:L498"/>
    <mergeCell ref="Y493:Y495"/>
    <mergeCell ref="Z493:Z495"/>
    <mergeCell ref="AA493:AA495"/>
    <mergeCell ref="AB493:AB495"/>
    <mergeCell ref="A496:A498"/>
    <mergeCell ref="B496:B498"/>
    <mergeCell ref="C496:C498"/>
    <mergeCell ref="D496:D498"/>
    <mergeCell ref="E496:E498"/>
    <mergeCell ref="F496:F498"/>
    <mergeCell ref="S493:S495"/>
    <mergeCell ref="T493:T495"/>
    <mergeCell ref="U493:U495"/>
    <mergeCell ref="V493:V495"/>
    <mergeCell ref="W493:W495"/>
    <mergeCell ref="X493:X495"/>
    <mergeCell ref="M493:M495"/>
    <mergeCell ref="N493:N495"/>
    <mergeCell ref="O493:O495"/>
    <mergeCell ref="P493:P495"/>
    <mergeCell ref="Q493:Q495"/>
    <mergeCell ref="R493:R495"/>
    <mergeCell ref="G493:G495"/>
    <mergeCell ref="H493:H495"/>
    <mergeCell ref="I493:I495"/>
    <mergeCell ref="J493:J495"/>
    <mergeCell ref="K493:K495"/>
    <mergeCell ref="L493:L495"/>
    <mergeCell ref="Y496:Y498"/>
    <mergeCell ref="Z496:Z498"/>
    <mergeCell ref="AA496:AA498"/>
    <mergeCell ref="AB496:AB498"/>
    <mergeCell ref="A493:A495"/>
    <mergeCell ref="B493:B495"/>
    <mergeCell ref="C493:C495"/>
    <mergeCell ref="D493:D495"/>
    <mergeCell ref="E493:E495"/>
    <mergeCell ref="F493:F495"/>
    <mergeCell ref="S490:S492"/>
    <mergeCell ref="T490:T492"/>
    <mergeCell ref="U490:U492"/>
    <mergeCell ref="V490:V492"/>
    <mergeCell ref="W490:W492"/>
    <mergeCell ref="X490:X492"/>
    <mergeCell ref="M490:M492"/>
    <mergeCell ref="N490:N492"/>
    <mergeCell ref="O490:O492"/>
    <mergeCell ref="P490:P492"/>
    <mergeCell ref="Q490:Q492"/>
    <mergeCell ref="R490:R492"/>
    <mergeCell ref="G490:G492"/>
    <mergeCell ref="H490:H492"/>
    <mergeCell ref="I490:I492"/>
    <mergeCell ref="J490:J492"/>
    <mergeCell ref="K490:K492"/>
    <mergeCell ref="L490:L492"/>
    <mergeCell ref="A482:AF482"/>
    <mergeCell ref="A484:AF484"/>
    <mergeCell ref="A485:AF485"/>
    <mergeCell ref="A490:A492"/>
    <mergeCell ref="B490:B492"/>
    <mergeCell ref="C490:C492"/>
    <mergeCell ref="D490:D492"/>
    <mergeCell ref="E490:E492"/>
    <mergeCell ref="F490:F492"/>
    <mergeCell ref="V473:V475"/>
    <mergeCell ref="W473:W475"/>
    <mergeCell ref="X473:X475"/>
    <mergeCell ref="Y473:Y475"/>
    <mergeCell ref="Z473:Z475"/>
    <mergeCell ref="AA473:AA475"/>
    <mergeCell ref="P473:P475"/>
    <mergeCell ref="Q473:Q475"/>
    <mergeCell ref="R473:R475"/>
    <mergeCell ref="S473:S475"/>
    <mergeCell ref="T473:T475"/>
    <mergeCell ref="U473:U475"/>
    <mergeCell ref="J473:J475"/>
    <mergeCell ref="K473:K475"/>
    <mergeCell ref="L473:L475"/>
    <mergeCell ref="M473:M475"/>
    <mergeCell ref="N473:N475"/>
    <mergeCell ref="O473:O475"/>
    <mergeCell ref="Y490:Y492"/>
    <mergeCell ref="Z490:Z492"/>
    <mergeCell ref="AA490:AA492"/>
    <mergeCell ref="AB490:AB492"/>
    <mergeCell ref="AB470:AB472"/>
    <mergeCell ref="A473:A475"/>
    <mergeCell ref="B473:B475"/>
    <mergeCell ref="C473:C475"/>
    <mergeCell ref="D473:D475"/>
    <mergeCell ref="E473:E475"/>
    <mergeCell ref="F473:F475"/>
    <mergeCell ref="G473:G475"/>
    <mergeCell ref="H473:H475"/>
    <mergeCell ref="I473:I475"/>
    <mergeCell ref="V470:V472"/>
    <mergeCell ref="W470:W472"/>
    <mergeCell ref="X470:X472"/>
    <mergeCell ref="Y470:Y472"/>
    <mergeCell ref="Z470:Z472"/>
    <mergeCell ref="AA470:AA472"/>
    <mergeCell ref="P470:P472"/>
    <mergeCell ref="Q470:Q472"/>
    <mergeCell ref="R470:R472"/>
    <mergeCell ref="S470:S472"/>
    <mergeCell ref="T470:T472"/>
    <mergeCell ref="U470:U472"/>
    <mergeCell ref="J470:J472"/>
    <mergeCell ref="K470:K472"/>
    <mergeCell ref="L470:L472"/>
    <mergeCell ref="M470:M472"/>
    <mergeCell ref="N470:N472"/>
    <mergeCell ref="O470:O472"/>
    <mergeCell ref="AB473:AB475"/>
    <mergeCell ref="A470:A472"/>
    <mergeCell ref="B470:B472"/>
    <mergeCell ref="C470:C472"/>
    <mergeCell ref="D470:D472"/>
    <mergeCell ref="E470:E472"/>
    <mergeCell ref="F470:F472"/>
    <mergeCell ref="G470:G472"/>
    <mergeCell ref="H470:H472"/>
    <mergeCell ref="I470:I472"/>
    <mergeCell ref="V467:V469"/>
    <mergeCell ref="W467:W469"/>
    <mergeCell ref="X467:X469"/>
    <mergeCell ref="Y467:Y469"/>
    <mergeCell ref="Z467:Z469"/>
    <mergeCell ref="AA467:AA469"/>
    <mergeCell ref="P467:P469"/>
    <mergeCell ref="Q467:Q469"/>
    <mergeCell ref="R467:R469"/>
    <mergeCell ref="S467:S469"/>
    <mergeCell ref="T467:T469"/>
    <mergeCell ref="U467:U469"/>
    <mergeCell ref="J467:J469"/>
    <mergeCell ref="K467:K469"/>
    <mergeCell ref="L467:L469"/>
    <mergeCell ref="M467:M469"/>
    <mergeCell ref="N467:N469"/>
    <mergeCell ref="O467:O469"/>
    <mergeCell ref="AB464:AB466"/>
    <mergeCell ref="A467:A469"/>
    <mergeCell ref="B467:B469"/>
    <mergeCell ref="C467:C469"/>
    <mergeCell ref="D467:D469"/>
    <mergeCell ref="E467:E469"/>
    <mergeCell ref="F467:F469"/>
    <mergeCell ref="G467:G469"/>
    <mergeCell ref="H467:H469"/>
    <mergeCell ref="I467:I469"/>
    <mergeCell ref="V464:V466"/>
    <mergeCell ref="W464:W466"/>
    <mergeCell ref="X464:X466"/>
    <mergeCell ref="Y464:Y466"/>
    <mergeCell ref="Z464:Z466"/>
    <mergeCell ref="AA464:AA466"/>
    <mergeCell ref="P464:P466"/>
    <mergeCell ref="Q464:Q466"/>
    <mergeCell ref="R464:R466"/>
    <mergeCell ref="S464:S466"/>
    <mergeCell ref="T464:T466"/>
    <mergeCell ref="U464:U466"/>
    <mergeCell ref="J464:J466"/>
    <mergeCell ref="K464:K466"/>
    <mergeCell ref="L464:L466"/>
    <mergeCell ref="M464:M466"/>
    <mergeCell ref="N464:N466"/>
    <mergeCell ref="O464:O466"/>
    <mergeCell ref="AB467:AB469"/>
    <mergeCell ref="A464:A466"/>
    <mergeCell ref="B464:B466"/>
    <mergeCell ref="C464:C466"/>
    <mergeCell ref="D464:D466"/>
    <mergeCell ref="E464:E466"/>
    <mergeCell ref="F464:F466"/>
    <mergeCell ref="G464:G466"/>
    <mergeCell ref="H464:H466"/>
    <mergeCell ref="I464:I466"/>
    <mergeCell ref="V461:V463"/>
    <mergeCell ref="W461:W463"/>
    <mergeCell ref="X461:X463"/>
    <mergeCell ref="Y461:Y463"/>
    <mergeCell ref="Z461:Z463"/>
    <mergeCell ref="AA461:AA463"/>
    <mergeCell ref="P461:P463"/>
    <mergeCell ref="Q461:Q463"/>
    <mergeCell ref="R461:R463"/>
    <mergeCell ref="S461:S463"/>
    <mergeCell ref="T461:T463"/>
    <mergeCell ref="U461:U463"/>
    <mergeCell ref="J461:J463"/>
    <mergeCell ref="K461:K463"/>
    <mergeCell ref="L461:L463"/>
    <mergeCell ref="M461:M463"/>
    <mergeCell ref="N461:N463"/>
    <mergeCell ref="O461:O463"/>
    <mergeCell ref="AB458:AB460"/>
    <mergeCell ref="A461:A463"/>
    <mergeCell ref="B461:B463"/>
    <mergeCell ref="C461:C463"/>
    <mergeCell ref="D461:D463"/>
    <mergeCell ref="E461:E463"/>
    <mergeCell ref="F461:F463"/>
    <mergeCell ref="G461:G463"/>
    <mergeCell ref="H461:H463"/>
    <mergeCell ref="I461:I463"/>
    <mergeCell ref="V458:V460"/>
    <mergeCell ref="W458:W460"/>
    <mergeCell ref="X458:X460"/>
    <mergeCell ref="Y458:Y460"/>
    <mergeCell ref="Z458:Z460"/>
    <mergeCell ref="AA458:AA460"/>
    <mergeCell ref="P458:P460"/>
    <mergeCell ref="Q458:Q460"/>
    <mergeCell ref="R458:R460"/>
    <mergeCell ref="S458:S460"/>
    <mergeCell ref="T458:T460"/>
    <mergeCell ref="U458:U460"/>
    <mergeCell ref="J458:J460"/>
    <mergeCell ref="K458:K460"/>
    <mergeCell ref="L458:L460"/>
    <mergeCell ref="M458:M460"/>
    <mergeCell ref="N458:N460"/>
    <mergeCell ref="O458:O460"/>
    <mergeCell ref="AB461:AB463"/>
    <mergeCell ref="A453:AF453"/>
    <mergeCell ref="A458:A460"/>
    <mergeCell ref="B458:B460"/>
    <mergeCell ref="C458:C460"/>
    <mergeCell ref="D458:D460"/>
    <mergeCell ref="E458:E460"/>
    <mergeCell ref="F458:F460"/>
    <mergeCell ref="G458:G460"/>
    <mergeCell ref="H458:H460"/>
    <mergeCell ref="I458:I460"/>
    <mergeCell ref="Y441:Y443"/>
    <mergeCell ref="Z441:Z443"/>
    <mergeCell ref="AA441:AA443"/>
    <mergeCell ref="AB441:AB443"/>
    <mergeCell ref="A450:AF450"/>
    <mergeCell ref="A452:AF452"/>
    <mergeCell ref="S441:S443"/>
    <mergeCell ref="T441:T443"/>
    <mergeCell ref="U441:U443"/>
    <mergeCell ref="V441:V443"/>
    <mergeCell ref="W441:W443"/>
    <mergeCell ref="X441:X443"/>
    <mergeCell ref="M441:M443"/>
    <mergeCell ref="N441:N443"/>
    <mergeCell ref="O441:O443"/>
    <mergeCell ref="P441:P443"/>
    <mergeCell ref="Q441:Q443"/>
    <mergeCell ref="R441:R443"/>
    <mergeCell ref="G441:G443"/>
    <mergeCell ref="H441:H443"/>
    <mergeCell ref="I441:I443"/>
    <mergeCell ref="J441:J443"/>
    <mergeCell ref="K441:K443"/>
    <mergeCell ref="L441:L443"/>
    <mergeCell ref="Y438:Y440"/>
    <mergeCell ref="Z438:Z440"/>
    <mergeCell ref="AA438:AA440"/>
    <mergeCell ref="AB438:AB440"/>
    <mergeCell ref="A441:A443"/>
    <mergeCell ref="B441:B443"/>
    <mergeCell ref="C441:C443"/>
    <mergeCell ref="D441:D443"/>
    <mergeCell ref="E441:E443"/>
    <mergeCell ref="F441:F443"/>
    <mergeCell ref="S438:S440"/>
    <mergeCell ref="T438:T440"/>
    <mergeCell ref="U438:U440"/>
    <mergeCell ref="V438:V440"/>
    <mergeCell ref="W438:W440"/>
    <mergeCell ref="X438:X440"/>
    <mergeCell ref="M438:M440"/>
    <mergeCell ref="N438:N440"/>
    <mergeCell ref="O438:O440"/>
    <mergeCell ref="P438:P440"/>
    <mergeCell ref="Q438:Q440"/>
    <mergeCell ref="R438:R440"/>
    <mergeCell ref="G438:G440"/>
    <mergeCell ref="H438:H440"/>
    <mergeCell ref="I438:I440"/>
    <mergeCell ref="J438:J440"/>
    <mergeCell ref="K438:K440"/>
    <mergeCell ref="L438:L440"/>
    <mergeCell ref="Y435:Y437"/>
    <mergeCell ref="Z435:Z437"/>
    <mergeCell ref="AA435:AA437"/>
    <mergeCell ref="AB435:AB437"/>
    <mergeCell ref="A438:A440"/>
    <mergeCell ref="B438:B440"/>
    <mergeCell ref="C438:C440"/>
    <mergeCell ref="D438:D440"/>
    <mergeCell ref="E438:E440"/>
    <mergeCell ref="F438:F440"/>
    <mergeCell ref="S435:S437"/>
    <mergeCell ref="T435:T437"/>
    <mergeCell ref="U435:U437"/>
    <mergeCell ref="V435:V437"/>
    <mergeCell ref="W435:W437"/>
    <mergeCell ref="X435:X437"/>
    <mergeCell ref="M435:M437"/>
    <mergeCell ref="N435:N437"/>
    <mergeCell ref="O435:O437"/>
    <mergeCell ref="P435:P437"/>
    <mergeCell ref="Q435:Q437"/>
    <mergeCell ref="R435:R437"/>
    <mergeCell ref="G435:G437"/>
    <mergeCell ref="H435:H437"/>
    <mergeCell ref="I435:I437"/>
    <mergeCell ref="J435:J437"/>
    <mergeCell ref="K435:K437"/>
    <mergeCell ref="L435:L437"/>
    <mergeCell ref="A435:A437"/>
    <mergeCell ref="B435:B437"/>
    <mergeCell ref="C435:C437"/>
    <mergeCell ref="D435:D437"/>
    <mergeCell ref="E435:E437"/>
    <mergeCell ref="F435:F437"/>
    <mergeCell ref="S432:S434"/>
    <mergeCell ref="T432:T434"/>
    <mergeCell ref="U432:U434"/>
    <mergeCell ref="V432:V434"/>
    <mergeCell ref="W432:W434"/>
    <mergeCell ref="X432:X434"/>
    <mergeCell ref="M432:M434"/>
    <mergeCell ref="N432:N434"/>
    <mergeCell ref="O432:O434"/>
    <mergeCell ref="P432:P434"/>
    <mergeCell ref="Q432:Q434"/>
    <mergeCell ref="R432:R434"/>
    <mergeCell ref="G432:G434"/>
    <mergeCell ref="H432:H434"/>
    <mergeCell ref="I432:I434"/>
    <mergeCell ref="J432:J434"/>
    <mergeCell ref="K432:K434"/>
    <mergeCell ref="L432:L434"/>
    <mergeCell ref="Y429:Y431"/>
    <mergeCell ref="Z429:Z431"/>
    <mergeCell ref="AA429:AA431"/>
    <mergeCell ref="AB429:AB431"/>
    <mergeCell ref="A432:A434"/>
    <mergeCell ref="B432:B434"/>
    <mergeCell ref="C432:C434"/>
    <mergeCell ref="D432:D434"/>
    <mergeCell ref="E432:E434"/>
    <mergeCell ref="F432:F434"/>
    <mergeCell ref="S429:S431"/>
    <mergeCell ref="T429:T431"/>
    <mergeCell ref="U429:U431"/>
    <mergeCell ref="V429:V431"/>
    <mergeCell ref="W429:W431"/>
    <mergeCell ref="X429:X431"/>
    <mergeCell ref="M429:M431"/>
    <mergeCell ref="N429:N431"/>
    <mergeCell ref="O429:O431"/>
    <mergeCell ref="P429:P431"/>
    <mergeCell ref="Q429:Q431"/>
    <mergeCell ref="R429:R431"/>
    <mergeCell ref="G429:G431"/>
    <mergeCell ref="H429:H431"/>
    <mergeCell ref="I429:I431"/>
    <mergeCell ref="J429:J431"/>
    <mergeCell ref="K429:K431"/>
    <mergeCell ref="L429:L431"/>
    <mergeCell ref="Y432:Y434"/>
    <mergeCell ref="Z432:Z434"/>
    <mergeCell ref="AA432:AA434"/>
    <mergeCell ref="AB432:AB434"/>
    <mergeCell ref="A429:A431"/>
    <mergeCell ref="B429:B431"/>
    <mergeCell ref="C429:C431"/>
    <mergeCell ref="D429:D431"/>
    <mergeCell ref="E429:E431"/>
    <mergeCell ref="F429:F431"/>
    <mergeCell ref="S426:S428"/>
    <mergeCell ref="T426:T428"/>
    <mergeCell ref="U426:U428"/>
    <mergeCell ref="V426:V428"/>
    <mergeCell ref="W426:W428"/>
    <mergeCell ref="X426:X428"/>
    <mergeCell ref="M426:M428"/>
    <mergeCell ref="N426:N428"/>
    <mergeCell ref="O426:O428"/>
    <mergeCell ref="P426:P428"/>
    <mergeCell ref="Q426:Q428"/>
    <mergeCell ref="R426:R428"/>
    <mergeCell ref="G426:G428"/>
    <mergeCell ref="H426:H428"/>
    <mergeCell ref="I426:I428"/>
    <mergeCell ref="J426:J428"/>
    <mergeCell ref="K426:K428"/>
    <mergeCell ref="L426:L428"/>
    <mergeCell ref="A418:AF418"/>
    <mergeCell ref="A420:AF420"/>
    <mergeCell ref="A421:AF421"/>
    <mergeCell ref="A426:A428"/>
    <mergeCell ref="B426:B428"/>
    <mergeCell ref="C426:C428"/>
    <mergeCell ref="D426:D428"/>
    <mergeCell ref="E426:E428"/>
    <mergeCell ref="F426:F428"/>
    <mergeCell ref="V409:V411"/>
    <mergeCell ref="W409:W411"/>
    <mergeCell ref="X409:X411"/>
    <mergeCell ref="Y409:Y411"/>
    <mergeCell ref="Z409:Z411"/>
    <mergeCell ref="AA409:AA411"/>
    <mergeCell ref="P409:P411"/>
    <mergeCell ref="Q409:Q411"/>
    <mergeCell ref="R409:R411"/>
    <mergeCell ref="S409:S411"/>
    <mergeCell ref="T409:T411"/>
    <mergeCell ref="U409:U411"/>
    <mergeCell ref="J409:J411"/>
    <mergeCell ref="K409:K411"/>
    <mergeCell ref="L409:L411"/>
    <mergeCell ref="M409:M411"/>
    <mergeCell ref="N409:N411"/>
    <mergeCell ref="O409:O411"/>
    <mergeCell ref="Y426:Y428"/>
    <mergeCell ref="Z426:Z428"/>
    <mergeCell ref="AA426:AA428"/>
    <mergeCell ref="AB426:AB428"/>
    <mergeCell ref="AB406:AB408"/>
    <mergeCell ref="A409:A411"/>
    <mergeCell ref="B409:B411"/>
    <mergeCell ref="C409:C411"/>
    <mergeCell ref="D409:D411"/>
    <mergeCell ref="E409:E411"/>
    <mergeCell ref="F409:F411"/>
    <mergeCell ref="G409:G411"/>
    <mergeCell ref="H409:H411"/>
    <mergeCell ref="I409:I411"/>
    <mergeCell ref="V406:V408"/>
    <mergeCell ref="W406:W408"/>
    <mergeCell ref="X406:X408"/>
    <mergeCell ref="Y406:Y408"/>
    <mergeCell ref="Z406:Z408"/>
    <mergeCell ref="AA406:AA408"/>
    <mergeCell ref="P406:P408"/>
    <mergeCell ref="Q406:Q408"/>
    <mergeCell ref="R406:R408"/>
    <mergeCell ref="S406:S408"/>
    <mergeCell ref="T406:T408"/>
    <mergeCell ref="U406:U408"/>
    <mergeCell ref="J406:J408"/>
    <mergeCell ref="K406:K408"/>
    <mergeCell ref="L406:L408"/>
    <mergeCell ref="M406:M408"/>
    <mergeCell ref="N406:N408"/>
    <mergeCell ref="O406:O408"/>
    <mergeCell ref="AB409:AB411"/>
    <mergeCell ref="A406:A408"/>
    <mergeCell ref="B406:B408"/>
    <mergeCell ref="C406:C408"/>
    <mergeCell ref="D406:D408"/>
    <mergeCell ref="E406:E408"/>
    <mergeCell ref="F406:F408"/>
    <mergeCell ref="G406:G408"/>
    <mergeCell ref="H406:H408"/>
    <mergeCell ref="I406:I408"/>
    <mergeCell ref="V403:V405"/>
    <mergeCell ref="W403:W405"/>
    <mergeCell ref="X403:X405"/>
    <mergeCell ref="Y403:Y405"/>
    <mergeCell ref="Z403:Z405"/>
    <mergeCell ref="AA403:AA405"/>
    <mergeCell ref="P403:P405"/>
    <mergeCell ref="Q403:Q405"/>
    <mergeCell ref="R403:R405"/>
    <mergeCell ref="S403:S405"/>
    <mergeCell ref="T403:T405"/>
    <mergeCell ref="U403:U405"/>
    <mergeCell ref="J403:J405"/>
    <mergeCell ref="K403:K405"/>
    <mergeCell ref="L403:L405"/>
    <mergeCell ref="M403:M405"/>
    <mergeCell ref="N403:N405"/>
    <mergeCell ref="O403:O405"/>
    <mergeCell ref="AB400:AB402"/>
    <mergeCell ref="A403:A405"/>
    <mergeCell ref="B403:B405"/>
    <mergeCell ref="C403:C405"/>
    <mergeCell ref="D403:D405"/>
    <mergeCell ref="E403:E405"/>
    <mergeCell ref="F403:F405"/>
    <mergeCell ref="G403:G405"/>
    <mergeCell ref="H403:H405"/>
    <mergeCell ref="I403:I405"/>
    <mergeCell ref="V400:V402"/>
    <mergeCell ref="W400:W402"/>
    <mergeCell ref="X400:X402"/>
    <mergeCell ref="Y400:Y402"/>
    <mergeCell ref="Z400:Z402"/>
    <mergeCell ref="AA400:AA402"/>
    <mergeCell ref="P400:P402"/>
    <mergeCell ref="Q400:Q402"/>
    <mergeCell ref="R400:R402"/>
    <mergeCell ref="S400:S402"/>
    <mergeCell ref="T400:T402"/>
    <mergeCell ref="U400:U402"/>
    <mergeCell ref="J400:J402"/>
    <mergeCell ref="K400:K402"/>
    <mergeCell ref="L400:L402"/>
    <mergeCell ref="M400:M402"/>
    <mergeCell ref="N400:N402"/>
    <mergeCell ref="O400:O402"/>
    <mergeCell ref="AB403:AB405"/>
    <mergeCell ref="A400:A402"/>
    <mergeCell ref="B400:B402"/>
    <mergeCell ref="C400:C402"/>
    <mergeCell ref="D400:D402"/>
    <mergeCell ref="E400:E402"/>
    <mergeCell ref="F400:F402"/>
    <mergeCell ref="G400:G402"/>
    <mergeCell ref="H400:H402"/>
    <mergeCell ref="I400:I402"/>
    <mergeCell ref="V397:V399"/>
    <mergeCell ref="W397:W399"/>
    <mergeCell ref="X397:X399"/>
    <mergeCell ref="Y397:Y399"/>
    <mergeCell ref="Z397:Z399"/>
    <mergeCell ref="AA397:AA399"/>
    <mergeCell ref="P397:P399"/>
    <mergeCell ref="Q397:Q399"/>
    <mergeCell ref="R397:R399"/>
    <mergeCell ref="S397:S399"/>
    <mergeCell ref="T397:T399"/>
    <mergeCell ref="U397:U399"/>
    <mergeCell ref="J397:J399"/>
    <mergeCell ref="K397:K399"/>
    <mergeCell ref="L397:L399"/>
    <mergeCell ref="M397:M399"/>
    <mergeCell ref="N397:N399"/>
    <mergeCell ref="O397:O399"/>
    <mergeCell ref="AB394:AB396"/>
    <mergeCell ref="A397:A399"/>
    <mergeCell ref="B397:B399"/>
    <mergeCell ref="C397:C399"/>
    <mergeCell ref="D397:D399"/>
    <mergeCell ref="E397:E399"/>
    <mergeCell ref="F397:F399"/>
    <mergeCell ref="G397:G399"/>
    <mergeCell ref="H397:H399"/>
    <mergeCell ref="I397:I399"/>
    <mergeCell ref="V394:V396"/>
    <mergeCell ref="W394:W396"/>
    <mergeCell ref="X394:X396"/>
    <mergeCell ref="Y394:Y396"/>
    <mergeCell ref="Z394:Z396"/>
    <mergeCell ref="AA394:AA396"/>
    <mergeCell ref="P394:P396"/>
    <mergeCell ref="Q394:Q396"/>
    <mergeCell ref="R394:R396"/>
    <mergeCell ref="S394:S396"/>
    <mergeCell ref="T394:T396"/>
    <mergeCell ref="U394:U396"/>
    <mergeCell ref="J394:J396"/>
    <mergeCell ref="K394:K396"/>
    <mergeCell ref="L394:L396"/>
    <mergeCell ref="M394:M396"/>
    <mergeCell ref="N394:N396"/>
    <mergeCell ref="O394:O396"/>
    <mergeCell ref="AB397:AB399"/>
    <mergeCell ref="A389:AF389"/>
    <mergeCell ref="A394:A396"/>
    <mergeCell ref="B394:B396"/>
    <mergeCell ref="C394:C396"/>
    <mergeCell ref="D394:D396"/>
    <mergeCell ref="E394:E396"/>
    <mergeCell ref="F394:F396"/>
    <mergeCell ref="G394:G396"/>
    <mergeCell ref="H394:H396"/>
    <mergeCell ref="I394:I396"/>
    <mergeCell ref="Y377:Y379"/>
    <mergeCell ref="Z377:Z379"/>
    <mergeCell ref="AA377:AA379"/>
    <mergeCell ref="AB377:AB379"/>
    <mergeCell ref="A386:AF386"/>
    <mergeCell ref="A388:AF388"/>
    <mergeCell ref="S377:S379"/>
    <mergeCell ref="T377:T379"/>
    <mergeCell ref="U377:U379"/>
    <mergeCell ref="V377:V379"/>
    <mergeCell ref="W377:W379"/>
    <mergeCell ref="X377:X379"/>
    <mergeCell ref="M377:M379"/>
    <mergeCell ref="N377:N379"/>
    <mergeCell ref="O377:O379"/>
    <mergeCell ref="P377:P379"/>
    <mergeCell ref="Q377:Q379"/>
    <mergeCell ref="R377:R379"/>
    <mergeCell ref="G377:G379"/>
    <mergeCell ref="H377:H379"/>
    <mergeCell ref="I377:I379"/>
    <mergeCell ref="J377:J379"/>
    <mergeCell ref="K377:K379"/>
    <mergeCell ref="L377:L379"/>
    <mergeCell ref="Y374:Y376"/>
    <mergeCell ref="Z374:Z376"/>
    <mergeCell ref="AA374:AA376"/>
    <mergeCell ref="AB374:AB376"/>
    <mergeCell ref="A377:A379"/>
    <mergeCell ref="B377:B379"/>
    <mergeCell ref="C377:C379"/>
    <mergeCell ref="D377:D379"/>
    <mergeCell ref="E377:E379"/>
    <mergeCell ref="F377:F379"/>
    <mergeCell ref="S374:S376"/>
    <mergeCell ref="T374:T376"/>
    <mergeCell ref="U374:U376"/>
    <mergeCell ref="V374:V376"/>
    <mergeCell ref="W374:W376"/>
    <mergeCell ref="X374:X376"/>
    <mergeCell ref="M374:M376"/>
    <mergeCell ref="N374:N376"/>
    <mergeCell ref="O374:O376"/>
    <mergeCell ref="P374:P376"/>
    <mergeCell ref="Q374:Q376"/>
    <mergeCell ref="R374:R376"/>
    <mergeCell ref="G374:G376"/>
    <mergeCell ref="H374:H376"/>
    <mergeCell ref="I374:I376"/>
    <mergeCell ref="J374:J376"/>
    <mergeCell ref="K374:K376"/>
    <mergeCell ref="L374:L376"/>
    <mergeCell ref="Y371:Y373"/>
    <mergeCell ref="Z371:Z373"/>
    <mergeCell ref="AA371:AA373"/>
    <mergeCell ref="AB371:AB373"/>
    <mergeCell ref="A374:A376"/>
    <mergeCell ref="B374:B376"/>
    <mergeCell ref="C374:C376"/>
    <mergeCell ref="D374:D376"/>
    <mergeCell ref="E374:E376"/>
    <mergeCell ref="F374:F376"/>
    <mergeCell ref="S371:S373"/>
    <mergeCell ref="T371:T373"/>
    <mergeCell ref="U371:U373"/>
    <mergeCell ref="V371:V373"/>
    <mergeCell ref="W371:W373"/>
    <mergeCell ref="X371:X373"/>
    <mergeCell ref="M371:M373"/>
    <mergeCell ref="N371:N373"/>
    <mergeCell ref="O371:O373"/>
    <mergeCell ref="P371:P373"/>
    <mergeCell ref="Q371:Q373"/>
    <mergeCell ref="R371:R373"/>
    <mergeCell ref="G371:G373"/>
    <mergeCell ref="H371:H373"/>
    <mergeCell ref="I371:I373"/>
    <mergeCell ref="J371:J373"/>
    <mergeCell ref="K371:K373"/>
    <mergeCell ref="L371:L373"/>
    <mergeCell ref="A371:A373"/>
    <mergeCell ref="B371:B373"/>
    <mergeCell ref="C371:C373"/>
    <mergeCell ref="D371:D373"/>
    <mergeCell ref="E371:E373"/>
    <mergeCell ref="F371:F373"/>
    <mergeCell ref="S368:S370"/>
    <mergeCell ref="T368:T370"/>
    <mergeCell ref="U368:U370"/>
    <mergeCell ref="V368:V370"/>
    <mergeCell ref="W368:W370"/>
    <mergeCell ref="X368:X370"/>
    <mergeCell ref="M368:M370"/>
    <mergeCell ref="N368:N370"/>
    <mergeCell ref="O368:O370"/>
    <mergeCell ref="P368:P370"/>
    <mergeCell ref="Q368:Q370"/>
    <mergeCell ref="R368:R370"/>
    <mergeCell ref="G368:G370"/>
    <mergeCell ref="H368:H370"/>
    <mergeCell ref="I368:I370"/>
    <mergeCell ref="J368:J370"/>
    <mergeCell ref="K368:K370"/>
    <mergeCell ref="L368:L370"/>
    <mergeCell ref="Y365:Y367"/>
    <mergeCell ref="Z365:Z367"/>
    <mergeCell ref="AA365:AA367"/>
    <mergeCell ref="AB365:AB367"/>
    <mergeCell ref="A368:A370"/>
    <mergeCell ref="B368:B370"/>
    <mergeCell ref="C368:C370"/>
    <mergeCell ref="D368:D370"/>
    <mergeCell ref="E368:E370"/>
    <mergeCell ref="F368:F370"/>
    <mergeCell ref="S365:S367"/>
    <mergeCell ref="T365:T367"/>
    <mergeCell ref="U365:U367"/>
    <mergeCell ref="V365:V367"/>
    <mergeCell ref="W365:W367"/>
    <mergeCell ref="X365:X367"/>
    <mergeCell ref="M365:M367"/>
    <mergeCell ref="N365:N367"/>
    <mergeCell ref="O365:O367"/>
    <mergeCell ref="P365:P367"/>
    <mergeCell ref="Q365:Q367"/>
    <mergeCell ref="R365:R367"/>
    <mergeCell ref="G365:G367"/>
    <mergeCell ref="H365:H367"/>
    <mergeCell ref="I365:I367"/>
    <mergeCell ref="J365:J367"/>
    <mergeCell ref="K365:K367"/>
    <mergeCell ref="L365:L367"/>
    <mergeCell ref="Y368:Y370"/>
    <mergeCell ref="Z368:Z370"/>
    <mergeCell ref="AA368:AA370"/>
    <mergeCell ref="AB368:AB370"/>
    <mergeCell ref="A365:A367"/>
    <mergeCell ref="B365:B367"/>
    <mergeCell ref="C365:C367"/>
    <mergeCell ref="D365:D367"/>
    <mergeCell ref="E365:E367"/>
    <mergeCell ref="F365:F367"/>
    <mergeCell ref="S362:S364"/>
    <mergeCell ref="T362:T364"/>
    <mergeCell ref="U362:U364"/>
    <mergeCell ref="V362:V364"/>
    <mergeCell ref="W362:W364"/>
    <mergeCell ref="X362:X364"/>
    <mergeCell ref="M362:M364"/>
    <mergeCell ref="N362:N364"/>
    <mergeCell ref="O362:O364"/>
    <mergeCell ref="P362:P364"/>
    <mergeCell ref="Q362:Q364"/>
    <mergeCell ref="R362:R364"/>
    <mergeCell ref="G362:G364"/>
    <mergeCell ref="H362:H364"/>
    <mergeCell ref="I362:I364"/>
    <mergeCell ref="J362:J364"/>
    <mergeCell ref="K362:K364"/>
    <mergeCell ref="L362:L364"/>
    <mergeCell ref="A354:AF354"/>
    <mergeCell ref="A356:AF356"/>
    <mergeCell ref="A357:AF357"/>
    <mergeCell ref="A362:A364"/>
    <mergeCell ref="B362:B364"/>
    <mergeCell ref="C362:C364"/>
    <mergeCell ref="D362:D364"/>
    <mergeCell ref="E362:E364"/>
    <mergeCell ref="F362:F364"/>
    <mergeCell ref="V345:V347"/>
    <mergeCell ref="W345:W347"/>
    <mergeCell ref="X345:X347"/>
    <mergeCell ref="Y345:Y347"/>
    <mergeCell ref="Z345:Z347"/>
    <mergeCell ref="AA345:AA347"/>
    <mergeCell ref="P345:P347"/>
    <mergeCell ref="Q345:Q347"/>
    <mergeCell ref="R345:R347"/>
    <mergeCell ref="S345:S347"/>
    <mergeCell ref="T345:T347"/>
    <mergeCell ref="U345:U347"/>
    <mergeCell ref="J345:J347"/>
    <mergeCell ref="K345:K347"/>
    <mergeCell ref="L345:L347"/>
    <mergeCell ref="M345:M347"/>
    <mergeCell ref="N345:N347"/>
    <mergeCell ref="O345:O347"/>
    <mergeCell ref="Y362:Y364"/>
    <mergeCell ref="Z362:Z364"/>
    <mergeCell ref="AA362:AA364"/>
    <mergeCell ref="AB362:AB364"/>
    <mergeCell ref="AB342:AB344"/>
    <mergeCell ref="A345:A347"/>
    <mergeCell ref="B345:B347"/>
    <mergeCell ref="C345:C347"/>
    <mergeCell ref="D345:D347"/>
    <mergeCell ref="E345:E347"/>
    <mergeCell ref="F345:F347"/>
    <mergeCell ref="G345:G347"/>
    <mergeCell ref="H345:H347"/>
    <mergeCell ref="I345:I347"/>
    <mergeCell ref="V342:V344"/>
    <mergeCell ref="W342:W344"/>
    <mergeCell ref="X342:X344"/>
    <mergeCell ref="Y342:Y344"/>
    <mergeCell ref="Z342:Z344"/>
    <mergeCell ref="AA342:AA344"/>
    <mergeCell ref="P342:P344"/>
    <mergeCell ref="Q342:Q344"/>
    <mergeCell ref="R342:R344"/>
    <mergeCell ref="S342:S344"/>
    <mergeCell ref="T342:T344"/>
    <mergeCell ref="U342:U344"/>
    <mergeCell ref="J342:J344"/>
    <mergeCell ref="K342:K344"/>
    <mergeCell ref="L342:L344"/>
    <mergeCell ref="M342:M344"/>
    <mergeCell ref="N342:N344"/>
    <mergeCell ref="O342:O344"/>
    <mergeCell ref="AB345:AB347"/>
    <mergeCell ref="A342:A344"/>
    <mergeCell ref="B342:B344"/>
    <mergeCell ref="C342:C344"/>
    <mergeCell ref="D342:D344"/>
    <mergeCell ref="E342:E344"/>
    <mergeCell ref="F342:F344"/>
    <mergeCell ref="G342:G344"/>
    <mergeCell ref="H342:H344"/>
    <mergeCell ref="I342:I344"/>
    <mergeCell ref="V339:V341"/>
    <mergeCell ref="W339:W341"/>
    <mergeCell ref="X339:X341"/>
    <mergeCell ref="Y339:Y341"/>
    <mergeCell ref="Z339:Z341"/>
    <mergeCell ref="AA339:AA341"/>
    <mergeCell ref="P339:P341"/>
    <mergeCell ref="Q339:Q341"/>
    <mergeCell ref="R339:R341"/>
    <mergeCell ref="S339:S341"/>
    <mergeCell ref="T339:T341"/>
    <mergeCell ref="U339:U341"/>
    <mergeCell ref="J339:J341"/>
    <mergeCell ref="K339:K341"/>
    <mergeCell ref="L339:L341"/>
    <mergeCell ref="M339:M341"/>
    <mergeCell ref="N339:N341"/>
    <mergeCell ref="O339:O341"/>
    <mergeCell ref="AB336:AB338"/>
    <mergeCell ref="A339:A341"/>
    <mergeCell ref="B339:B341"/>
    <mergeCell ref="C339:C341"/>
    <mergeCell ref="D339:D341"/>
    <mergeCell ref="E339:E341"/>
    <mergeCell ref="F339:F341"/>
    <mergeCell ref="G339:G341"/>
    <mergeCell ref="H339:H341"/>
    <mergeCell ref="I339:I341"/>
    <mergeCell ref="V336:V338"/>
    <mergeCell ref="W336:W338"/>
    <mergeCell ref="X336:X338"/>
    <mergeCell ref="Y336:Y338"/>
    <mergeCell ref="Z336:Z338"/>
    <mergeCell ref="AA336:AA338"/>
    <mergeCell ref="P336:P338"/>
    <mergeCell ref="Q336:Q338"/>
    <mergeCell ref="R336:R338"/>
    <mergeCell ref="S336:S338"/>
    <mergeCell ref="T336:T338"/>
    <mergeCell ref="U336:U338"/>
    <mergeCell ref="J336:J338"/>
    <mergeCell ref="K336:K338"/>
    <mergeCell ref="L336:L338"/>
    <mergeCell ref="M336:M338"/>
    <mergeCell ref="N336:N338"/>
    <mergeCell ref="O336:O338"/>
    <mergeCell ref="AB339:AB341"/>
    <mergeCell ref="A336:A338"/>
    <mergeCell ref="B336:B338"/>
    <mergeCell ref="C336:C338"/>
    <mergeCell ref="D336:D338"/>
    <mergeCell ref="E336:E338"/>
    <mergeCell ref="F336:F338"/>
    <mergeCell ref="G336:G338"/>
    <mergeCell ref="H336:H338"/>
    <mergeCell ref="I336:I338"/>
    <mergeCell ref="V333:V335"/>
    <mergeCell ref="W333:W335"/>
    <mergeCell ref="X333:X335"/>
    <mergeCell ref="Y333:Y335"/>
    <mergeCell ref="Z333:Z335"/>
    <mergeCell ref="AA333:AA335"/>
    <mergeCell ref="P333:P335"/>
    <mergeCell ref="Q333:Q335"/>
    <mergeCell ref="R333:R335"/>
    <mergeCell ref="S333:S335"/>
    <mergeCell ref="T333:T335"/>
    <mergeCell ref="U333:U335"/>
    <mergeCell ref="J333:J335"/>
    <mergeCell ref="K333:K335"/>
    <mergeCell ref="L333:L335"/>
    <mergeCell ref="M333:M335"/>
    <mergeCell ref="N333:N335"/>
    <mergeCell ref="O333:O335"/>
    <mergeCell ref="AB330:AB332"/>
    <mergeCell ref="A333:A335"/>
    <mergeCell ref="B333:B335"/>
    <mergeCell ref="C333:C335"/>
    <mergeCell ref="D333:D335"/>
    <mergeCell ref="E333:E335"/>
    <mergeCell ref="F333:F335"/>
    <mergeCell ref="G333:G335"/>
    <mergeCell ref="H333:H335"/>
    <mergeCell ref="I333:I335"/>
    <mergeCell ref="V330:V332"/>
    <mergeCell ref="W330:W332"/>
    <mergeCell ref="X330:X332"/>
    <mergeCell ref="Y330:Y332"/>
    <mergeCell ref="Z330:Z332"/>
    <mergeCell ref="AA330:AA332"/>
    <mergeCell ref="P330:P332"/>
    <mergeCell ref="Q330:Q332"/>
    <mergeCell ref="R330:R332"/>
    <mergeCell ref="S330:S332"/>
    <mergeCell ref="T330:T332"/>
    <mergeCell ref="U330:U332"/>
    <mergeCell ref="J330:J332"/>
    <mergeCell ref="K330:K332"/>
    <mergeCell ref="L330:L332"/>
    <mergeCell ref="M330:M332"/>
    <mergeCell ref="N330:N332"/>
    <mergeCell ref="O330:O332"/>
    <mergeCell ref="AB333:AB335"/>
    <mergeCell ref="A325:AF325"/>
    <mergeCell ref="A330:A332"/>
    <mergeCell ref="B330:B332"/>
    <mergeCell ref="C330:C332"/>
    <mergeCell ref="D330:D332"/>
    <mergeCell ref="E330:E332"/>
    <mergeCell ref="F330:F332"/>
    <mergeCell ref="G330:G332"/>
    <mergeCell ref="H330:H332"/>
    <mergeCell ref="I330:I332"/>
    <mergeCell ref="Y313:Y315"/>
    <mergeCell ref="Z313:Z315"/>
    <mergeCell ref="AA313:AA315"/>
    <mergeCell ref="AB313:AB315"/>
    <mergeCell ref="A322:AF322"/>
    <mergeCell ref="A324:AF324"/>
    <mergeCell ref="S313:S315"/>
    <mergeCell ref="T313:T315"/>
    <mergeCell ref="U313:U315"/>
    <mergeCell ref="V313:V315"/>
    <mergeCell ref="W313:W315"/>
    <mergeCell ref="X313:X315"/>
    <mergeCell ref="M313:M315"/>
    <mergeCell ref="N313:N315"/>
    <mergeCell ref="O313:O315"/>
    <mergeCell ref="P313:P315"/>
    <mergeCell ref="Q313:Q315"/>
    <mergeCell ref="R313:R315"/>
    <mergeCell ref="G313:G315"/>
    <mergeCell ref="H313:H315"/>
    <mergeCell ref="I313:I315"/>
    <mergeCell ref="J313:J315"/>
    <mergeCell ref="K313:K315"/>
    <mergeCell ref="L313:L315"/>
    <mergeCell ref="Y310:Y312"/>
    <mergeCell ref="Z310:Z312"/>
    <mergeCell ref="AA310:AA312"/>
    <mergeCell ref="AB310:AB312"/>
    <mergeCell ref="A313:A315"/>
    <mergeCell ref="B313:B315"/>
    <mergeCell ref="C313:C315"/>
    <mergeCell ref="D313:D315"/>
    <mergeCell ref="E313:E315"/>
    <mergeCell ref="F313:F315"/>
    <mergeCell ref="S310:S312"/>
    <mergeCell ref="T310:T312"/>
    <mergeCell ref="U310:U312"/>
    <mergeCell ref="V310:V312"/>
    <mergeCell ref="W310:W312"/>
    <mergeCell ref="X310:X312"/>
    <mergeCell ref="M310:M312"/>
    <mergeCell ref="N310:N312"/>
    <mergeCell ref="O310:O312"/>
    <mergeCell ref="P310:P312"/>
    <mergeCell ref="Q310:Q312"/>
    <mergeCell ref="R310:R312"/>
    <mergeCell ref="G310:G312"/>
    <mergeCell ref="H310:H312"/>
    <mergeCell ref="I310:I312"/>
    <mergeCell ref="J310:J312"/>
    <mergeCell ref="K310:K312"/>
    <mergeCell ref="L310:L312"/>
    <mergeCell ref="Y307:Y309"/>
    <mergeCell ref="Z307:Z309"/>
    <mergeCell ref="AA307:AA309"/>
    <mergeCell ref="AB307:AB309"/>
    <mergeCell ref="A310:A312"/>
    <mergeCell ref="B310:B312"/>
    <mergeCell ref="C310:C312"/>
    <mergeCell ref="D310:D312"/>
    <mergeCell ref="E310:E312"/>
    <mergeCell ref="F310:F312"/>
    <mergeCell ref="S307:S309"/>
    <mergeCell ref="T307:T309"/>
    <mergeCell ref="U307:U309"/>
    <mergeCell ref="V307:V309"/>
    <mergeCell ref="W307:W309"/>
    <mergeCell ref="X307:X309"/>
    <mergeCell ref="M307:M309"/>
    <mergeCell ref="N307:N309"/>
    <mergeCell ref="O307:O309"/>
    <mergeCell ref="P307:P309"/>
    <mergeCell ref="Q307:Q309"/>
    <mergeCell ref="R307:R309"/>
    <mergeCell ref="G307:G309"/>
    <mergeCell ref="H307:H309"/>
    <mergeCell ref="I307:I309"/>
    <mergeCell ref="J307:J309"/>
    <mergeCell ref="K307:K309"/>
    <mergeCell ref="L307:L309"/>
    <mergeCell ref="A307:A309"/>
    <mergeCell ref="B307:B309"/>
    <mergeCell ref="C307:C309"/>
    <mergeCell ref="D307:D309"/>
    <mergeCell ref="E307:E309"/>
    <mergeCell ref="F307:F309"/>
    <mergeCell ref="S304:S306"/>
    <mergeCell ref="T304:T306"/>
    <mergeCell ref="U304:U306"/>
    <mergeCell ref="V304:V306"/>
    <mergeCell ref="W304:W306"/>
    <mergeCell ref="X304:X306"/>
    <mergeCell ref="M304:M306"/>
    <mergeCell ref="N304:N306"/>
    <mergeCell ref="O304:O306"/>
    <mergeCell ref="P304:P306"/>
    <mergeCell ref="Q304:Q306"/>
    <mergeCell ref="R304:R306"/>
    <mergeCell ref="G304:G306"/>
    <mergeCell ref="H304:H306"/>
    <mergeCell ref="I304:I306"/>
    <mergeCell ref="J304:J306"/>
    <mergeCell ref="K304:K306"/>
    <mergeCell ref="L304:L306"/>
    <mergeCell ref="Y301:Y303"/>
    <mergeCell ref="Z301:Z303"/>
    <mergeCell ref="AA301:AA303"/>
    <mergeCell ref="AB301:AB303"/>
    <mergeCell ref="A304:A306"/>
    <mergeCell ref="B304:B306"/>
    <mergeCell ref="C304:C306"/>
    <mergeCell ref="D304:D306"/>
    <mergeCell ref="E304:E306"/>
    <mergeCell ref="F304:F306"/>
    <mergeCell ref="S301:S303"/>
    <mergeCell ref="T301:T303"/>
    <mergeCell ref="U301:U303"/>
    <mergeCell ref="V301:V303"/>
    <mergeCell ref="W301:W303"/>
    <mergeCell ref="X301:X303"/>
    <mergeCell ref="M301:M303"/>
    <mergeCell ref="N301:N303"/>
    <mergeCell ref="O301:O303"/>
    <mergeCell ref="P301:P303"/>
    <mergeCell ref="Q301:Q303"/>
    <mergeCell ref="R301:R303"/>
    <mergeCell ref="G301:G303"/>
    <mergeCell ref="H301:H303"/>
    <mergeCell ref="I301:I303"/>
    <mergeCell ref="J301:J303"/>
    <mergeCell ref="K301:K303"/>
    <mergeCell ref="L301:L303"/>
    <mergeCell ref="Y304:Y306"/>
    <mergeCell ref="Z304:Z306"/>
    <mergeCell ref="AA304:AA306"/>
    <mergeCell ref="AB304:AB306"/>
    <mergeCell ref="A301:A303"/>
    <mergeCell ref="B301:B303"/>
    <mergeCell ref="C301:C303"/>
    <mergeCell ref="D301:D303"/>
    <mergeCell ref="E301:E303"/>
    <mergeCell ref="F301:F303"/>
    <mergeCell ref="S298:S300"/>
    <mergeCell ref="T298:T300"/>
    <mergeCell ref="U298:U300"/>
    <mergeCell ref="V298:V300"/>
    <mergeCell ref="W298:W300"/>
    <mergeCell ref="X298:X300"/>
    <mergeCell ref="M298:M300"/>
    <mergeCell ref="N298:N300"/>
    <mergeCell ref="O298:O300"/>
    <mergeCell ref="P298:P300"/>
    <mergeCell ref="Q298:Q300"/>
    <mergeCell ref="R298:R300"/>
    <mergeCell ref="G298:G300"/>
    <mergeCell ref="H298:H300"/>
    <mergeCell ref="I298:I300"/>
    <mergeCell ref="J298:J300"/>
    <mergeCell ref="K298:K300"/>
    <mergeCell ref="L298:L300"/>
    <mergeCell ref="A290:AF290"/>
    <mergeCell ref="A292:AF292"/>
    <mergeCell ref="A293:AF293"/>
    <mergeCell ref="A298:A300"/>
    <mergeCell ref="B298:B300"/>
    <mergeCell ref="C298:C300"/>
    <mergeCell ref="D298:D300"/>
    <mergeCell ref="E298:E300"/>
    <mergeCell ref="F298:F300"/>
    <mergeCell ref="V281:V283"/>
    <mergeCell ref="W281:W283"/>
    <mergeCell ref="X281:X283"/>
    <mergeCell ref="Y281:Y283"/>
    <mergeCell ref="Z281:Z283"/>
    <mergeCell ref="AA281:AA283"/>
    <mergeCell ref="P281:P283"/>
    <mergeCell ref="Q281:Q283"/>
    <mergeCell ref="R281:R283"/>
    <mergeCell ref="S281:S283"/>
    <mergeCell ref="T281:T283"/>
    <mergeCell ref="U281:U283"/>
    <mergeCell ref="J281:J283"/>
    <mergeCell ref="K281:K283"/>
    <mergeCell ref="L281:L283"/>
    <mergeCell ref="M281:M283"/>
    <mergeCell ref="N281:N283"/>
    <mergeCell ref="O281:O283"/>
    <mergeCell ref="Y298:Y300"/>
    <mergeCell ref="Z298:Z300"/>
    <mergeCell ref="AA298:AA300"/>
    <mergeCell ref="AB298:AB300"/>
    <mergeCell ref="AB278:AB280"/>
    <mergeCell ref="A281:A283"/>
    <mergeCell ref="B281:B283"/>
    <mergeCell ref="C281:C283"/>
    <mergeCell ref="D281:D283"/>
    <mergeCell ref="E281:E283"/>
    <mergeCell ref="F281:F283"/>
    <mergeCell ref="G281:G283"/>
    <mergeCell ref="H281:H283"/>
    <mergeCell ref="I281:I283"/>
    <mergeCell ref="V278:V280"/>
    <mergeCell ref="W278:W280"/>
    <mergeCell ref="X278:X280"/>
    <mergeCell ref="Y278:Y280"/>
    <mergeCell ref="Z278:Z280"/>
    <mergeCell ref="AA278:AA280"/>
    <mergeCell ref="P278:P280"/>
    <mergeCell ref="Q278:Q280"/>
    <mergeCell ref="R278:R280"/>
    <mergeCell ref="S278:S280"/>
    <mergeCell ref="T278:T280"/>
    <mergeCell ref="U278:U280"/>
    <mergeCell ref="J278:J280"/>
    <mergeCell ref="K278:K280"/>
    <mergeCell ref="L278:L280"/>
    <mergeCell ref="M278:M280"/>
    <mergeCell ref="N278:N280"/>
    <mergeCell ref="O278:O280"/>
    <mergeCell ref="AB281:AB283"/>
    <mergeCell ref="A278:A280"/>
    <mergeCell ref="B278:B280"/>
    <mergeCell ref="C278:C280"/>
    <mergeCell ref="D278:D280"/>
    <mergeCell ref="E278:E280"/>
    <mergeCell ref="F278:F280"/>
    <mergeCell ref="G278:G280"/>
    <mergeCell ref="H278:H280"/>
    <mergeCell ref="I278:I280"/>
    <mergeCell ref="V275:V277"/>
    <mergeCell ref="W275:W277"/>
    <mergeCell ref="X275:X277"/>
    <mergeCell ref="Y275:Y277"/>
    <mergeCell ref="Z275:Z277"/>
    <mergeCell ref="AA275:AA277"/>
    <mergeCell ref="P275:P277"/>
    <mergeCell ref="Q275:Q277"/>
    <mergeCell ref="R275:R277"/>
    <mergeCell ref="S275:S277"/>
    <mergeCell ref="T275:T277"/>
    <mergeCell ref="U275:U277"/>
    <mergeCell ref="J275:J277"/>
    <mergeCell ref="K275:K277"/>
    <mergeCell ref="L275:L277"/>
    <mergeCell ref="M275:M277"/>
    <mergeCell ref="N275:N277"/>
    <mergeCell ref="O275:O277"/>
    <mergeCell ref="AB272:AB274"/>
    <mergeCell ref="A275:A277"/>
    <mergeCell ref="B275:B277"/>
    <mergeCell ref="C275:C277"/>
    <mergeCell ref="D275:D277"/>
    <mergeCell ref="E275:E277"/>
    <mergeCell ref="F275:F277"/>
    <mergeCell ref="G275:G277"/>
    <mergeCell ref="H275:H277"/>
    <mergeCell ref="I275:I277"/>
    <mergeCell ref="V272:V274"/>
    <mergeCell ref="W272:W274"/>
    <mergeCell ref="X272:X274"/>
    <mergeCell ref="Y272:Y274"/>
    <mergeCell ref="Z272:Z274"/>
    <mergeCell ref="AA272:AA274"/>
    <mergeCell ref="P272:P274"/>
    <mergeCell ref="Q272:Q274"/>
    <mergeCell ref="R272:R274"/>
    <mergeCell ref="S272:S274"/>
    <mergeCell ref="T272:T274"/>
    <mergeCell ref="U272:U274"/>
    <mergeCell ref="J272:J274"/>
    <mergeCell ref="K272:K274"/>
    <mergeCell ref="L272:L274"/>
    <mergeCell ref="M272:M274"/>
    <mergeCell ref="N272:N274"/>
    <mergeCell ref="O272:O274"/>
    <mergeCell ref="AB275:AB277"/>
    <mergeCell ref="A272:A274"/>
    <mergeCell ref="B272:B274"/>
    <mergeCell ref="C272:C274"/>
    <mergeCell ref="D272:D274"/>
    <mergeCell ref="E272:E274"/>
    <mergeCell ref="F272:F274"/>
    <mergeCell ref="G272:G274"/>
    <mergeCell ref="H272:H274"/>
    <mergeCell ref="I272:I274"/>
    <mergeCell ref="V269:V271"/>
    <mergeCell ref="W269:W271"/>
    <mergeCell ref="X269:X271"/>
    <mergeCell ref="Y269:Y271"/>
    <mergeCell ref="Z269:Z271"/>
    <mergeCell ref="AA269:AA271"/>
    <mergeCell ref="P269:P271"/>
    <mergeCell ref="Q269:Q271"/>
    <mergeCell ref="R269:R271"/>
    <mergeCell ref="S269:S271"/>
    <mergeCell ref="T269:T271"/>
    <mergeCell ref="U269:U271"/>
    <mergeCell ref="J269:J271"/>
    <mergeCell ref="K269:K271"/>
    <mergeCell ref="L269:L271"/>
    <mergeCell ref="M269:M271"/>
    <mergeCell ref="N269:N271"/>
    <mergeCell ref="O269:O271"/>
    <mergeCell ref="AB266:AB268"/>
    <mergeCell ref="A269:A271"/>
    <mergeCell ref="B269:B271"/>
    <mergeCell ref="C269:C271"/>
    <mergeCell ref="D269:D271"/>
    <mergeCell ref="E269:E271"/>
    <mergeCell ref="F269:F271"/>
    <mergeCell ref="G269:G271"/>
    <mergeCell ref="H269:H271"/>
    <mergeCell ref="I269:I271"/>
    <mergeCell ref="V266:V268"/>
    <mergeCell ref="W266:W268"/>
    <mergeCell ref="X266:X268"/>
    <mergeCell ref="Y266:Y268"/>
    <mergeCell ref="Z266:Z268"/>
    <mergeCell ref="AA266:AA268"/>
    <mergeCell ref="P266:P268"/>
    <mergeCell ref="Q266:Q268"/>
    <mergeCell ref="R266:R268"/>
    <mergeCell ref="S266:S268"/>
    <mergeCell ref="T266:T268"/>
    <mergeCell ref="U266:U268"/>
    <mergeCell ref="J266:J268"/>
    <mergeCell ref="K266:K268"/>
    <mergeCell ref="L266:L268"/>
    <mergeCell ref="M266:M268"/>
    <mergeCell ref="N266:N268"/>
    <mergeCell ref="O266:O268"/>
    <mergeCell ref="AB269:AB271"/>
    <mergeCell ref="A261:AF261"/>
    <mergeCell ref="A266:A268"/>
    <mergeCell ref="B266:B268"/>
    <mergeCell ref="C266:C268"/>
    <mergeCell ref="D266:D268"/>
    <mergeCell ref="E266:E268"/>
    <mergeCell ref="F266:F268"/>
    <mergeCell ref="G266:G268"/>
    <mergeCell ref="H266:H268"/>
    <mergeCell ref="I266:I268"/>
    <mergeCell ref="Y249:Y251"/>
    <mergeCell ref="Z249:Z251"/>
    <mergeCell ref="AA249:AA251"/>
    <mergeCell ref="AB249:AB251"/>
    <mergeCell ref="A258:AF258"/>
    <mergeCell ref="A260:AF260"/>
    <mergeCell ref="S249:S251"/>
    <mergeCell ref="T249:T251"/>
    <mergeCell ref="U249:U251"/>
    <mergeCell ref="V249:V251"/>
    <mergeCell ref="W249:W251"/>
    <mergeCell ref="X249:X251"/>
    <mergeCell ref="M249:M251"/>
    <mergeCell ref="N249:N251"/>
    <mergeCell ref="O249:O251"/>
    <mergeCell ref="P249:P251"/>
    <mergeCell ref="Q249:Q251"/>
    <mergeCell ref="R249:R251"/>
    <mergeCell ref="G249:G251"/>
    <mergeCell ref="H249:H251"/>
    <mergeCell ref="I249:I251"/>
    <mergeCell ref="J249:J251"/>
    <mergeCell ref="K249:K251"/>
    <mergeCell ref="L249:L251"/>
    <mergeCell ref="Y246:Y248"/>
    <mergeCell ref="Z246:Z248"/>
    <mergeCell ref="AA246:AA248"/>
    <mergeCell ref="AB246:AB248"/>
    <mergeCell ref="A249:A251"/>
    <mergeCell ref="B249:B251"/>
    <mergeCell ref="C249:C251"/>
    <mergeCell ref="D249:D251"/>
    <mergeCell ref="E249:E251"/>
    <mergeCell ref="F249:F251"/>
    <mergeCell ref="S246:S248"/>
    <mergeCell ref="T246:T248"/>
    <mergeCell ref="U246:U248"/>
    <mergeCell ref="V246:V248"/>
    <mergeCell ref="W246:W248"/>
    <mergeCell ref="X246:X248"/>
    <mergeCell ref="M246:M248"/>
    <mergeCell ref="N246:N248"/>
    <mergeCell ref="O246:O248"/>
    <mergeCell ref="P246:P248"/>
    <mergeCell ref="Q246:Q248"/>
    <mergeCell ref="R246:R248"/>
    <mergeCell ref="G246:G248"/>
    <mergeCell ref="H246:H248"/>
    <mergeCell ref="I246:I248"/>
    <mergeCell ref="J246:J248"/>
    <mergeCell ref="K246:K248"/>
    <mergeCell ref="L246:L248"/>
    <mergeCell ref="Y243:Y245"/>
    <mergeCell ref="Z243:Z245"/>
    <mergeCell ref="AA243:AA245"/>
    <mergeCell ref="AB243:AB245"/>
    <mergeCell ref="A246:A248"/>
    <mergeCell ref="B246:B248"/>
    <mergeCell ref="C246:C248"/>
    <mergeCell ref="D246:D248"/>
    <mergeCell ref="E246:E248"/>
    <mergeCell ref="F246:F248"/>
    <mergeCell ref="S243:S245"/>
    <mergeCell ref="T243:T245"/>
    <mergeCell ref="U243:U245"/>
    <mergeCell ref="V243:V245"/>
    <mergeCell ref="W243:W245"/>
    <mergeCell ref="X243:X245"/>
    <mergeCell ref="M243:M245"/>
    <mergeCell ref="N243:N245"/>
    <mergeCell ref="O243:O245"/>
    <mergeCell ref="P243:P245"/>
    <mergeCell ref="Q243:Q245"/>
    <mergeCell ref="R243:R245"/>
    <mergeCell ref="G243:G245"/>
    <mergeCell ref="H243:H245"/>
    <mergeCell ref="I243:I245"/>
    <mergeCell ref="J243:J245"/>
    <mergeCell ref="K243:K245"/>
    <mergeCell ref="L243:L245"/>
    <mergeCell ref="A243:A245"/>
    <mergeCell ref="B243:B245"/>
    <mergeCell ref="C243:C245"/>
    <mergeCell ref="D243:D245"/>
    <mergeCell ref="E243:E245"/>
    <mergeCell ref="F243:F245"/>
    <mergeCell ref="S240:S242"/>
    <mergeCell ref="T240:T242"/>
    <mergeCell ref="U240:U242"/>
    <mergeCell ref="V240:V242"/>
    <mergeCell ref="W240:W242"/>
    <mergeCell ref="X240:X242"/>
    <mergeCell ref="M240:M242"/>
    <mergeCell ref="N240:N242"/>
    <mergeCell ref="O240:O242"/>
    <mergeCell ref="P240:P242"/>
    <mergeCell ref="Q240:Q242"/>
    <mergeCell ref="R240:R242"/>
    <mergeCell ref="G240:G242"/>
    <mergeCell ref="H240:H242"/>
    <mergeCell ref="I240:I242"/>
    <mergeCell ref="J240:J242"/>
    <mergeCell ref="K240:K242"/>
    <mergeCell ref="L240:L242"/>
    <mergeCell ref="Y237:Y239"/>
    <mergeCell ref="Z237:Z239"/>
    <mergeCell ref="AA237:AA239"/>
    <mergeCell ref="AB237:AB239"/>
    <mergeCell ref="A240:A242"/>
    <mergeCell ref="B240:B242"/>
    <mergeCell ref="C240:C242"/>
    <mergeCell ref="D240:D242"/>
    <mergeCell ref="E240:E242"/>
    <mergeCell ref="F240:F242"/>
    <mergeCell ref="S237:S239"/>
    <mergeCell ref="T237:T239"/>
    <mergeCell ref="U237:U239"/>
    <mergeCell ref="V237:V239"/>
    <mergeCell ref="W237:W239"/>
    <mergeCell ref="X237:X239"/>
    <mergeCell ref="M237:M239"/>
    <mergeCell ref="N237:N239"/>
    <mergeCell ref="O237:O239"/>
    <mergeCell ref="P237:P239"/>
    <mergeCell ref="Q237:Q239"/>
    <mergeCell ref="R237:R239"/>
    <mergeCell ref="G237:G239"/>
    <mergeCell ref="H237:H239"/>
    <mergeCell ref="I237:I239"/>
    <mergeCell ref="J237:J239"/>
    <mergeCell ref="K237:K239"/>
    <mergeCell ref="L237:L239"/>
    <mergeCell ref="Y240:Y242"/>
    <mergeCell ref="Z240:Z242"/>
    <mergeCell ref="AA240:AA242"/>
    <mergeCell ref="AB240:AB242"/>
    <mergeCell ref="A237:A239"/>
    <mergeCell ref="B237:B239"/>
    <mergeCell ref="C237:C239"/>
    <mergeCell ref="D237:D239"/>
    <mergeCell ref="E237:E239"/>
    <mergeCell ref="F237:F239"/>
    <mergeCell ref="S234:S236"/>
    <mergeCell ref="T234:T236"/>
    <mergeCell ref="U234:U236"/>
    <mergeCell ref="V234:V236"/>
    <mergeCell ref="W234:W236"/>
    <mergeCell ref="X234:X236"/>
    <mergeCell ref="M234:M236"/>
    <mergeCell ref="N234:N236"/>
    <mergeCell ref="O234:O236"/>
    <mergeCell ref="P234:P236"/>
    <mergeCell ref="Q234:Q236"/>
    <mergeCell ref="R234:R236"/>
    <mergeCell ref="G234:G236"/>
    <mergeCell ref="H234:H236"/>
    <mergeCell ref="I234:I236"/>
    <mergeCell ref="J234:J236"/>
    <mergeCell ref="K234:K236"/>
    <mergeCell ref="L234:L236"/>
    <mergeCell ref="A226:AF226"/>
    <mergeCell ref="A228:AF228"/>
    <mergeCell ref="A229:AF229"/>
    <mergeCell ref="A234:A236"/>
    <mergeCell ref="B234:B236"/>
    <mergeCell ref="C234:C236"/>
    <mergeCell ref="D234:D236"/>
    <mergeCell ref="E234:E236"/>
    <mergeCell ref="F234:F236"/>
    <mergeCell ref="V217:V219"/>
    <mergeCell ref="W217:W219"/>
    <mergeCell ref="X217:X219"/>
    <mergeCell ref="Y217:Y219"/>
    <mergeCell ref="Z217:Z219"/>
    <mergeCell ref="AA217:AA219"/>
    <mergeCell ref="P217:P219"/>
    <mergeCell ref="Q217:Q219"/>
    <mergeCell ref="R217:R219"/>
    <mergeCell ref="S217:S219"/>
    <mergeCell ref="T217:T219"/>
    <mergeCell ref="U217:U219"/>
    <mergeCell ref="J217:J219"/>
    <mergeCell ref="K217:K219"/>
    <mergeCell ref="L217:L219"/>
    <mergeCell ref="M217:M219"/>
    <mergeCell ref="N217:N219"/>
    <mergeCell ref="O217:O219"/>
    <mergeCell ref="Y234:Y236"/>
    <mergeCell ref="Z234:Z236"/>
    <mergeCell ref="AA234:AA236"/>
    <mergeCell ref="AB234:AB236"/>
    <mergeCell ref="AB214:AB216"/>
    <mergeCell ref="A217:A219"/>
    <mergeCell ref="B217:B219"/>
    <mergeCell ref="C217:C219"/>
    <mergeCell ref="D217:D219"/>
    <mergeCell ref="E217:E219"/>
    <mergeCell ref="F217:F219"/>
    <mergeCell ref="G217:G219"/>
    <mergeCell ref="H217:H219"/>
    <mergeCell ref="I217:I219"/>
    <mergeCell ref="V214:V216"/>
    <mergeCell ref="W214:W216"/>
    <mergeCell ref="X214:X216"/>
    <mergeCell ref="Y214:Y216"/>
    <mergeCell ref="Z214:Z216"/>
    <mergeCell ref="AA214:AA216"/>
    <mergeCell ref="P214:P216"/>
    <mergeCell ref="Q214:Q216"/>
    <mergeCell ref="R214:R216"/>
    <mergeCell ref="S214:S216"/>
    <mergeCell ref="T214:T216"/>
    <mergeCell ref="U214:U216"/>
    <mergeCell ref="J214:J216"/>
    <mergeCell ref="K214:K216"/>
    <mergeCell ref="L214:L216"/>
    <mergeCell ref="M214:M216"/>
    <mergeCell ref="N214:N216"/>
    <mergeCell ref="O214:O216"/>
    <mergeCell ref="AB217:AB219"/>
    <mergeCell ref="A214:A216"/>
    <mergeCell ref="B214:B216"/>
    <mergeCell ref="C214:C216"/>
    <mergeCell ref="D214:D216"/>
    <mergeCell ref="E214:E216"/>
    <mergeCell ref="F214:F216"/>
    <mergeCell ref="G214:G216"/>
    <mergeCell ref="H214:H216"/>
    <mergeCell ref="I214:I216"/>
    <mergeCell ref="V211:V213"/>
    <mergeCell ref="W211:W213"/>
    <mergeCell ref="X211:X213"/>
    <mergeCell ref="Y211:Y213"/>
    <mergeCell ref="Z211:Z213"/>
    <mergeCell ref="AA211:AA213"/>
    <mergeCell ref="P211:P213"/>
    <mergeCell ref="Q211:Q213"/>
    <mergeCell ref="R211:R213"/>
    <mergeCell ref="S211:S213"/>
    <mergeCell ref="T211:T213"/>
    <mergeCell ref="U211:U213"/>
    <mergeCell ref="J211:J213"/>
    <mergeCell ref="K211:K213"/>
    <mergeCell ref="L211:L213"/>
    <mergeCell ref="M211:M213"/>
    <mergeCell ref="N211:N213"/>
    <mergeCell ref="O211:O213"/>
    <mergeCell ref="AB208:AB210"/>
    <mergeCell ref="A211:A213"/>
    <mergeCell ref="B211:B213"/>
    <mergeCell ref="C211:C213"/>
    <mergeCell ref="D211:D213"/>
    <mergeCell ref="E211:E213"/>
    <mergeCell ref="F211:F213"/>
    <mergeCell ref="G211:G213"/>
    <mergeCell ref="H211:H213"/>
    <mergeCell ref="I211:I213"/>
    <mergeCell ref="V208:V210"/>
    <mergeCell ref="W208:W210"/>
    <mergeCell ref="X208:X210"/>
    <mergeCell ref="Y208:Y210"/>
    <mergeCell ref="Z208:Z210"/>
    <mergeCell ref="AA208:AA210"/>
    <mergeCell ref="P208:P210"/>
    <mergeCell ref="Q208:Q210"/>
    <mergeCell ref="R208:R210"/>
    <mergeCell ref="S208:S210"/>
    <mergeCell ref="T208:T210"/>
    <mergeCell ref="U208:U210"/>
    <mergeCell ref="J208:J210"/>
    <mergeCell ref="K208:K210"/>
    <mergeCell ref="L208:L210"/>
    <mergeCell ref="M208:M210"/>
    <mergeCell ref="N208:N210"/>
    <mergeCell ref="O208:O210"/>
    <mergeCell ref="AB211:AB213"/>
    <mergeCell ref="A208:A210"/>
    <mergeCell ref="B208:B210"/>
    <mergeCell ref="C208:C210"/>
    <mergeCell ref="D208:D210"/>
    <mergeCell ref="E208:E210"/>
    <mergeCell ref="F208:F210"/>
    <mergeCell ref="G208:G210"/>
    <mergeCell ref="H208:H210"/>
    <mergeCell ref="I208:I210"/>
    <mergeCell ref="V205:V207"/>
    <mergeCell ref="W205:W207"/>
    <mergeCell ref="X205:X207"/>
    <mergeCell ref="Y205:Y207"/>
    <mergeCell ref="Z205:Z207"/>
    <mergeCell ref="AA205:AA207"/>
    <mergeCell ref="P205:P207"/>
    <mergeCell ref="Q205:Q207"/>
    <mergeCell ref="R205:R207"/>
    <mergeCell ref="S205:S207"/>
    <mergeCell ref="T205:T207"/>
    <mergeCell ref="U205:U207"/>
    <mergeCell ref="J205:J207"/>
    <mergeCell ref="K205:K207"/>
    <mergeCell ref="L205:L207"/>
    <mergeCell ref="M205:M207"/>
    <mergeCell ref="N205:N207"/>
    <mergeCell ref="O205:O207"/>
    <mergeCell ref="AB202:AB204"/>
    <mergeCell ref="A205:A207"/>
    <mergeCell ref="B205:B207"/>
    <mergeCell ref="C205:C207"/>
    <mergeCell ref="D205:D207"/>
    <mergeCell ref="E205:E207"/>
    <mergeCell ref="F205:F207"/>
    <mergeCell ref="G205:G207"/>
    <mergeCell ref="H205:H207"/>
    <mergeCell ref="I205:I207"/>
    <mergeCell ref="V202:V204"/>
    <mergeCell ref="W202:W204"/>
    <mergeCell ref="X202:X204"/>
    <mergeCell ref="Y202:Y204"/>
    <mergeCell ref="Z202:Z204"/>
    <mergeCell ref="AA202:AA204"/>
    <mergeCell ref="P202:P204"/>
    <mergeCell ref="Q202:Q204"/>
    <mergeCell ref="R202:R204"/>
    <mergeCell ref="S202:S204"/>
    <mergeCell ref="T202:T204"/>
    <mergeCell ref="U202:U204"/>
    <mergeCell ref="J202:J204"/>
    <mergeCell ref="K202:K204"/>
    <mergeCell ref="L202:L204"/>
    <mergeCell ref="M202:M204"/>
    <mergeCell ref="N202:N204"/>
    <mergeCell ref="O202:O204"/>
    <mergeCell ref="AB205:AB207"/>
    <mergeCell ref="A197:AF197"/>
    <mergeCell ref="A202:A204"/>
    <mergeCell ref="B202:B204"/>
    <mergeCell ref="C202:C204"/>
    <mergeCell ref="D202:D204"/>
    <mergeCell ref="E202:E204"/>
    <mergeCell ref="F202:F204"/>
    <mergeCell ref="G202:G204"/>
    <mergeCell ref="H202:H204"/>
    <mergeCell ref="I202:I204"/>
    <mergeCell ref="Y185:Y187"/>
    <mergeCell ref="Z185:Z187"/>
    <mergeCell ref="AA185:AA187"/>
    <mergeCell ref="AB185:AB187"/>
    <mergeCell ref="A194:AF194"/>
    <mergeCell ref="A196:AF196"/>
    <mergeCell ref="S185:S187"/>
    <mergeCell ref="T185:T187"/>
    <mergeCell ref="U185:U187"/>
    <mergeCell ref="V185:V187"/>
    <mergeCell ref="W185:W187"/>
    <mergeCell ref="X185:X187"/>
    <mergeCell ref="M185:M187"/>
    <mergeCell ref="N185:N187"/>
    <mergeCell ref="O185:O187"/>
    <mergeCell ref="P185:P187"/>
    <mergeCell ref="Q185:Q187"/>
    <mergeCell ref="R185:R187"/>
    <mergeCell ref="G185:G187"/>
    <mergeCell ref="H185:H187"/>
    <mergeCell ref="I185:I187"/>
    <mergeCell ref="J185:J187"/>
    <mergeCell ref="K185:K187"/>
    <mergeCell ref="L185:L187"/>
    <mergeCell ref="Y182:Y184"/>
    <mergeCell ref="Z182:Z184"/>
    <mergeCell ref="AA182:AA184"/>
    <mergeCell ref="AB182:AB184"/>
    <mergeCell ref="A185:A187"/>
    <mergeCell ref="B185:B187"/>
    <mergeCell ref="C185:C187"/>
    <mergeCell ref="D185:D187"/>
    <mergeCell ref="E185:E187"/>
    <mergeCell ref="F185:F187"/>
    <mergeCell ref="S182:S184"/>
    <mergeCell ref="T182:T184"/>
    <mergeCell ref="U182:U184"/>
    <mergeCell ref="V182:V184"/>
    <mergeCell ref="W182:W184"/>
    <mergeCell ref="X182:X184"/>
    <mergeCell ref="M182:M184"/>
    <mergeCell ref="N182:N184"/>
    <mergeCell ref="O182:O184"/>
    <mergeCell ref="P182:P184"/>
    <mergeCell ref="Q182:Q184"/>
    <mergeCell ref="R182:R184"/>
    <mergeCell ref="G182:G184"/>
    <mergeCell ref="H182:H184"/>
    <mergeCell ref="I182:I184"/>
    <mergeCell ref="J182:J184"/>
    <mergeCell ref="K182:K184"/>
    <mergeCell ref="L182:L184"/>
    <mergeCell ref="Y179:Y181"/>
    <mergeCell ref="Z179:Z181"/>
    <mergeCell ref="AA179:AA181"/>
    <mergeCell ref="AB179:AB181"/>
    <mergeCell ref="A182:A184"/>
    <mergeCell ref="B182:B184"/>
    <mergeCell ref="C182:C184"/>
    <mergeCell ref="D182:D184"/>
    <mergeCell ref="E182:E184"/>
    <mergeCell ref="F182:F184"/>
    <mergeCell ref="S179:S181"/>
    <mergeCell ref="T179:T181"/>
    <mergeCell ref="U179:U181"/>
    <mergeCell ref="V179:V181"/>
    <mergeCell ref="W179:W181"/>
    <mergeCell ref="X179:X181"/>
    <mergeCell ref="M179:M181"/>
    <mergeCell ref="N179:N181"/>
    <mergeCell ref="O179:O181"/>
    <mergeCell ref="P179:P181"/>
    <mergeCell ref="Q179:Q181"/>
    <mergeCell ref="R179:R181"/>
    <mergeCell ref="G179:G181"/>
    <mergeCell ref="H179:H181"/>
    <mergeCell ref="I179:I181"/>
    <mergeCell ref="J179:J181"/>
    <mergeCell ref="K179:K181"/>
    <mergeCell ref="L179:L181"/>
    <mergeCell ref="A179:A181"/>
    <mergeCell ref="B179:B181"/>
    <mergeCell ref="C179:C181"/>
    <mergeCell ref="D179:D181"/>
    <mergeCell ref="E179:E181"/>
    <mergeCell ref="F179:F181"/>
    <mergeCell ref="S176:S178"/>
    <mergeCell ref="T176:T178"/>
    <mergeCell ref="U176:U178"/>
    <mergeCell ref="V176:V178"/>
    <mergeCell ref="W176:W178"/>
    <mergeCell ref="X176:X178"/>
    <mergeCell ref="M176:M178"/>
    <mergeCell ref="N176:N178"/>
    <mergeCell ref="O176:O178"/>
    <mergeCell ref="P176:P178"/>
    <mergeCell ref="Q176:Q178"/>
    <mergeCell ref="R176:R178"/>
    <mergeCell ref="G176:G178"/>
    <mergeCell ref="H176:H178"/>
    <mergeCell ref="I176:I178"/>
    <mergeCell ref="J176:J178"/>
    <mergeCell ref="K176:K178"/>
    <mergeCell ref="L176:L178"/>
    <mergeCell ref="Y173:Y175"/>
    <mergeCell ref="Z173:Z175"/>
    <mergeCell ref="AA173:AA175"/>
    <mergeCell ref="AB173:AB175"/>
    <mergeCell ref="A176:A178"/>
    <mergeCell ref="B176:B178"/>
    <mergeCell ref="C176:C178"/>
    <mergeCell ref="D176:D178"/>
    <mergeCell ref="E176:E178"/>
    <mergeCell ref="F176:F178"/>
    <mergeCell ref="S173:S175"/>
    <mergeCell ref="T173:T175"/>
    <mergeCell ref="U173:U175"/>
    <mergeCell ref="V173:V175"/>
    <mergeCell ref="W173:W175"/>
    <mergeCell ref="X173:X175"/>
    <mergeCell ref="M173:M175"/>
    <mergeCell ref="N173:N175"/>
    <mergeCell ref="O173:O175"/>
    <mergeCell ref="P173:P175"/>
    <mergeCell ref="Q173:Q175"/>
    <mergeCell ref="R173:R175"/>
    <mergeCell ref="G173:G175"/>
    <mergeCell ref="H173:H175"/>
    <mergeCell ref="I173:I175"/>
    <mergeCell ref="J173:J175"/>
    <mergeCell ref="K173:K175"/>
    <mergeCell ref="L173:L175"/>
    <mergeCell ref="Y176:Y178"/>
    <mergeCell ref="Z176:Z178"/>
    <mergeCell ref="AA176:AA178"/>
    <mergeCell ref="AB176:AB178"/>
    <mergeCell ref="A173:A175"/>
    <mergeCell ref="B173:B175"/>
    <mergeCell ref="C173:C175"/>
    <mergeCell ref="D173:D175"/>
    <mergeCell ref="E173:E175"/>
    <mergeCell ref="F173:F175"/>
    <mergeCell ref="S170:S172"/>
    <mergeCell ref="T170:T172"/>
    <mergeCell ref="U170:U172"/>
    <mergeCell ref="V170:V172"/>
    <mergeCell ref="W170:W172"/>
    <mergeCell ref="X170:X172"/>
    <mergeCell ref="M170:M172"/>
    <mergeCell ref="N170:N172"/>
    <mergeCell ref="O170:O172"/>
    <mergeCell ref="P170:P172"/>
    <mergeCell ref="Q170:Q172"/>
    <mergeCell ref="R170:R172"/>
    <mergeCell ref="G170:G172"/>
    <mergeCell ref="H170:H172"/>
    <mergeCell ref="I170:I172"/>
    <mergeCell ref="J170:J172"/>
    <mergeCell ref="K170:K172"/>
    <mergeCell ref="L170:L172"/>
    <mergeCell ref="A162:AF162"/>
    <mergeCell ref="A164:AF164"/>
    <mergeCell ref="A165:AF165"/>
    <mergeCell ref="A170:A172"/>
    <mergeCell ref="B170:B172"/>
    <mergeCell ref="C170:C172"/>
    <mergeCell ref="D170:D172"/>
    <mergeCell ref="E170:E172"/>
    <mergeCell ref="F170:F172"/>
    <mergeCell ref="V153:V155"/>
    <mergeCell ref="W153:W155"/>
    <mergeCell ref="X153:X155"/>
    <mergeCell ref="Y153:Y155"/>
    <mergeCell ref="Z153:Z155"/>
    <mergeCell ref="AA153:AA155"/>
    <mergeCell ref="P153:P155"/>
    <mergeCell ref="Q153:Q155"/>
    <mergeCell ref="R153:R155"/>
    <mergeCell ref="S153:S155"/>
    <mergeCell ref="T153:T155"/>
    <mergeCell ref="U153:U155"/>
    <mergeCell ref="J153:J155"/>
    <mergeCell ref="K153:K155"/>
    <mergeCell ref="L153:L155"/>
    <mergeCell ref="M153:M155"/>
    <mergeCell ref="N153:N155"/>
    <mergeCell ref="O153:O155"/>
    <mergeCell ref="Y170:Y172"/>
    <mergeCell ref="Z170:Z172"/>
    <mergeCell ref="AA170:AA172"/>
    <mergeCell ref="AB170:AB172"/>
    <mergeCell ref="AB150:AB152"/>
    <mergeCell ref="A153:A155"/>
    <mergeCell ref="B153:B155"/>
    <mergeCell ref="C153:C155"/>
    <mergeCell ref="D153:D155"/>
    <mergeCell ref="E153:E155"/>
    <mergeCell ref="F153:F155"/>
    <mergeCell ref="G153:G155"/>
    <mergeCell ref="H153:H155"/>
    <mergeCell ref="I153:I155"/>
    <mergeCell ref="V150:V152"/>
    <mergeCell ref="W150:W152"/>
    <mergeCell ref="X150:X152"/>
    <mergeCell ref="Y150:Y152"/>
    <mergeCell ref="Z150:Z152"/>
    <mergeCell ref="AA150:AA152"/>
    <mergeCell ref="P150:P152"/>
    <mergeCell ref="Q150:Q152"/>
    <mergeCell ref="R150:R152"/>
    <mergeCell ref="S150:S152"/>
    <mergeCell ref="T150:T152"/>
    <mergeCell ref="U150:U152"/>
    <mergeCell ref="J150:J152"/>
    <mergeCell ref="K150:K152"/>
    <mergeCell ref="L150:L152"/>
    <mergeCell ref="M150:M152"/>
    <mergeCell ref="N150:N152"/>
    <mergeCell ref="O150:O152"/>
    <mergeCell ref="AB153:AB155"/>
    <mergeCell ref="A150:A152"/>
    <mergeCell ref="B150:B152"/>
    <mergeCell ref="C150:C152"/>
    <mergeCell ref="D150:D152"/>
    <mergeCell ref="E150:E152"/>
    <mergeCell ref="F150:F152"/>
    <mergeCell ref="G150:G152"/>
    <mergeCell ref="H150:H152"/>
    <mergeCell ref="I150:I152"/>
    <mergeCell ref="V147:V149"/>
    <mergeCell ref="W147:W149"/>
    <mergeCell ref="X147:X149"/>
    <mergeCell ref="Y147:Y149"/>
    <mergeCell ref="Z147:Z149"/>
    <mergeCell ref="AA147:AA149"/>
    <mergeCell ref="P147:P149"/>
    <mergeCell ref="Q147:Q149"/>
    <mergeCell ref="R147:R149"/>
    <mergeCell ref="S147:S149"/>
    <mergeCell ref="T147:T149"/>
    <mergeCell ref="U147:U149"/>
    <mergeCell ref="J147:J149"/>
    <mergeCell ref="K147:K149"/>
    <mergeCell ref="L147:L149"/>
    <mergeCell ref="M147:M149"/>
    <mergeCell ref="N147:N149"/>
    <mergeCell ref="O147:O149"/>
    <mergeCell ref="AB144:AB146"/>
    <mergeCell ref="A147:A149"/>
    <mergeCell ref="B147:B149"/>
    <mergeCell ref="C147:C149"/>
    <mergeCell ref="D147:D149"/>
    <mergeCell ref="E147:E149"/>
    <mergeCell ref="F147:F149"/>
    <mergeCell ref="G147:G149"/>
    <mergeCell ref="H147:H149"/>
    <mergeCell ref="I147:I149"/>
    <mergeCell ref="V144:V146"/>
    <mergeCell ref="W144:W146"/>
    <mergeCell ref="X144:X146"/>
    <mergeCell ref="Y144:Y146"/>
    <mergeCell ref="Z144:Z146"/>
    <mergeCell ref="AA144:AA146"/>
    <mergeCell ref="P144:P146"/>
    <mergeCell ref="Q144:Q146"/>
    <mergeCell ref="R144:R146"/>
    <mergeCell ref="S144:S146"/>
    <mergeCell ref="T144:T146"/>
    <mergeCell ref="U144:U146"/>
    <mergeCell ref="J144:J146"/>
    <mergeCell ref="K144:K146"/>
    <mergeCell ref="L144:L146"/>
    <mergeCell ref="M144:M146"/>
    <mergeCell ref="N144:N146"/>
    <mergeCell ref="O144:O146"/>
    <mergeCell ref="AB147:AB149"/>
    <mergeCell ref="A144:A146"/>
    <mergeCell ref="B144:B146"/>
    <mergeCell ref="C144:C146"/>
    <mergeCell ref="D144:D146"/>
    <mergeCell ref="E144:E146"/>
    <mergeCell ref="F144:F146"/>
    <mergeCell ref="G144:G146"/>
    <mergeCell ref="H144:H146"/>
    <mergeCell ref="I144:I146"/>
    <mergeCell ref="V141:V143"/>
    <mergeCell ref="W141:W143"/>
    <mergeCell ref="X141:X143"/>
    <mergeCell ref="Y141:Y143"/>
    <mergeCell ref="Z141:Z143"/>
    <mergeCell ref="AA141:AA143"/>
    <mergeCell ref="P141:P143"/>
    <mergeCell ref="Q141:Q143"/>
    <mergeCell ref="R141:R143"/>
    <mergeCell ref="S141:S143"/>
    <mergeCell ref="T141:T143"/>
    <mergeCell ref="U141:U143"/>
    <mergeCell ref="J141:J143"/>
    <mergeCell ref="K141:K143"/>
    <mergeCell ref="L141:L143"/>
    <mergeCell ref="M141:M143"/>
    <mergeCell ref="N141:N143"/>
    <mergeCell ref="O141:O143"/>
    <mergeCell ref="AB138:AB140"/>
    <mergeCell ref="A141:A143"/>
    <mergeCell ref="B141:B143"/>
    <mergeCell ref="C141:C143"/>
    <mergeCell ref="D141:D143"/>
    <mergeCell ref="E141:E143"/>
    <mergeCell ref="F141:F143"/>
    <mergeCell ref="G141:G143"/>
    <mergeCell ref="H141:H143"/>
    <mergeCell ref="I141:I143"/>
    <mergeCell ref="V138:V140"/>
    <mergeCell ref="W138:W140"/>
    <mergeCell ref="X138:X140"/>
    <mergeCell ref="Y138:Y140"/>
    <mergeCell ref="Z138:Z140"/>
    <mergeCell ref="AA138:AA140"/>
    <mergeCell ref="P138:P140"/>
    <mergeCell ref="Q138:Q140"/>
    <mergeCell ref="R138:R140"/>
    <mergeCell ref="S138:S140"/>
    <mergeCell ref="T138:T140"/>
    <mergeCell ref="U138:U140"/>
    <mergeCell ref="J138:J140"/>
    <mergeCell ref="K138:K140"/>
    <mergeCell ref="L138:L140"/>
    <mergeCell ref="M138:M140"/>
    <mergeCell ref="N138:N140"/>
    <mergeCell ref="O138:O140"/>
    <mergeCell ref="AB141:AB143"/>
    <mergeCell ref="A133:AF133"/>
    <mergeCell ref="A138:A140"/>
    <mergeCell ref="B138:B140"/>
    <mergeCell ref="C138:C140"/>
    <mergeCell ref="D138:D140"/>
    <mergeCell ref="E138:E140"/>
    <mergeCell ref="F138:F140"/>
    <mergeCell ref="G138:G140"/>
    <mergeCell ref="H138:H140"/>
    <mergeCell ref="I138:I140"/>
    <mergeCell ref="Y121:Y123"/>
    <mergeCell ref="Z121:Z123"/>
    <mergeCell ref="AA121:AA123"/>
    <mergeCell ref="AB121:AB123"/>
    <mergeCell ref="A130:AF130"/>
    <mergeCell ref="A132:AF132"/>
    <mergeCell ref="S121:S123"/>
    <mergeCell ref="T121:T123"/>
    <mergeCell ref="U121:U123"/>
    <mergeCell ref="V121:V123"/>
    <mergeCell ref="W121:W123"/>
    <mergeCell ref="X121:X123"/>
    <mergeCell ref="M121:M123"/>
    <mergeCell ref="N121:N123"/>
    <mergeCell ref="O121:O123"/>
    <mergeCell ref="P121:P123"/>
    <mergeCell ref="Q121:Q123"/>
    <mergeCell ref="R121:R123"/>
    <mergeCell ref="G121:G123"/>
    <mergeCell ref="H121:H123"/>
    <mergeCell ref="I121:I123"/>
    <mergeCell ref="J121:J123"/>
    <mergeCell ref="K121:K123"/>
    <mergeCell ref="L121:L123"/>
    <mergeCell ref="Y118:Y120"/>
    <mergeCell ref="Z118:Z120"/>
    <mergeCell ref="AA118:AA120"/>
    <mergeCell ref="AB118:AB120"/>
    <mergeCell ref="A121:A123"/>
    <mergeCell ref="B121:B123"/>
    <mergeCell ref="C121:C123"/>
    <mergeCell ref="D121:D123"/>
    <mergeCell ref="E121:E123"/>
    <mergeCell ref="F121:F123"/>
    <mergeCell ref="S118:S120"/>
    <mergeCell ref="T118:T120"/>
    <mergeCell ref="U118:U120"/>
    <mergeCell ref="V118:V120"/>
    <mergeCell ref="W118:W120"/>
    <mergeCell ref="X118:X120"/>
    <mergeCell ref="M118:M120"/>
    <mergeCell ref="N118:N120"/>
    <mergeCell ref="O118:O120"/>
    <mergeCell ref="P118:P120"/>
    <mergeCell ref="Q118:Q120"/>
    <mergeCell ref="R118:R120"/>
    <mergeCell ref="G118:G120"/>
    <mergeCell ref="H118:H120"/>
    <mergeCell ref="I118:I120"/>
    <mergeCell ref="J118:J120"/>
    <mergeCell ref="K118:K120"/>
    <mergeCell ref="L118:L120"/>
    <mergeCell ref="Y115:Y117"/>
    <mergeCell ref="Z115:Z117"/>
    <mergeCell ref="AA115:AA117"/>
    <mergeCell ref="AB115:AB117"/>
    <mergeCell ref="A118:A120"/>
    <mergeCell ref="B118:B120"/>
    <mergeCell ref="C118:C120"/>
    <mergeCell ref="D118:D120"/>
    <mergeCell ref="E118:E120"/>
    <mergeCell ref="F118:F120"/>
    <mergeCell ref="S115:S117"/>
    <mergeCell ref="T115:T117"/>
    <mergeCell ref="U115:U117"/>
    <mergeCell ref="V115:V117"/>
    <mergeCell ref="W115:W117"/>
    <mergeCell ref="X115:X117"/>
    <mergeCell ref="M115:M117"/>
    <mergeCell ref="N115:N117"/>
    <mergeCell ref="O115:O117"/>
    <mergeCell ref="P115:P117"/>
    <mergeCell ref="Q115:Q117"/>
    <mergeCell ref="R115:R117"/>
    <mergeCell ref="G115:G117"/>
    <mergeCell ref="H115:H117"/>
    <mergeCell ref="I115:I117"/>
    <mergeCell ref="J115:J117"/>
    <mergeCell ref="K115:K117"/>
    <mergeCell ref="L115:L117"/>
    <mergeCell ref="A115:A117"/>
    <mergeCell ref="B115:B117"/>
    <mergeCell ref="C115:C117"/>
    <mergeCell ref="D115:D117"/>
    <mergeCell ref="E115:E117"/>
    <mergeCell ref="F115:F117"/>
    <mergeCell ref="S112:S114"/>
    <mergeCell ref="T112:T114"/>
    <mergeCell ref="U112:U114"/>
    <mergeCell ref="V112:V114"/>
    <mergeCell ref="W112:W114"/>
    <mergeCell ref="X112:X114"/>
    <mergeCell ref="M112:M114"/>
    <mergeCell ref="N112:N114"/>
    <mergeCell ref="O112:O114"/>
    <mergeCell ref="P112:P114"/>
    <mergeCell ref="Q112:Q114"/>
    <mergeCell ref="R112:R114"/>
    <mergeCell ref="G112:G114"/>
    <mergeCell ref="H112:H114"/>
    <mergeCell ref="I112:I114"/>
    <mergeCell ref="J112:J114"/>
    <mergeCell ref="K112:K114"/>
    <mergeCell ref="L112:L114"/>
    <mergeCell ref="Y109:Y111"/>
    <mergeCell ref="Z109:Z111"/>
    <mergeCell ref="AA109:AA111"/>
    <mergeCell ref="AB109:AB111"/>
    <mergeCell ref="A112:A114"/>
    <mergeCell ref="B112:B114"/>
    <mergeCell ref="C112:C114"/>
    <mergeCell ref="D112:D114"/>
    <mergeCell ref="E112:E114"/>
    <mergeCell ref="F112:F114"/>
    <mergeCell ref="S109:S111"/>
    <mergeCell ref="T109:T111"/>
    <mergeCell ref="U109:U111"/>
    <mergeCell ref="V109:V111"/>
    <mergeCell ref="W109:W111"/>
    <mergeCell ref="X109:X111"/>
    <mergeCell ref="M109:M111"/>
    <mergeCell ref="N109:N111"/>
    <mergeCell ref="O109:O111"/>
    <mergeCell ref="P109:P111"/>
    <mergeCell ref="Q109:Q111"/>
    <mergeCell ref="R109:R111"/>
    <mergeCell ref="G109:G111"/>
    <mergeCell ref="H109:H111"/>
    <mergeCell ref="I109:I111"/>
    <mergeCell ref="J109:J111"/>
    <mergeCell ref="K109:K111"/>
    <mergeCell ref="L109:L111"/>
    <mergeCell ref="Y112:Y114"/>
    <mergeCell ref="Z112:Z114"/>
    <mergeCell ref="AA112:AA114"/>
    <mergeCell ref="AB112:AB114"/>
    <mergeCell ref="A109:A111"/>
    <mergeCell ref="B109:B111"/>
    <mergeCell ref="C109:C111"/>
    <mergeCell ref="D109:D111"/>
    <mergeCell ref="E109:E111"/>
    <mergeCell ref="F109:F111"/>
    <mergeCell ref="S106:S108"/>
    <mergeCell ref="T106:T108"/>
    <mergeCell ref="U106:U108"/>
    <mergeCell ref="V106:V108"/>
    <mergeCell ref="W106:W108"/>
    <mergeCell ref="X106:X108"/>
    <mergeCell ref="M106:M108"/>
    <mergeCell ref="N106:N108"/>
    <mergeCell ref="O106:O108"/>
    <mergeCell ref="P106:P108"/>
    <mergeCell ref="Q106:Q108"/>
    <mergeCell ref="R106:R108"/>
    <mergeCell ref="G106:G108"/>
    <mergeCell ref="H106:H108"/>
    <mergeCell ref="I106:I108"/>
    <mergeCell ref="J106:J108"/>
    <mergeCell ref="K106:K108"/>
    <mergeCell ref="L106:L108"/>
    <mergeCell ref="A98:AF98"/>
    <mergeCell ref="A100:AF100"/>
    <mergeCell ref="A101:AF101"/>
    <mergeCell ref="A106:A108"/>
    <mergeCell ref="B106:B108"/>
    <mergeCell ref="C106:C108"/>
    <mergeCell ref="D106:D108"/>
    <mergeCell ref="E106:E108"/>
    <mergeCell ref="F106:F108"/>
    <mergeCell ref="V89:V91"/>
    <mergeCell ref="W89:W91"/>
    <mergeCell ref="X89:X91"/>
    <mergeCell ref="Y89:Y91"/>
    <mergeCell ref="Z89:Z91"/>
    <mergeCell ref="AA89:AA91"/>
    <mergeCell ref="P89:P91"/>
    <mergeCell ref="Q89:Q91"/>
    <mergeCell ref="R89:R91"/>
    <mergeCell ref="S89:S91"/>
    <mergeCell ref="T89:T91"/>
    <mergeCell ref="U89:U91"/>
    <mergeCell ref="J89:J91"/>
    <mergeCell ref="K89:K91"/>
    <mergeCell ref="L89:L91"/>
    <mergeCell ref="M89:M91"/>
    <mergeCell ref="N89:N91"/>
    <mergeCell ref="O89:O91"/>
    <mergeCell ref="Y106:Y108"/>
    <mergeCell ref="Z106:Z108"/>
    <mergeCell ref="AA106:AA108"/>
    <mergeCell ref="AB106:AB108"/>
    <mergeCell ref="AB86:AB88"/>
    <mergeCell ref="A89:A91"/>
    <mergeCell ref="B89:B91"/>
    <mergeCell ref="C89:C91"/>
    <mergeCell ref="D89:D91"/>
    <mergeCell ref="E89:E91"/>
    <mergeCell ref="F89:F91"/>
    <mergeCell ref="G89:G91"/>
    <mergeCell ref="H89:H91"/>
    <mergeCell ref="I89:I91"/>
    <mergeCell ref="V86:V88"/>
    <mergeCell ref="W86:W88"/>
    <mergeCell ref="X86:X88"/>
    <mergeCell ref="Y86:Y88"/>
    <mergeCell ref="Z86:Z88"/>
    <mergeCell ref="AA86:AA88"/>
    <mergeCell ref="P86:P88"/>
    <mergeCell ref="Q86:Q88"/>
    <mergeCell ref="R86:R88"/>
    <mergeCell ref="S86:S88"/>
    <mergeCell ref="T86:T88"/>
    <mergeCell ref="U86:U88"/>
    <mergeCell ref="J86:J88"/>
    <mergeCell ref="K86:K88"/>
    <mergeCell ref="L86:L88"/>
    <mergeCell ref="M86:M88"/>
    <mergeCell ref="N86:N88"/>
    <mergeCell ref="O86:O88"/>
    <mergeCell ref="AB89:AB91"/>
    <mergeCell ref="A86:A88"/>
    <mergeCell ref="B86:B88"/>
    <mergeCell ref="C86:C88"/>
    <mergeCell ref="D86:D88"/>
    <mergeCell ref="E86:E88"/>
    <mergeCell ref="F86:F88"/>
    <mergeCell ref="G86:G88"/>
    <mergeCell ref="H86:H88"/>
    <mergeCell ref="I86:I88"/>
    <mergeCell ref="V83:V85"/>
    <mergeCell ref="W83:W85"/>
    <mergeCell ref="X83:X85"/>
    <mergeCell ref="Y83:Y85"/>
    <mergeCell ref="Z83:Z85"/>
    <mergeCell ref="AA83:AA85"/>
    <mergeCell ref="P83:P85"/>
    <mergeCell ref="Q83:Q85"/>
    <mergeCell ref="R83:R85"/>
    <mergeCell ref="S83:S85"/>
    <mergeCell ref="T83:T85"/>
    <mergeCell ref="U83:U85"/>
    <mergeCell ref="J83:J85"/>
    <mergeCell ref="K83:K85"/>
    <mergeCell ref="L83:L85"/>
    <mergeCell ref="M83:M85"/>
    <mergeCell ref="N83:N85"/>
    <mergeCell ref="O83:O85"/>
    <mergeCell ref="AB80:AB82"/>
    <mergeCell ref="A83:A85"/>
    <mergeCell ref="B83:B85"/>
    <mergeCell ref="C83:C85"/>
    <mergeCell ref="D83:D85"/>
    <mergeCell ref="E83:E85"/>
    <mergeCell ref="F83:F85"/>
    <mergeCell ref="G83:G85"/>
    <mergeCell ref="H83:H85"/>
    <mergeCell ref="I83:I85"/>
    <mergeCell ref="V80:V82"/>
    <mergeCell ref="W80:W82"/>
    <mergeCell ref="X80:X82"/>
    <mergeCell ref="Y80:Y82"/>
    <mergeCell ref="Z80:Z82"/>
    <mergeCell ref="AA80:AA82"/>
    <mergeCell ref="P80:P82"/>
    <mergeCell ref="Q80:Q82"/>
    <mergeCell ref="R80:R82"/>
    <mergeCell ref="S80:S82"/>
    <mergeCell ref="T80:T82"/>
    <mergeCell ref="U80:U82"/>
    <mergeCell ref="J80:J82"/>
    <mergeCell ref="K80:K82"/>
    <mergeCell ref="L80:L82"/>
    <mergeCell ref="M80:M82"/>
    <mergeCell ref="N80:N82"/>
    <mergeCell ref="O80:O82"/>
    <mergeCell ref="AB83:AB85"/>
    <mergeCell ref="A80:A82"/>
    <mergeCell ref="B80:B82"/>
    <mergeCell ref="C80:C82"/>
    <mergeCell ref="D80:D82"/>
    <mergeCell ref="E80:E82"/>
    <mergeCell ref="F80:F82"/>
    <mergeCell ref="G80:G82"/>
    <mergeCell ref="H80:H82"/>
    <mergeCell ref="I80:I82"/>
    <mergeCell ref="V77:V79"/>
    <mergeCell ref="W77:W79"/>
    <mergeCell ref="X77:X79"/>
    <mergeCell ref="Y77:Y79"/>
    <mergeCell ref="Z77:Z79"/>
    <mergeCell ref="AA77:AA79"/>
    <mergeCell ref="P77:P79"/>
    <mergeCell ref="Q77:Q79"/>
    <mergeCell ref="R77:R79"/>
    <mergeCell ref="S77:S79"/>
    <mergeCell ref="T77:T79"/>
    <mergeCell ref="U77:U79"/>
    <mergeCell ref="J77:J79"/>
    <mergeCell ref="K77:K79"/>
    <mergeCell ref="L77:L79"/>
    <mergeCell ref="M77:M79"/>
    <mergeCell ref="N77:N79"/>
    <mergeCell ref="O77:O79"/>
    <mergeCell ref="AB74:AB76"/>
    <mergeCell ref="A77:A79"/>
    <mergeCell ref="B77:B79"/>
    <mergeCell ref="C77:C79"/>
    <mergeCell ref="D77:D79"/>
    <mergeCell ref="E77:E79"/>
    <mergeCell ref="F77:F79"/>
    <mergeCell ref="G77:G79"/>
    <mergeCell ref="H77:H79"/>
    <mergeCell ref="I77:I79"/>
    <mergeCell ref="V74:V76"/>
    <mergeCell ref="W74:W76"/>
    <mergeCell ref="X74:X76"/>
    <mergeCell ref="Y74:Y76"/>
    <mergeCell ref="Z74:Z76"/>
    <mergeCell ref="AA74:AA76"/>
    <mergeCell ref="P74:P76"/>
    <mergeCell ref="Q74:Q76"/>
    <mergeCell ref="R74:R76"/>
    <mergeCell ref="S74:S76"/>
    <mergeCell ref="T74:T76"/>
    <mergeCell ref="U74:U76"/>
    <mergeCell ref="J74:J76"/>
    <mergeCell ref="K74:K76"/>
    <mergeCell ref="L74:L76"/>
    <mergeCell ref="M74:M76"/>
    <mergeCell ref="N74:N76"/>
    <mergeCell ref="O74:O76"/>
    <mergeCell ref="AB77:AB79"/>
    <mergeCell ref="A69:AF69"/>
    <mergeCell ref="A74:A76"/>
    <mergeCell ref="B74:B76"/>
    <mergeCell ref="C74:C76"/>
    <mergeCell ref="D74:D76"/>
    <mergeCell ref="E74:E76"/>
    <mergeCell ref="F74:F76"/>
    <mergeCell ref="G74:G76"/>
    <mergeCell ref="H74:H76"/>
    <mergeCell ref="I74:I76"/>
    <mergeCell ref="Y57:Y59"/>
    <mergeCell ref="Z57:Z59"/>
    <mergeCell ref="AA57:AA59"/>
    <mergeCell ref="AB57:AB59"/>
    <mergeCell ref="A66:AF66"/>
    <mergeCell ref="A68:AF68"/>
    <mergeCell ref="S57:S59"/>
    <mergeCell ref="T57:T59"/>
    <mergeCell ref="U57:U59"/>
    <mergeCell ref="V57:V59"/>
    <mergeCell ref="W57:W59"/>
    <mergeCell ref="X57:X59"/>
    <mergeCell ref="M57:M59"/>
    <mergeCell ref="N57:N59"/>
    <mergeCell ref="O57:O59"/>
    <mergeCell ref="P57:P59"/>
    <mergeCell ref="Q57:Q59"/>
    <mergeCell ref="R57:R59"/>
    <mergeCell ref="G57:G59"/>
    <mergeCell ref="H57:H59"/>
    <mergeCell ref="I57:I59"/>
    <mergeCell ref="J57:J59"/>
    <mergeCell ref="K57:K59"/>
    <mergeCell ref="L57:L59"/>
    <mergeCell ref="Y54:Y56"/>
    <mergeCell ref="Z54:Z56"/>
    <mergeCell ref="AA54:AA56"/>
    <mergeCell ref="AB54:AB56"/>
    <mergeCell ref="A57:A59"/>
    <mergeCell ref="B57:B59"/>
    <mergeCell ref="C57:C59"/>
    <mergeCell ref="D57:D59"/>
    <mergeCell ref="E57:E59"/>
    <mergeCell ref="F57:F59"/>
    <mergeCell ref="S54:S56"/>
    <mergeCell ref="T54:T56"/>
    <mergeCell ref="U54:U56"/>
    <mergeCell ref="V54:V56"/>
    <mergeCell ref="W54:W56"/>
    <mergeCell ref="X54:X56"/>
    <mergeCell ref="M54:M56"/>
    <mergeCell ref="N54:N56"/>
    <mergeCell ref="O54:O56"/>
    <mergeCell ref="P54:P56"/>
    <mergeCell ref="Q54:Q56"/>
    <mergeCell ref="R54:R56"/>
    <mergeCell ref="G54:G56"/>
    <mergeCell ref="H54:H56"/>
    <mergeCell ref="I54:I56"/>
    <mergeCell ref="J54:J56"/>
    <mergeCell ref="K54:K56"/>
    <mergeCell ref="L54:L56"/>
    <mergeCell ref="Y51:Y53"/>
    <mergeCell ref="Z51:Z53"/>
    <mergeCell ref="AA51:AA53"/>
    <mergeCell ref="AB51:AB53"/>
    <mergeCell ref="A54:A56"/>
    <mergeCell ref="B54:B56"/>
    <mergeCell ref="C54:C56"/>
    <mergeCell ref="D54:D56"/>
    <mergeCell ref="E54:E56"/>
    <mergeCell ref="F54:F56"/>
    <mergeCell ref="S51:S53"/>
    <mergeCell ref="T51:T53"/>
    <mergeCell ref="U51:U53"/>
    <mergeCell ref="V51:V53"/>
    <mergeCell ref="W51:W53"/>
    <mergeCell ref="X51:X53"/>
    <mergeCell ref="M51:M53"/>
    <mergeCell ref="N51:N53"/>
    <mergeCell ref="O51:O53"/>
    <mergeCell ref="P51:P53"/>
    <mergeCell ref="Q51:Q53"/>
    <mergeCell ref="R51:R53"/>
    <mergeCell ref="G51:G53"/>
    <mergeCell ref="H51:H53"/>
    <mergeCell ref="I51:I53"/>
    <mergeCell ref="J51:J53"/>
    <mergeCell ref="K51:K53"/>
    <mergeCell ref="L51:L53"/>
    <mergeCell ref="A51:A53"/>
    <mergeCell ref="B51:B53"/>
    <mergeCell ref="C51:C53"/>
    <mergeCell ref="D51:D53"/>
    <mergeCell ref="E51:E53"/>
    <mergeCell ref="F51:F53"/>
    <mergeCell ref="S48:S50"/>
    <mergeCell ref="T48:T50"/>
    <mergeCell ref="U48:U50"/>
    <mergeCell ref="V48:V50"/>
    <mergeCell ref="W48:W50"/>
    <mergeCell ref="X48:X50"/>
    <mergeCell ref="M48:M50"/>
    <mergeCell ref="N48:N50"/>
    <mergeCell ref="O48:O50"/>
    <mergeCell ref="P48:P50"/>
    <mergeCell ref="Q48:Q50"/>
    <mergeCell ref="R48:R50"/>
    <mergeCell ref="G48:G50"/>
    <mergeCell ref="H48:H50"/>
    <mergeCell ref="I48:I50"/>
    <mergeCell ref="J48:J50"/>
    <mergeCell ref="K48:K50"/>
    <mergeCell ref="L48:L50"/>
    <mergeCell ref="Y45:Y47"/>
    <mergeCell ref="Z45:Z47"/>
    <mergeCell ref="AA45:AA47"/>
    <mergeCell ref="AB45:AB47"/>
    <mergeCell ref="A48:A50"/>
    <mergeCell ref="B48:B50"/>
    <mergeCell ref="C48:C50"/>
    <mergeCell ref="D48:D50"/>
    <mergeCell ref="E48:E50"/>
    <mergeCell ref="F48:F50"/>
    <mergeCell ref="S45:S47"/>
    <mergeCell ref="T45:T47"/>
    <mergeCell ref="U45:U47"/>
    <mergeCell ref="V45:V47"/>
    <mergeCell ref="W45:W47"/>
    <mergeCell ref="X45:X47"/>
    <mergeCell ref="M45:M47"/>
    <mergeCell ref="N45:N47"/>
    <mergeCell ref="O45:O47"/>
    <mergeCell ref="P45:P47"/>
    <mergeCell ref="Q45:Q47"/>
    <mergeCell ref="R45:R47"/>
    <mergeCell ref="G45:G47"/>
    <mergeCell ref="H45:H47"/>
    <mergeCell ref="I45:I47"/>
    <mergeCell ref="J45:J47"/>
    <mergeCell ref="K45:K47"/>
    <mergeCell ref="L45:L47"/>
    <mergeCell ref="Y48:Y50"/>
    <mergeCell ref="Z48:Z50"/>
    <mergeCell ref="AA48:AA50"/>
    <mergeCell ref="AB48:AB50"/>
    <mergeCell ref="A45:A47"/>
    <mergeCell ref="B45:B47"/>
    <mergeCell ref="C45:C47"/>
    <mergeCell ref="D45:D47"/>
    <mergeCell ref="E45:E47"/>
    <mergeCell ref="F45:F47"/>
    <mergeCell ref="S42:S44"/>
    <mergeCell ref="T42:T44"/>
    <mergeCell ref="U42:U44"/>
    <mergeCell ref="V42:V44"/>
    <mergeCell ref="W42:W44"/>
    <mergeCell ref="X42:X44"/>
    <mergeCell ref="M42:M44"/>
    <mergeCell ref="N42:N44"/>
    <mergeCell ref="O42:O44"/>
    <mergeCell ref="P42:P44"/>
    <mergeCell ref="Q42:Q44"/>
    <mergeCell ref="R42:R44"/>
    <mergeCell ref="G42:G44"/>
    <mergeCell ref="H42:H44"/>
    <mergeCell ref="I42:I44"/>
    <mergeCell ref="J42:J44"/>
    <mergeCell ref="K42:K44"/>
    <mergeCell ref="L42:L44"/>
    <mergeCell ref="A42:A44"/>
    <mergeCell ref="B42:B44"/>
    <mergeCell ref="C42:C44"/>
    <mergeCell ref="D42:D44"/>
    <mergeCell ref="E42:E44"/>
    <mergeCell ref="F42:F44"/>
    <mergeCell ref="A34:AF34"/>
    <mergeCell ref="A36:AF36"/>
    <mergeCell ref="A37:AF37"/>
    <mergeCell ref="T26:T28"/>
    <mergeCell ref="U26:U28"/>
    <mergeCell ref="V26:V28"/>
    <mergeCell ref="W26:W28"/>
    <mergeCell ref="X26:X28"/>
    <mergeCell ref="Y26:Y28"/>
    <mergeCell ref="N26:N28"/>
    <mergeCell ref="O26:O28"/>
    <mergeCell ref="P26:P28"/>
    <mergeCell ref="Q26:Q28"/>
    <mergeCell ref="R26:R28"/>
    <mergeCell ref="S26:S28"/>
    <mergeCell ref="H26:H28"/>
    <mergeCell ref="I26:I28"/>
    <mergeCell ref="J26:J28"/>
    <mergeCell ref="K26:K28"/>
    <mergeCell ref="L26:L28"/>
    <mergeCell ref="M26:M28"/>
    <mergeCell ref="Y42:Y44"/>
    <mergeCell ref="Z42:Z44"/>
    <mergeCell ref="AA42:AA44"/>
    <mergeCell ref="AB42:AB44"/>
    <mergeCell ref="A26:A28"/>
    <mergeCell ref="B26:B28"/>
    <mergeCell ref="C26:C28"/>
    <mergeCell ref="D26:D28"/>
    <mergeCell ref="E26:E28"/>
    <mergeCell ref="F26:F28"/>
    <mergeCell ref="G26:G28"/>
    <mergeCell ref="T23:T25"/>
    <mergeCell ref="U23:U25"/>
    <mergeCell ref="V23:V25"/>
    <mergeCell ref="W23:W25"/>
    <mergeCell ref="X23:X25"/>
    <mergeCell ref="Y23:Y25"/>
    <mergeCell ref="N23:N25"/>
    <mergeCell ref="O23:O25"/>
    <mergeCell ref="P23:P25"/>
    <mergeCell ref="Q23:Q25"/>
    <mergeCell ref="R23:R25"/>
    <mergeCell ref="S23:S25"/>
    <mergeCell ref="H23:H25"/>
    <mergeCell ref="I23:I25"/>
    <mergeCell ref="J23:J25"/>
    <mergeCell ref="K23:K25"/>
    <mergeCell ref="L23:L25"/>
    <mergeCell ref="M23:M25"/>
    <mergeCell ref="Z26:Z28"/>
    <mergeCell ref="AA26:AA28"/>
    <mergeCell ref="AB26:AB28"/>
    <mergeCell ref="AB20:AB22"/>
    <mergeCell ref="A23:A25"/>
    <mergeCell ref="B23:B25"/>
    <mergeCell ref="C23:C25"/>
    <mergeCell ref="D23:D25"/>
    <mergeCell ref="E23:E25"/>
    <mergeCell ref="F23:F25"/>
    <mergeCell ref="G23:G25"/>
    <mergeCell ref="T20:T22"/>
    <mergeCell ref="U20:U22"/>
    <mergeCell ref="V20:V22"/>
    <mergeCell ref="W20:W22"/>
    <mergeCell ref="X20:X22"/>
    <mergeCell ref="Y20:Y22"/>
    <mergeCell ref="N20:N22"/>
    <mergeCell ref="O20:O22"/>
    <mergeCell ref="P20:P22"/>
    <mergeCell ref="Q20:Q22"/>
    <mergeCell ref="R20:R22"/>
    <mergeCell ref="S20:S22"/>
    <mergeCell ref="H20:H22"/>
    <mergeCell ref="I20:I22"/>
    <mergeCell ref="J20:J22"/>
    <mergeCell ref="K20:K22"/>
    <mergeCell ref="L20:L22"/>
    <mergeCell ref="M20:M22"/>
    <mergeCell ref="Z23:Z25"/>
    <mergeCell ref="AA23:AA25"/>
    <mergeCell ref="AB23:AB25"/>
    <mergeCell ref="L14:L16"/>
    <mergeCell ref="M14:M16"/>
    <mergeCell ref="Z17:Z19"/>
    <mergeCell ref="AA17:AA19"/>
    <mergeCell ref="AB17:AB19"/>
    <mergeCell ref="A20:A22"/>
    <mergeCell ref="B20:B22"/>
    <mergeCell ref="C20:C22"/>
    <mergeCell ref="D20:D22"/>
    <mergeCell ref="E20:E22"/>
    <mergeCell ref="F20:F22"/>
    <mergeCell ref="G20:G22"/>
    <mergeCell ref="T17:T19"/>
    <mergeCell ref="U17:U19"/>
    <mergeCell ref="V17:V19"/>
    <mergeCell ref="W17:W19"/>
    <mergeCell ref="X17:X19"/>
    <mergeCell ref="Y17:Y19"/>
    <mergeCell ref="N17:N19"/>
    <mergeCell ref="O17:O19"/>
    <mergeCell ref="P17:P19"/>
    <mergeCell ref="Q17:Q19"/>
    <mergeCell ref="R17:R19"/>
    <mergeCell ref="S17:S19"/>
    <mergeCell ref="H17:H19"/>
    <mergeCell ref="I17:I19"/>
    <mergeCell ref="J17:J19"/>
    <mergeCell ref="K17:K19"/>
    <mergeCell ref="L17:L19"/>
    <mergeCell ref="M17:M19"/>
    <mergeCell ref="Z20:Z22"/>
    <mergeCell ref="AA20:AA22"/>
    <mergeCell ref="H11:H13"/>
    <mergeCell ref="I11:I13"/>
    <mergeCell ref="J11:J13"/>
    <mergeCell ref="K11:K13"/>
    <mergeCell ref="L11:L13"/>
    <mergeCell ref="M11:M13"/>
    <mergeCell ref="Z14:Z16"/>
    <mergeCell ref="AA14:AA16"/>
    <mergeCell ref="AB14:AB16"/>
    <mergeCell ref="A17:A19"/>
    <mergeCell ref="B17:B19"/>
    <mergeCell ref="C17:C19"/>
    <mergeCell ref="D17:D19"/>
    <mergeCell ref="E17:E19"/>
    <mergeCell ref="F17:F19"/>
    <mergeCell ref="G17:G19"/>
    <mergeCell ref="T14:T16"/>
    <mergeCell ref="U14:U16"/>
    <mergeCell ref="V14:V16"/>
    <mergeCell ref="W14:W16"/>
    <mergeCell ref="X14:X16"/>
    <mergeCell ref="Y14:Y16"/>
    <mergeCell ref="N14:N16"/>
    <mergeCell ref="O14:O16"/>
    <mergeCell ref="P14:P16"/>
    <mergeCell ref="Q14:Q16"/>
    <mergeCell ref="R14:R16"/>
    <mergeCell ref="S14:S16"/>
    <mergeCell ref="H14:H16"/>
    <mergeCell ref="I14:I16"/>
    <mergeCell ref="J14:J16"/>
    <mergeCell ref="K14:K16"/>
    <mergeCell ref="A3:AF3"/>
    <mergeCell ref="A5:AF5"/>
    <mergeCell ref="A6:AF6"/>
    <mergeCell ref="A11:A13"/>
    <mergeCell ref="B11:B13"/>
    <mergeCell ref="C11:C13"/>
    <mergeCell ref="D11:D13"/>
    <mergeCell ref="E11:E13"/>
    <mergeCell ref="F11:F13"/>
    <mergeCell ref="G11:G13"/>
    <mergeCell ref="Z11:Z13"/>
    <mergeCell ref="AA11:AA13"/>
    <mergeCell ref="AB11:AB13"/>
    <mergeCell ref="A14:A16"/>
    <mergeCell ref="B14:B16"/>
    <mergeCell ref="C14:C16"/>
    <mergeCell ref="D14:D16"/>
    <mergeCell ref="E14:E16"/>
    <mergeCell ref="F14:F16"/>
    <mergeCell ref="G14:G16"/>
    <mergeCell ref="T11:T13"/>
    <mergeCell ref="U11:U13"/>
    <mergeCell ref="V11:V13"/>
    <mergeCell ref="W11:W13"/>
    <mergeCell ref="X11:X13"/>
    <mergeCell ref="Y11:Y13"/>
    <mergeCell ref="N11:N13"/>
    <mergeCell ref="O11:O13"/>
    <mergeCell ref="P11:P13"/>
    <mergeCell ref="Q11:Q13"/>
    <mergeCell ref="R11:R13"/>
    <mergeCell ref="S11:S13"/>
  </mergeCells>
  <pageMargins left="0.19685039370078741" right="0.19685039370078741" top="0.39370078740157483" bottom="0.59055118110236227" header="0" footer="0"/>
  <pageSetup paperSize="9" scale="96" orientation="landscape" horizontalDpi="300" verticalDpi="300" r:id="rId1"/>
  <headerFooter alignWithMargins="0"/>
  <rowBreaks count="33" manualBreakCount="33">
    <brk id="32" max="16383" man="1"/>
    <brk id="64" max="16383" man="1"/>
    <brk id="96" max="16383" man="1"/>
    <brk id="128" max="16383" man="1"/>
    <brk id="160" max="16383" man="1"/>
    <brk id="192" max="16383" man="1"/>
    <brk id="224" max="16383" man="1"/>
    <brk id="256" max="16383" man="1"/>
    <brk id="288" max="16383" man="1"/>
    <brk id="320" max="16383" man="1"/>
    <brk id="352" max="16383" man="1"/>
    <brk id="384" max="16383" man="1"/>
    <brk id="416" max="16383" man="1"/>
    <brk id="448" max="16383" man="1"/>
    <brk id="480" max="16383" man="1"/>
    <brk id="513" max="16383" man="1"/>
    <brk id="547" max="16383" man="1"/>
    <brk id="581" max="16383" man="1"/>
    <brk id="614" max="16383" man="1"/>
    <brk id="649" max="16383" man="1"/>
    <brk id="683" max="16383" man="1"/>
    <brk id="717" max="16383" man="1"/>
    <brk id="751" max="16383" man="1"/>
    <brk id="785" max="16383" man="1"/>
    <brk id="819" max="16383" man="1"/>
    <brk id="853" max="16383" man="1"/>
    <brk id="887" max="16383" man="1"/>
    <brk id="921" max="16383" man="1"/>
    <brk id="955" max="16383" man="1"/>
    <brk id="989" max="31" man="1"/>
    <brk id="1024" max="31" man="1"/>
    <brk id="1056" max="31" man="1"/>
    <brk id="1089" max="31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220C-75D1-477E-8DD8-9D36CD9DE60A}">
  <sheetPr codeName="Hoja7">
    <tabColor rgb="FFFF0000"/>
  </sheetPr>
  <dimension ref="A3:AF1119"/>
  <sheetViews>
    <sheetView view="pageBreakPreview" topLeftCell="A517" zoomScale="120" zoomScaleNormal="100" zoomScaleSheetLayoutView="120" workbookViewId="0">
      <selection activeCell="A515" sqref="A515:AF543"/>
    </sheetView>
  </sheetViews>
  <sheetFormatPr baseColWidth="10" defaultRowHeight="13.2" x14ac:dyDescent="0.25"/>
  <cols>
    <col min="1" max="1" width="5.6640625" style="26" customWidth="1"/>
    <col min="2" max="2" width="39.33203125" style="26" customWidth="1"/>
    <col min="3" max="27" width="3.109375" customWidth="1"/>
    <col min="28" max="28" width="12.6640625" customWidth="1"/>
    <col min="29" max="31" width="3.109375" customWidth="1"/>
    <col min="32" max="32" width="0.109375" customWidth="1"/>
  </cols>
  <sheetData>
    <row r="3" spans="1:32" ht="24.6" x14ac:dyDescent="0.25">
      <c r="A3" s="144" t="str">
        <f>'INSCRIPCION '!A$1</f>
        <v>TIRADA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</row>
    <row r="4" spans="1:32" ht="19.5" customHeight="1" x14ac:dyDescent="0.4">
      <c r="A4" s="23"/>
      <c r="B4" s="23"/>
    </row>
    <row r="5" spans="1:32" ht="22.5" customHeight="1" x14ac:dyDescent="0.25">
      <c r="A5" s="132" t="str">
        <f>'INSCRIPCION '!A$2</f>
        <v>CAMPO DE TIRO LA ISLA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ht="19.5" customHeight="1" x14ac:dyDescent="0.25">
      <c r="A6" s="143" t="str">
        <f>'INSCRIPCION '!A$3</f>
        <v>XXX PLATOS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</row>
    <row r="7" spans="1:32" ht="22.8" x14ac:dyDescent="0.4">
      <c r="A7" s="24"/>
      <c r="B7" s="24"/>
    </row>
    <row r="8" spans="1:32" ht="17.399999999999999" x14ac:dyDescent="0.3">
      <c r="A8" s="25" t="s">
        <v>9</v>
      </c>
      <c r="B8" s="25"/>
      <c r="J8" s="9" t="s">
        <v>6</v>
      </c>
      <c r="K8" s="9"/>
      <c r="L8" s="9"/>
      <c r="M8" s="9"/>
      <c r="N8" s="9"/>
      <c r="O8" s="22">
        <v>3</v>
      </c>
      <c r="P8" s="22"/>
      <c r="Q8" s="8"/>
      <c r="R8" s="8"/>
      <c r="S8" s="7"/>
      <c r="T8" s="8"/>
      <c r="U8" s="8"/>
      <c r="V8" s="9" t="s">
        <v>7</v>
      </c>
      <c r="W8" s="9"/>
      <c r="X8" s="9"/>
      <c r="Y8" s="9"/>
      <c r="Z8" s="22">
        <v>3</v>
      </c>
      <c r="AA8" s="22"/>
    </row>
    <row r="9" spans="1:32" ht="13.8" thickBot="1" x14ac:dyDescent="0.3"/>
    <row r="10" spans="1:32" ht="15.6" thickBot="1" x14ac:dyDescent="0.3">
      <c r="A10" s="27" t="s">
        <v>0</v>
      </c>
      <c r="B10" s="27" t="s">
        <v>8</v>
      </c>
      <c r="C10" s="47">
        <v>1</v>
      </c>
      <c r="D10" s="48">
        <v>2</v>
      </c>
      <c r="E10" s="48">
        <v>3</v>
      </c>
      <c r="F10" s="48">
        <v>4</v>
      </c>
      <c r="G10" s="49">
        <v>5</v>
      </c>
      <c r="H10" s="47">
        <v>6</v>
      </c>
      <c r="I10" s="48">
        <v>7</v>
      </c>
      <c r="J10" s="48">
        <v>8</v>
      </c>
      <c r="K10" s="48">
        <v>9</v>
      </c>
      <c r="L10" s="49">
        <v>10</v>
      </c>
      <c r="M10" s="47">
        <v>11</v>
      </c>
      <c r="N10" s="48">
        <v>12</v>
      </c>
      <c r="O10" s="48">
        <v>13</v>
      </c>
      <c r="P10" s="48">
        <v>14</v>
      </c>
      <c r="Q10" s="49">
        <v>15</v>
      </c>
      <c r="R10" s="47">
        <v>16</v>
      </c>
      <c r="S10" s="48">
        <v>17</v>
      </c>
      <c r="T10" s="48">
        <v>18</v>
      </c>
      <c r="U10" s="48">
        <v>19</v>
      </c>
      <c r="V10" s="49">
        <v>20</v>
      </c>
      <c r="W10" s="47">
        <v>21</v>
      </c>
      <c r="X10" s="48">
        <v>22</v>
      </c>
      <c r="Y10" s="48">
        <v>23</v>
      </c>
      <c r="Z10" s="48">
        <v>24</v>
      </c>
      <c r="AA10" s="49">
        <v>25</v>
      </c>
      <c r="AB10" s="30" t="s">
        <v>1</v>
      </c>
    </row>
    <row r="11" spans="1:32" ht="15.75" customHeight="1" thickTop="1" x14ac:dyDescent="0.25">
      <c r="A11" s="150">
        <v>1</v>
      </c>
      <c r="B11" s="153">
        <f>ESCUADRAS!C11</f>
        <v>0</v>
      </c>
      <c r="C11" s="129"/>
      <c r="D11" s="114"/>
      <c r="E11" s="114"/>
      <c r="F11" s="114"/>
      <c r="G11" s="156"/>
      <c r="H11" s="129"/>
      <c r="I11" s="114"/>
      <c r="J11" s="114"/>
      <c r="K11" s="114"/>
      <c r="L11" s="156"/>
      <c r="M11" s="129"/>
      <c r="N11" s="114"/>
      <c r="O11" s="114"/>
      <c r="P11" s="114"/>
      <c r="Q11" s="156"/>
      <c r="R11" s="129"/>
      <c r="S11" s="114"/>
      <c r="T11" s="114"/>
      <c r="U11" s="114"/>
      <c r="V11" s="156"/>
      <c r="W11" s="129"/>
      <c r="X11" s="114"/>
      <c r="Y11" s="114"/>
      <c r="Z11" s="114"/>
      <c r="AA11" s="156"/>
      <c r="AB11" s="159"/>
    </row>
    <row r="12" spans="1:32" ht="15.75" customHeight="1" x14ac:dyDescent="0.25">
      <c r="A12" s="151"/>
      <c r="B12" s="154"/>
      <c r="C12" s="130"/>
      <c r="D12" s="115"/>
      <c r="E12" s="115"/>
      <c r="F12" s="115"/>
      <c r="G12" s="157"/>
      <c r="H12" s="130"/>
      <c r="I12" s="115"/>
      <c r="J12" s="115"/>
      <c r="K12" s="115"/>
      <c r="L12" s="157"/>
      <c r="M12" s="130"/>
      <c r="N12" s="115"/>
      <c r="O12" s="115"/>
      <c r="P12" s="115"/>
      <c r="Q12" s="157"/>
      <c r="R12" s="130"/>
      <c r="S12" s="115"/>
      <c r="T12" s="115"/>
      <c r="U12" s="115"/>
      <c r="V12" s="157"/>
      <c r="W12" s="130"/>
      <c r="X12" s="115"/>
      <c r="Y12" s="115"/>
      <c r="Z12" s="115"/>
      <c r="AA12" s="157"/>
      <c r="AB12" s="160"/>
    </row>
    <row r="13" spans="1:32" ht="15.75" customHeight="1" thickBot="1" x14ac:dyDescent="0.3">
      <c r="A13" s="152"/>
      <c r="B13" s="155"/>
      <c r="C13" s="131"/>
      <c r="D13" s="116"/>
      <c r="E13" s="116"/>
      <c r="F13" s="116"/>
      <c r="G13" s="158"/>
      <c r="H13" s="131"/>
      <c r="I13" s="116"/>
      <c r="J13" s="116"/>
      <c r="K13" s="116"/>
      <c r="L13" s="158"/>
      <c r="M13" s="131"/>
      <c r="N13" s="116"/>
      <c r="O13" s="116"/>
      <c r="P13" s="116"/>
      <c r="Q13" s="158"/>
      <c r="R13" s="131"/>
      <c r="S13" s="116"/>
      <c r="T13" s="116"/>
      <c r="U13" s="116"/>
      <c r="V13" s="158"/>
      <c r="W13" s="131"/>
      <c r="X13" s="116"/>
      <c r="Y13" s="116"/>
      <c r="Z13" s="116"/>
      <c r="AA13" s="158"/>
      <c r="AB13" s="161"/>
    </row>
    <row r="14" spans="1:32" ht="15.75" customHeight="1" thickTop="1" x14ac:dyDescent="0.25">
      <c r="A14" s="162">
        <f>ESCUADRAS!B8</f>
        <v>2</v>
      </c>
      <c r="B14" s="136">
        <f>ESCUADRAS!C12</f>
        <v>0</v>
      </c>
      <c r="C14" s="93"/>
      <c r="D14" s="123"/>
      <c r="E14" s="123"/>
      <c r="F14" s="123"/>
      <c r="G14" s="164"/>
      <c r="H14" s="93"/>
      <c r="I14" s="123"/>
      <c r="J14" s="123"/>
      <c r="K14" s="123"/>
      <c r="L14" s="164"/>
      <c r="M14" s="93"/>
      <c r="N14" s="123"/>
      <c r="O14" s="123"/>
      <c r="P14" s="123"/>
      <c r="Q14" s="164"/>
      <c r="R14" s="93"/>
      <c r="S14" s="123"/>
      <c r="T14" s="123"/>
      <c r="U14" s="123"/>
      <c r="V14" s="164"/>
      <c r="W14" s="129"/>
      <c r="X14" s="114"/>
      <c r="Y14" s="114"/>
      <c r="Z14" s="114"/>
      <c r="AA14" s="156"/>
      <c r="AB14" s="159"/>
    </row>
    <row r="15" spans="1:32" ht="15.75" customHeight="1" x14ac:dyDescent="0.25">
      <c r="A15" s="141"/>
      <c r="B15" s="137"/>
      <c r="C15" s="94"/>
      <c r="D15" s="124"/>
      <c r="E15" s="124"/>
      <c r="F15" s="124"/>
      <c r="G15" s="165"/>
      <c r="H15" s="94"/>
      <c r="I15" s="124"/>
      <c r="J15" s="124"/>
      <c r="K15" s="124"/>
      <c r="L15" s="165"/>
      <c r="M15" s="94"/>
      <c r="N15" s="124"/>
      <c r="O15" s="124"/>
      <c r="P15" s="124"/>
      <c r="Q15" s="165"/>
      <c r="R15" s="94"/>
      <c r="S15" s="124"/>
      <c r="T15" s="124"/>
      <c r="U15" s="124"/>
      <c r="V15" s="165"/>
      <c r="W15" s="130"/>
      <c r="X15" s="115"/>
      <c r="Y15" s="115"/>
      <c r="Z15" s="115"/>
      <c r="AA15" s="157"/>
      <c r="AB15" s="160"/>
    </row>
    <row r="16" spans="1:32" ht="15.75" customHeight="1" thickBot="1" x14ac:dyDescent="0.3">
      <c r="A16" s="163"/>
      <c r="B16" s="138"/>
      <c r="C16" s="95"/>
      <c r="D16" s="125"/>
      <c r="E16" s="125"/>
      <c r="F16" s="125"/>
      <c r="G16" s="166"/>
      <c r="H16" s="95"/>
      <c r="I16" s="125"/>
      <c r="J16" s="125"/>
      <c r="K16" s="125"/>
      <c r="L16" s="166"/>
      <c r="M16" s="95"/>
      <c r="N16" s="125"/>
      <c r="O16" s="125"/>
      <c r="P16" s="125"/>
      <c r="Q16" s="166"/>
      <c r="R16" s="95"/>
      <c r="S16" s="125"/>
      <c r="T16" s="125"/>
      <c r="U16" s="125"/>
      <c r="V16" s="166"/>
      <c r="W16" s="131"/>
      <c r="X16" s="116"/>
      <c r="Y16" s="116"/>
      <c r="Z16" s="116"/>
      <c r="AA16" s="158"/>
      <c r="AB16" s="161"/>
    </row>
    <row r="17" spans="1:28" ht="15.75" customHeight="1" thickTop="1" x14ac:dyDescent="0.25">
      <c r="A17" s="150">
        <f>ESCUADRAS!B9</f>
        <v>3</v>
      </c>
      <c r="B17" s="153">
        <f>ESCUADRAS!C7</f>
        <v>0</v>
      </c>
      <c r="C17" s="93"/>
      <c r="D17" s="123"/>
      <c r="E17" s="123"/>
      <c r="F17" s="123"/>
      <c r="G17" s="164"/>
      <c r="H17" s="93"/>
      <c r="I17" s="123"/>
      <c r="J17" s="123"/>
      <c r="K17" s="123"/>
      <c r="L17" s="164"/>
      <c r="M17" s="93"/>
      <c r="N17" s="123"/>
      <c r="O17" s="123"/>
      <c r="P17" s="123"/>
      <c r="Q17" s="164"/>
      <c r="R17" s="129"/>
      <c r="S17" s="114"/>
      <c r="T17" s="114"/>
      <c r="U17" s="114"/>
      <c r="V17" s="156"/>
      <c r="W17" s="93"/>
      <c r="X17" s="123"/>
      <c r="Y17" s="123"/>
      <c r="Z17" s="123"/>
      <c r="AA17" s="164"/>
      <c r="AB17" s="159"/>
    </row>
    <row r="18" spans="1:28" ht="15.75" customHeight="1" x14ac:dyDescent="0.25">
      <c r="A18" s="151"/>
      <c r="B18" s="154"/>
      <c r="C18" s="94"/>
      <c r="D18" s="124"/>
      <c r="E18" s="124"/>
      <c r="F18" s="124"/>
      <c r="G18" s="165"/>
      <c r="H18" s="94"/>
      <c r="I18" s="124"/>
      <c r="J18" s="124"/>
      <c r="K18" s="124"/>
      <c r="L18" s="165"/>
      <c r="M18" s="94"/>
      <c r="N18" s="124"/>
      <c r="O18" s="124"/>
      <c r="P18" s="124"/>
      <c r="Q18" s="165"/>
      <c r="R18" s="130"/>
      <c r="S18" s="115"/>
      <c r="T18" s="115"/>
      <c r="U18" s="115"/>
      <c r="V18" s="157"/>
      <c r="W18" s="94"/>
      <c r="X18" s="124"/>
      <c r="Y18" s="124"/>
      <c r="Z18" s="124"/>
      <c r="AA18" s="165"/>
      <c r="AB18" s="160"/>
    </row>
    <row r="19" spans="1:28" ht="15.75" customHeight="1" thickBot="1" x14ac:dyDescent="0.3">
      <c r="A19" s="152"/>
      <c r="B19" s="155"/>
      <c r="C19" s="95"/>
      <c r="D19" s="125"/>
      <c r="E19" s="125"/>
      <c r="F19" s="125"/>
      <c r="G19" s="166"/>
      <c r="H19" s="95"/>
      <c r="I19" s="125"/>
      <c r="J19" s="125"/>
      <c r="K19" s="125"/>
      <c r="L19" s="166"/>
      <c r="M19" s="95"/>
      <c r="N19" s="125"/>
      <c r="O19" s="125"/>
      <c r="P19" s="125"/>
      <c r="Q19" s="166"/>
      <c r="R19" s="131"/>
      <c r="S19" s="116"/>
      <c r="T19" s="116"/>
      <c r="U19" s="116"/>
      <c r="V19" s="158"/>
      <c r="W19" s="95"/>
      <c r="X19" s="125"/>
      <c r="Y19" s="125"/>
      <c r="Z19" s="125"/>
      <c r="AA19" s="166"/>
      <c r="AB19" s="161"/>
    </row>
    <row r="20" spans="1:28" ht="15.75" customHeight="1" thickTop="1" x14ac:dyDescent="0.25">
      <c r="A20" s="162">
        <f>ESCUADRAS!B10</f>
        <v>4</v>
      </c>
      <c r="B20" s="136">
        <f>ESCUADRAS!C8</f>
        <v>0</v>
      </c>
      <c r="C20" s="93"/>
      <c r="D20" s="123"/>
      <c r="E20" s="123"/>
      <c r="F20" s="123"/>
      <c r="G20" s="164"/>
      <c r="H20" s="93"/>
      <c r="I20" s="123"/>
      <c r="J20" s="123"/>
      <c r="K20" s="123"/>
      <c r="L20" s="164"/>
      <c r="M20" s="129"/>
      <c r="N20" s="114"/>
      <c r="O20" s="114"/>
      <c r="P20" s="114"/>
      <c r="Q20" s="156"/>
      <c r="R20" s="93"/>
      <c r="S20" s="123"/>
      <c r="T20" s="123"/>
      <c r="U20" s="123"/>
      <c r="V20" s="164"/>
      <c r="W20" s="93"/>
      <c r="X20" s="123"/>
      <c r="Y20" s="123"/>
      <c r="Z20" s="123"/>
      <c r="AA20" s="164"/>
      <c r="AB20" s="159"/>
    </row>
    <row r="21" spans="1:28" ht="15.75" customHeight="1" x14ac:dyDescent="0.25">
      <c r="A21" s="141"/>
      <c r="B21" s="137"/>
      <c r="C21" s="94"/>
      <c r="D21" s="124"/>
      <c r="E21" s="124"/>
      <c r="F21" s="124"/>
      <c r="G21" s="165"/>
      <c r="H21" s="94"/>
      <c r="I21" s="124"/>
      <c r="J21" s="124"/>
      <c r="K21" s="124"/>
      <c r="L21" s="165"/>
      <c r="M21" s="130"/>
      <c r="N21" s="115"/>
      <c r="O21" s="115"/>
      <c r="P21" s="115"/>
      <c r="Q21" s="157"/>
      <c r="R21" s="94"/>
      <c r="S21" s="124"/>
      <c r="T21" s="124"/>
      <c r="U21" s="124"/>
      <c r="V21" s="165"/>
      <c r="W21" s="94"/>
      <c r="X21" s="124"/>
      <c r="Y21" s="124"/>
      <c r="Z21" s="124"/>
      <c r="AA21" s="165"/>
      <c r="AB21" s="160"/>
    </row>
    <row r="22" spans="1:28" ht="15.75" customHeight="1" thickBot="1" x14ac:dyDescent="0.3">
      <c r="A22" s="163"/>
      <c r="B22" s="138"/>
      <c r="C22" s="95"/>
      <c r="D22" s="125"/>
      <c r="E22" s="125"/>
      <c r="F22" s="125"/>
      <c r="G22" s="166"/>
      <c r="H22" s="95"/>
      <c r="I22" s="125"/>
      <c r="J22" s="125"/>
      <c r="K22" s="125"/>
      <c r="L22" s="166"/>
      <c r="M22" s="131"/>
      <c r="N22" s="116"/>
      <c r="O22" s="116"/>
      <c r="P22" s="116"/>
      <c r="Q22" s="158"/>
      <c r="R22" s="95"/>
      <c r="S22" s="125"/>
      <c r="T22" s="125"/>
      <c r="U22" s="125"/>
      <c r="V22" s="166"/>
      <c r="W22" s="95"/>
      <c r="X22" s="125"/>
      <c r="Y22" s="125"/>
      <c r="Z22" s="125"/>
      <c r="AA22" s="166"/>
      <c r="AB22" s="161"/>
    </row>
    <row r="23" spans="1:28" ht="15.75" customHeight="1" thickTop="1" x14ac:dyDescent="0.25">
      <c r="A23" s="150">
        <f>ESCUADRAS!B11</f>
        <v>5</v>
      </c>
      <c r="B23" s="153">
        <f>ESCUADRAS!C9</f>
        <v>0</v>
      </c>
      <c r="C23" s="93"/>
      <c r="D23" s="123"/>
      <c r="E23" s="123"/>
      <c r="F23" s="123"/>
      <c r="G23" s="164"/>
      <c r="H23" s="129"/>
      <c r="I23" s="114"/>
      <c r="J23" s="114"/>
      <c r="K23" s="114"/>
      <c r="L23" s="156"/>
      <c r="M23" s="93"/>
      <c r="N23" s="123"/>
      <c r="O23" s="123"/>
      <c r="P23" s="123"/>
      <c r="Q23" s="164"/>
      <c r="R23" s="93"/>
      <c r="S23" s="123"/>
      <c r="T23" s="123"/>
      <c r="U23" s="123"/>
      <c r="V23" s="164"/>
      <c r="W23" s="93"/>
      <c r="X23" s="123"/>
      <c r="Y23" s="123"/>
      <c r="Z23" s="123"/>
      <c r="AA23" s="164"/>
      <c r="AB23" s="159"/>
    </row>
    <row r="24" spans="1:28" ht="15.75" customHeight="1" x14ac:dyDescent="0.25">
      <c r="A24" s="151"/>
      <c r="B24" s="154"/>
      <c r="C24" s="94"/>
      <c r="D24" s="124"/>
      <c r="E24" s="124"/>
      <c r="F24" s="124"/>
      <c r="G24" s="165"/>
      <c r="H24" s="130"/>
      <c r="I24" s="115"/>
      <c r="J24" s="115"/>
      <c r="K24" s="115"/>
      <c r="L24" s="157"/>
      <c r="M24" s="94"/>
      <c r="N24" s="124"/>
      <c r="O24" s="124"/>
      <c r="P24" s="124"/>
      <c r="Q24" s="165"/>
      <c r="R24" s="94"/>
      <c r="S24" s="124"/>
      <c r="T24" s="124"/>
      <c r="U24" s="124"/>
      <c r="V24" s="165"/>
      <c r="W24" s="94"/>
      <c r="X24" s="124"/>
      <c r="Y24" s="124"/>
      <c r="Z24" s="124"/>
      <c r="AA24" s="165"/>
      <c r="AB24" s="160"/>
    </row>
    <row r="25" spans="1:28" ht="15.75" customHeight="1" thickBot="1" x14ac:dyDescent="0.3">
      <c r="A25" s="152"/>
      <c r="B25" s="155"/>
      <c r="C25" s="95"/>
      <c r="D25" s="125"/>
      <c r="E25" s="125"/>
      <c r="F25" s="125"/>
      <c r="G25" s="166"/>
      <c r="H25" s="131"/>
      <c r="I25" s="116"/>
      <c r="J25" s="116"/>
      <c r="K25" s="116"/>
      <c r="L25" s="158"/>
      <c r="M25" s="95"/>
      <c r="N25" s="125"/>
      <c r="O25" s="125"/>
      <c r="P25" s="125"/>
      <c r="Q25" s="166"/>
      <c r="R25" s="95"/>
      <c r="S25" s="125"/>
      <c r="T25" s="125"/>
      <c r="U25" s="125"/>
      <c r="V25" s="166"/>
      <c r="W25" s="95"/>
      <c r="X25" s="125"/>
      <c r="Y25" s="125"/>
      <c r="Z25" s="125"/>
      <c r="AA25" s="166"/>
      <c r="AB25" s="161"/>
    </row>
    <row r="26" spans="1:28" ht="15.75" customHeight="1" thickTop="1" x14ac:dyDescent="0.25">
      <c r="A26" s="162">
        <f>ESCUADRAS!B12</f>
        <v>6</v>
      </c>
      <c r="B26" s="136">
        <f>ESCUADRAS!C10</f>
        <v>0</v>
      </c>
      <c r="C26" s="129"/>
      <c r="D26" s="114"/>
      <c r="E26" s="114"/>
      <c r="F26" s="114"/>
      <c r="G26" s="156"/>
      <c r="H26" s="93"/>
      <c r="I26" s="123"/>
      <c r="J26" s="123"/>
      <c r="K26" s="123"/>
      <c r="L26" s="164"/>
      <c r="M26" s="93"/>
      <c r="N26" s="123"/>
      <c r="O26" s="123"/>
      <c r="P26" s="123"/>
      <c r="Q26" s="164"/>
      <c r="R26" s="93"/>
      <c r="S26" s="123"/>
      <c r="T26" s="123"/>
      <c r="U26" s="123"/>
      <c r="V26" s="164"/>
      <c r="W26" s="93"/>
      <c r="X26" s="123"/>
      <c r="Y26" s="123"/>
      <c r="Z26" s="123"/>
      <c r="AA26" s="164"/>
      <c r="AB26" s="159"/>
    </row>
    <row r="27" spans="1:28" ht="15.75" customHeight="1" x14ac:dyDescent="0.25">
      <c r="A27" s="141"/>
      <c r="B27" s="137"/>
      <c r="C27" s="130"/>
      <c r="D27" s="115"/>
      <c r="E27" s="115"/>
      <c r="F27" s="115"/>
      <c r="G27" s="157"/>
      <c r="H27" s="94"/>
      <c r="I27" s="124"/>
      <c r="J27" s="124"/>
      <c r="K27" s="124"/>
      <c r="L27" s="165"/>
      <c r="M27" s="94"/>
      <c r="N27" s="124"/>
      <c r="O27" s="124"/>
      <c r="P27" s="124"/>
      <c r="Q27" s="165"/>
      <c r="R27" s="94"/>
      <c r="S27" s="124"/>
      <c r="T27" s="124"/>
      <c r="U27" s="124"/>
      <c r="V27" s="165"/>
      <c r="W27" s="94"/>
      <c r="X27" s="124"/>
      <c r="Y27" s="124"/>
      <c r="Z27" s="124"/>
      <c r="AA27" s="165"/>
      <c r="AB27" s="160"/>
    </row>
    <row r="28" spans="1:28" ht="15.75" customHeight="1" thickBot="1" x14ac:dyDescent="0.3">
      <c r="A28" s="142"/>
      <c r="B28" s="138"/>
      <c r="C28" s="131"/>
      <c r="D28" s="116"/>
      <c r="E28" s="116"/>
      <c r="F28" s="116"/>
      <c r="G28" s="158"/>
      <c r="H28" s="95"/>
      <c r="I28" s="125"/>
      <c r="J28" s="125"/>
      <c r="K28" s="125"/>
      <c r="L28" s="166"/>
      <c r="M28" s="95"/>
      <c r="N28" s="125"/>
      <c r="O28" s="125"/>
      <c r="P28" s="125"/>
      <c r="Q28" s="166"/>
      <c r="R28" s="95"/>
      <c r="S28" s="125"/>
      <c r="T28" s="125"/>
      <c r="U28" s="125"/>
      <c r="V28" s="166"/>
      <c r="W28" s="95"/>
      <c r="X28" s="125"/>
      <c r="Y28" s="125"/>
      <c r="Z28" s="125"/>
      <c r="AA28" s="166"/>
      <c r="AB28" s="161"/>
    </row>
    <row r="29" spans="1:28" ht="15" x14ac:dyDescent="0.25">
      <c r="A29" s="28"/>
    </row>
    <row r="30" spans="1:28" ht="15" x14ac:dyDescent="0.25">
      <c r="A30" s="28"/>
      <c r="B30" s="26" t="s">
        <v>35</v>
      </c>
      <c r="E30" s="21" t="s">
        <v>41</v>
      </c>
      <c r="I30" s="21" t="s">
        <v>42</v>
      </c>
      <c r="M30" s="21" t="s">
        <v>43</v>
      </c>
      <c r="Q30" s="21" t="s">
        <v>44</v>
      </c>
      <c r="U30" s="21" t="s">
        <v>45</v>
      </c>
      <c r="Y30" s="21" t="s">
        <v>46</v>
      </c>
    </row>
    <row r="31" spans="1:28" ht="15" x14ac:dyDescent="0.25">
      <c r="A31" s="28"/>
    </row>
    <row r="32" spans="1:28" ht="9.75" customHeight="1" x14ac:dyDescent="0.25">
      <c r="A32" s="28"/>
    </row>
    <row r="34" spans="1:32" ht="24.6" x14ac:dyDescent="0.25">
      <c r="A34" s="144" t="str">
        <f>'INSCRIPCION '!A$1</f>
        <v>TIRADA</v>
      </c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</row>
    <row r="35" spans="1:32" ht="19.5" customHeight="1" x14ac:dyDescent="0.4">
      <c r="A35" s="23"/>
      <c r="B35" s="23"/>
    </row>
    <row r="36" spans="1:32" ht="23.25" customHeight="1" x14ac:dyDescent="0.25">
      <c r="A36" s="132" t="str">
        <f>'INSCRIPCION '!A$2</f>
        <v>CAMPO DE TIRO LA ISLA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</row>
    <row r="37" spans="1:32" ht="19.5" customHeight="1" x14ac:dyDescent="0.25">
      <c r="A37" s="143" t="str">
        <f>'INSCRIPCION '!A$3</f>
        <v>XXX PLATOS</v>
      </c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</row>
    <row r="38" spans="1:32" ht="22.8" x14ac:dyDescent="0.4">
      <c r="A38" s="24"/>
      <c r="B38" s="24"/>
    </row>
    <row r="39" spans="1:32" ht="17.399999999999999" x14ac:dyDescent="0.3">
      <c r="A39" s="25" t="s">
        <v>10</v>
      </c>
      <c r="B39" s="25"/>
      <c r="J39" s="9" t="s">
        <v>6</v>
      </c>
      <c r="K39" s="9"/>
      <c r="L39" s="9"/>
      <c r="M39" s="9"/>
      <c r="N39" s="9"/>
      <c r="O39" s="22">
        <v>4</v>
      </c>
      <c r="P39" s="22"/>
      <c r="Q39" s="8"/>
      <c r="R39" s="8"/>
      <c r="S39" s="7"/>
      <c r="T39" s="8"/>
      <c r="U39" s="8"/>
      <c r="V39" s="9" t="s">
        <v>7</v>
      </c>
      <c r="W39" s="9"/>
      <c r="X39" s="9"/>
      <c r="Y39" s="9"/>
      <c r="Z39" s="22">
        <v>3</v>
      </c>
      <c r="AA39" s="22"/>
    </row>
    <row r="40" spans="1:32" ht="13.8" thickBot="1" x14ac:dyDescent="0.3"/>
    <row r="41" spans="1:32" ht="15.6" thickBot="1" x14ac:dyDescent="0.3">
      <c r="A41" s="27" t="s">
        <v>0</v>
      </c>
      <c r="B41" s="27" t="s">
        <v>8</v>
      </c>
      <c r="C41" s="47">
        <v>1</v>
      </c>
      <c r="D41" s="48">
        <v>2</v>
      </c>
      <c r="E41" s="48">
        <v>3</v>
      </c>
      <c r="F41" s="48">
        <v>4</v>
      </c>
      <c r="G41" s="49">
        <v>5</v>
      </c>
      <c r="H41" s="47">
        <v>6</v>
      </c>
      <c r="I41" s="48">
        <v>7</v>
      </c>
      <c r="J41" s="48">
        <v>8</v>
      </c>
      <c r="K41" s="48">
        <v>9</v>
      </c>
      <c r="L41" s="49">
        <v>10</v>
      </c>
      <c r="M41" s="47">
        <v>11</v>
      </c>
      <c r="N41" s="48">
        <v>12</v>
      </c>
      <c r="O41" s="48">
        <v>13</v>
      </c>
      <c r="P41" s="48">
        <v>14</v>
      </c>
      <c r="Q41" s="49">
        <v>15</v>
      </c>
      <c r="R41" s="47">
        <v>16</v>
      </c>
      <c r="S41" s="48">
        <v>17</v>
      </c>
      <c r="T41" s="48">
        <v>18</v>
      </c>
      <c r="U41" s="48">
        <v>19</v>
      </c>
      <c r="V41" s="49">
        <v>20</v>
      </c>
      <c r="W41" s="47">
        <v>21</v>
      </c>
      <c r="X41" s="48">
        <v>22</v>
      </c>
      <c r="Y41" s="48">
        <v>23</v>
      </c>
      <c r="Z41" s="48">
        <v>24</v>
      </c>
      <c r="AA41" s="49">
        <v>25</v>
      </c>
      <c r="AB41" s="30" t="s">
        <v>1</v>
      </c>
    </row>
    <row r="42" spans="1:32" ht="15.75" customHeight="1" thickTop="1" x14ac:dyDescent="0.25">
      <c r="A42" s="150">
        <f>ESCUADRAS!B13</f>
        <v>7</v>
      </c>
      <c r="B42" s="153">
        <f>ESCUADRAS!C17</f>
        <v>0</v>
      </c>
      <c r="C42" s="129"/>
      <c r="D42" s="114"/>
      <c r="E42" s="114"/>
      <c r="F42" s="114"/>
      <c r="G42" s="156"/>
      <c r="H42" s="129"/>
      <c r="I42" s="114"/>
      <c r="J42" s="114"/>
      <c r="K42" s="114"/>
      <c r="L42" s="156"/>
      <c r="M42" s="129"/>
      <c r="N42" s="114"/>
      <c r="O42" s="114"/>
      <c r="P42" s="114"/>
      <c r="Q42" s="156"/>
      <c r="R42" s="129"/>
      <c r="S42" s="114"/>
      <c r="T42" s="114"/>
      <c r="U42" s="114"/>
      <c r="V42" s="156"/>
      <c r="W42" s="129"/>
      <c r="X42" s="114"/>
      <c r="Y42" s="114"/>
      <c r="Z42" s="114"/>
      <c r="AA42" s="156"/>
      <c r="AB42" s="159"/>
    </row>
    <row r="43" spans="1:32" ht="15.75" customHeight="1" x14ac:dyDescent="0.25">
      <c r="A43" s="151"/>
      <c r="B43" s="154"/>
      <c r="C43" s="130"/>
      <c r="D43" s="115"/>
      <c r="E43" s="115"/>
      <c r="F43" s="115"/>
      <c r="G43" s="157"/>
      <c r="H43" s="130"/>
      <c r="I43" s="115"/>
      <c r="J43" s="115"/>
      <c r="K43" s="115"/>
      <c r="L43" s="157"/>
      <c r="M43" s="130"/>
      <c r="N43" s="115"/>
      <c r="O43" s="115"/>
      <c r="P43" s="115"/>
      <c r="Q43" s="157"/>
      <c r="R43" s="130"/>
      <c r="S43" s="115"/>
      <c r="T43" s="115"/>
      <c r="U43" s="115"/>
      <c r="V43" s="157"/>
      <c r="W43" s="130"/>
      <c r="X43" s="115"/>
      <c r="Y43" s="115"/>
      <c r="Z43" s="115"/>
      <c r="AA43" s="157"/>
      <c r="AB43" s="160"/>
    </row>
    <row r="44" spans="1:32" ht="15.75" customHeight="1" thickBot="1" x14ac:dyDescent="0.3">
      <c r="A44" s="152"/>
      <c r="B44" s="155"/>
      <c r="C44" s="131"/>
      <c r="D44" s="116"/>
      <c r="E44" s="116"/>
      <c r="F44" s="116"/>
      <c r="G44" s="158"/>
      <c r="H44" s="131"/>
      <c r="I44" s="116"/>
      <c r="J44" s="116"/>
      <c r="K44" s="116"/>
      <c r="L44" s="158"/>
      <c r="M44" s="131"/>
      <c r="N44" s="116"/>
      <c r="O44" s="116"/>
      <c r="P44" s="116"/>
      <c r="Q44" s="158"/>
      <c r="R44" s="131"/>
      <c r="S44" s="116"/>
      <c r="T44" s="116"/>
      <c r="U44" s="116"/>
      <c r="V44" s="158"/>
      <c r="W44" s="131"/>
      <c r="X44" s="116"/>
      <c r="Y44" s="116"/>
      <c r="Z44" s="116"/>
      <c r="AA44" s="158"/>
      <c r="AB44" s="161"/>
    </row>
    <row r="45" spans="1:32" ht="15.75" customHeight="1" thickTop="1" x14ac:dyDescent="0.25">
      <c r="A45" s="162">
        <f>ESCUADRAS!B14</f>
        <v>8</v>
      </c>
      <c r="B45" s="136">
        <f>ESCUADRAS!C18</f>
        <v>0</v>
      </c>
      <c r="C45" s="93"/>
      <c r="D45" s="123"/>
      <c r="E45" s="123"/>
      <c r="F45" s="123"/>
      <c r="G45" s="164"/>
      <c r="H45" s="93"/>
      <c r="I45" s="123"/>
      <c r="J45" s="123"/>
      <c r="K45" s="123"/>
      <c r="L45" s="164"/>
      <c r="M45" s="93"/>
      <c r="N45" s="123"/>
      <c r="O45" s="123"/>
      <c r="P45" s="123"/>
      <c r="Q45" s="164"/>
      <c r="R45" s="93"/>
      <c r="S45" s="123"/>
      <c r="T45" s="123"/>
      <c r="U45" s="123"/>
      <c r="V45" s="164"/>
      <c r="W45" s="129"/>
      <c r="X45" s="114"/>
      <c r="Y45" s="114"/>
      <c r="Z45" s="114"/>
      <c r="AA45" s="156"/>
      <c r="AB45" s="159"/>
    </row>
    <row r="46" spans="1:32" ht="15.75" customHeight="1" x14ac:dyDescent="0.25">
      <c r="A46" s="141"/>
      <c r="B46" s="137"/>
      <c r="C46" s="94"/>
      <c r="D46" s="124"/>
      <c r="E46" s="124"/>
      <c r="F46" s="124"/>
      <c r="G46" s="165"/>
      <c r="H46" s="94"/>
      <c r="I46" s="124"/>
      <c r="J46" s="124"/>
      <c r="K46" s="124"/>
      <c r="L46" s="165"/>
      <c r="M46" s="94"/>
      <c r="N46" s="124"/>
      <c r="O46" s="124"/>
      <c r="P46" s="124"/>
      <c r="Q46" s="165"/>
      <c r="R46" s="94"/>
      <c r="S46" s="124"/>
      <c r="T46" s="124"/>
      <c r="U46" s="124"/>
      <c r="V46" s="165"/>
      <c r="W46" s="130"/>
      <c r="X46" s="115"/>
      <c r="Y46" s="115"/>
      <c r="Z46" s="115"/>
      <c r="AA46" s="157"/>
      <c r="AB46" s="160"/>
    </row>
    <row r="47" spans="1:32" ht="15.75" customHeight="1" thickBot="1" x14ac:dyDescent="0.3">
      <c r="A47" s="163"/>
      <c r="B47" s="138"/>
      <c r="C47" s="95"/>
      <c r="D47" s="125"/>
      <c r="E47" s="125"/>
      <c r="F47" s="125"/>
      <c r="G47" s="166"/>
      <c r="H47" s="95"/>
      <c r="I47" s="125"/>
      <c r="J47" s="125"/>
      <c r="K47" s="125"/>
      <c r="L47" s="166"/>
      <c r="M47" s="95"/>
      <c r="N47" s="125"/>
      <c r="O47" s="125"/>
      <c r="P47" s="125"/>
      <c r="Q47" s="166"/>
      <c r="R47" s="95"/>
      <c r="S47" s="125"/>
      <c r="T47" s="125"/>
      <c r="U47" s="125"/>
      <c r="V47" s="166"/>
      <c r="W47" s="131"/>
      <c r="X47" s="116"/>
      <c r="Y47" s="116"/>
      <c r="Z47" s="116"/>
      <c r="AA47" s="158"/>
      <c r="AB47" s="161"/>
    </row>
    <row r="48" spans="1:32" ht="15.75" customHeight="1" thickTop="1" x14ac:dyDescent="0.25">
      <c r="A48" s="150">
        <f>ESCUADRAS!B15</f>
        <v>9</v>
      </c>
      <c r="B48" s="153">
        <f>ESCUADRAS!C13</f>
        <v>0</v>
      </c>
      <c r="C48" s="93"/>
      <c r="D48" s="123"/>
      <c r="E48" s="123"/>
      <c r="F48" s="123"/>
      <c r="G48" s="164"/>
      <c r="H48" s="93"/>
      <c r="I48" s="123"/>
      <c r="J48" s="123"/>
      <c r="K48" s="123"/>
      <c r="L48" s="164"/>
      <c r="M48" s="93"/>
      <c r="N48" s="123"/>
      <c r="O48" s="123"/>
      <c r="P48" s="123"/>
      <c r="Q48" s="164"/>
      <c r="R48" s="129"/>
      <c r="S48" s="114"/>
      <c r="T48" s="114"/>
      <c r="U48" s="114"/>
      <c r="V48" s="156"/>
      <c r="W48" s="93"/>
      <c r="X48" s="123"/>
      <c r="Y48" s="123"/>
      <c r="Z48" s="123"/>
      <c r="AA48" s="164"/>
      <c r="AB48" s="159"/>
    </row>
    <row r="49" spans="1:28" ht="15.75" customHeight="1" x14ac:dyDescent="0.25">
      <c r="A49" s="151"/>
      <c r="B49" s="154"/>
      <c r="C49" s="94"/>
      <c r="D49" s="124"/>
      <c r="E49" s="124"/>
      <c r="F49" s="124"/>
      <c r="G49" s="165"/>
      <c r="H49" s="94"/>
      <c r="I49" s="124"/>
      <c r="J49" s="124"/>
      <c r="K49" s="124"/>
      <c r="L49" s="165"/>
      <c r="M49" s="94"/>
      <c r="N49" s="124"/>
      <c r="O49" s="124"/>
      <c r="P49" s="124"/>
      <c r="Q49" s="165"/>
      <c r="R49" s="130"/>
      <c r="S49" s="115"/>
      <c r="T49" s="115"/>
      <c r="U49" s="115"/>
      <c r="V49" s="157"/>
      <c r="W49" s="94"/>
      <c r="X49" s="124"/>
      <c r="Y49" s="124"/>
      <c r="Z49" s="124"/>
      <c r="AA49" s="165"/>
      <c r="AB49" s="160"/>
    </row>
    <row r="50" spans="1:28" ht="15.75" customHeight="1" thickBot="1" x14ac:dyDescent="0.3">
      <c r="A50" s="152"/>
      <c r="B50" s="155"/>
      <c r="C50" s="95"/>
      <c r="D50" s="125"/>
      <c r="E50" s="125"/>
      <c r="F50" s="125"/>
      <c r="G50" s="166"/>
      <c r="H50" s="95"/>
      <c r="I50" s="125"/>
      <c r="J50" s="125"/>
      <c r="K50" s="125"/>
      <c r="L50" s="166"/>
      <c r="M50" s="95"/>
      <c r="N50" s="125"/>
      <c r="O50" s="125"/>
      <c r="P50" s="125"/>
      <c r="Q50" s="166"/>
      <c r="R50" s="131"/>
      <c r="S50" s="116"/>
      <c r="T50" s="116"/>
      <c r="U50" s="116"/>
      <c r="V50" s="158"/>
      <c r="W50" s="95"/>
      <c r="X50" s="125"/>
      <c r="Y50" s="125"/>
      <c r="Z50" s="125"/>
      <c r="AA50" s="166"/>
      <c r="AB50" s="161"/>
    </row>
    <row r="51" spans="1:28" ht="15.75" customHeight="1" thickTop="1" x14ac:dyDescent="0.25">
      <c r="A51" s="162">
        <f>ESCUADRAS!B16</f>
        <v>10</v>
      </c>
      <c r="B51" s="136">
        <f>ESCUADRAS!C14</f>
        <v>0</v>
      </c>
      <c r="C51" s="93"/>
      <c r="D51" s="123"/>
      <c r="E51" s="123"/>
      <c r="F51" s="123"/>
      <c r="G51" s="164"/>
      <c r="H51" s="93"/>
      <c r="I51" s="123"/>
      <c r="J51" s="123"/>
      <c r="K51" s="123"/>
      <c r="L51" s="164"/>
      <c r="M51" s="129"/>
      <c r="N51" s="114"/>
      <c r="O51" s="114"/>
      <c r="P51" s="114"/>
      <c r="Q51" s="156"/>
      <c r="R51" s="93"/>
      <c r="S51" s="123"/>
      <c r="T51" s="123"/>
      <c r="U51" s="123"/>
      <c r="V51" s="164"/>
      <c r="W51" s="93"/>
      <c r="X51" s="123"/>
      <c r="Y51" s="123"/>
      <c r="Z51" s="123"/>
      <c r="AA51" s="164"/>
      <c r="AB51" s="159"/>
    </row>
    <row r="52" spans="1:28" ht="15.75" customHeight="1" x14ac:dyDescent="0.25">
      <c r="A52" s="141"/>
      <c r="B52" s="137"/>
      <c r="C52" s="94"/>
      <c r="D52" s="124"/>
      <c r="E52" s="124"/>
      <c r="F52" s="124"/>
      <c r="G52" s="165"/>
      <c r="H52" s="94"/>
      <c r="I52" s="124"/>
      <c r="J52" s="124"/>
      <c r="K52" s="124"/>
      <c r="L52" s="165"/>
      <c r="M52" s="130"/>
      <c r="N52" s="115"/>
      <c r="O52" s="115"/>
      <c r="P52" s="115"/>
      <c r="Q52" s="157"/>
      <c r="R52" s="94"/>
      <c r="S52" s="124"/>
      <c r="T52" s="124"/>
      <c r="U52" s="124"/>
      <c r="V52" s="165"/>
      <c r="W52" s="94"/>
      <c r="X52" s="124"/>
      <c r="Y52" s="124"/>
      <c r="Z52" s="124"/>
      <c r="AA52" s="165"/>
      <c r="AB52" s="160"/>
    </row>
    <row r="53" spans="1:28" ht="15.75" customHeight="1" thickBot="1" x14ac:dyDescent="0.3">
      <c r="A53" s="163"/>
      <c r="B53" s="138"/>
      <c r="C53" s="95"/>
      <c r="D53" s="125"/>
      <c r="E53" s="125"/>
      <c r="F53" s="125"/>
      <c r="G53" s="166"/>
      <c r="H53" s="95"/>
      <c r="I53" s="125"/>
      <c r="J53" s="125"/>
      <c r="K53" s="125"/>
      <c r="L53" s="166"/>
      <c r="M53" s="131"/>
      <c r="N53" s="116"/>
      <c r="O53" s="116"/>
      <c r="P53" s="116"/>
      <c r="Q53" s="158"/>
      <c r="R53" s="95"/>
      <c r="S53" s="125"/>
      <c r="T53" s="125"/>
      <c r="U53" s="125"/>
      <c r="V53" s="166"/>
      <c r="W53" s="95"/>
      <c r="X53" s="125"/>
      <c r="Y53" s="125"/>
      <c r="Z53" s="125"/>
      <c r="AA53" s="166"/>
      <c r="AB53" s="161"/>
    </row>
    <row r="54" spans="1:28" ht="15.75" customHeight="1" thickTop="1" x14ac:dyDescent="0.25">
      <c r="A54" s="150">
        <f>ESCUADRAS!B17</f>
        <v>11</v>
      </c>
      <c r="B54" s="153">
        <f>ESCUADRAS!C15</f>
        <v>0</v>
      </c>
      <c r="C54" s="93"/>
      <c r="D54" s="123"/>
      <c r="E54" s="123"/>
      <c r="F54" s="123"/>
      <c r="G54" s="164"/>
      <c r="H54" s="129"/>
      <c r="I54" s="114"/>
      <c r="J54" s="114"/>
      <c r="K54" s="114"/>
      <c r="L54" s="156"/>
      <c r="M54" s="93"/>
      <c r="N54" s="123"/>
      <c r="O54" s="123"/>
      <c r="P54" s="123"/>
      <c r="Q54" s="164"/>
      <c r="R54" s="93"/>
      <c r="S54" s="123"/>
      <c r="T54" s="123"/>
      <c r="U54" s="123"/>
      <c r="V54" s="164"/>
      <c r="W54" s="93"/>
      <c r="X54" s="123"/>
      <c r="Y54" s="123"/>
      <c r="Z54" s="123"/>
      <c r="AA54" s="164"/>
      <c r="AB54" s="159"/>
    </row>
    <row r="55" spans="1:28" ht="15.75" customHeight="1" x14ac:dyDescent="0.25">
      <c r="A55" s="151"/>
      <c r="B55" s="154"/>
      <c r="C55" s="94"/>
      <c r="D55" s="124"/>
      <c r="E55" s="124"/>
      <c r="F55" s="124"/>
      <c r="G55" s="165"/>
      <c r="H55" s="130"/>
      <c r="I55" s="115"/>
      <c r="J55" s="115"/>
      <c r="K55" s="115"/>
      <c r="L55" s="157"/>
      <c r="M55" s="94"/>
      <c r="N55" s="124"/>
      <c r="O55" s="124"/>
      <c r="P55" s="124"/>
      <c r="Q55" s="165"/>
      <c r="R55" s="94"/>
      <c r="S55" s="124"/>
      <c r="T55" s="124"/>
      <c r="U55" s="124"/>
      <c r="V55" s="165"/>
      <c r="W55" s="94"/>
      <c r="X55" s="124"/>
      <c r="Y55" s="124"/>
      <c r="Z55" s="124"/>
      <c r="AA55" s="165"/>
      <c r="AB55" s="160"/>
    </row>
    <row r="56" spans="1:28" ht="15.75" customHeight="1" thickBot="1" x14ac:dyDescent="0.3">
      <c r="A56" s="152"/>
      <c r="B56" s="155"/>
      <c r="C56" s="95"/>
      <c r="D56" s="125"/>
      <c r="E56" s="125"/>
      <c r="F56" s="125"/>
      <c r="G56" s="166"/>
      <c r="H56" s="131"/>
      <c r="I56" s="116"/>
      <c r="J56" s="116"/>
      <c r="K56" s="116"/>
      <c r="L56" s="158"/>
      <c r="M56" s="95"/>
      <c r="N56" s="125"/>
      <c r="O56" s="125"/>
      <c r="P56" s="125"/>
      <c r="Q56" s="166"/>
      <c r="R56" s="95"/>
      <c r="S56" s="125"/>
      <c r="T56" s="125"/>
      <c r="U56" s="125"/>
      <c r="V56" s="166"/>
      <c r="W56" s="95"/>
      <c r="X56" s="125"/>
      <c r="Y56" s="125"/>
      <c r="Z56" s="125"/>
      <c r="AA56" s="166"/>
      <c r="AB56" s="161"/>
    </row>
    <row r="57" spans="1:28" ht="15.75" customHeight="1" thickTop="1" x14ac:dyDescent="0.25">
      <c r="A57" s="162">
        <f>ESCUADRAS!B18</f>
        <v>12</v>
      </c>
      <c r="B57" s="136">
        <f>ESCUADRAS!C16</f>
        <v>0</v>
      </c>
      <c r="C57" s="129"/>
      <c r="D57" s="114"/>
      <c r="E57" s="114"/>
      <c r="F57" s="114"/>
      <c r="G57" s="156"/>
      <c r="H57" s="93"/>
      <c r="I57" s="123"/>
      <c r="J57" s="123"/>
      <c r="K57" s="123"/>
      <c r="L57" s="164"/>
      <c r="M57" s="93"/>
      <c r="N57" s="123"/>
      <c r="O57" s="123"/>
      <c r="P57" s="123"/>
      <c r="Q57" s="164"/>
      <c r="R57" s="93"/>
      <c r="S57" s="123"/>
      <c r="T57" s="123"/>
      <c r="U57" s="123"/>
      <c r="V57" s="164"/>
      <c r="W57" s="93"/>
      <c r="X57" s="123"/>
      <c r="Y57" s="123"/>
      <c r="Z57" s="123"/>
      <c r="AA57" s="164"/>
      <c r="AB57" s="159"/>
    </row>
    <row r="58" spans="1:28" ht="15.75" customHeight="1" x14ac:dyDescent="0.25">
      <c r="A58" s="141"/>
      <c r="B58" s="137"/>
      <c r="C58" s="130"/>
      <c r="D58" s="115"/>
      <c r="E58" s="115"/>
      <c r="F58" s="115"/>
      <c r="G58" s="157"/>
      <c r="H58" s="94"/>
      <c r="I58" s="124"/>
      <c r="J58" s="124"/>
      <c r="K58" s="124"/>
      <c r="L58" s="165"/>
      <c r="M58" s="94"/>
      <c r="N58" s="124"/>
      <c r="O58" s="124"/>
      <c r="P58" s="124"/>
      <c r="Q58" s="165"/>
      <c r="R58" s="94"/>
      <c r="S58" s="124"/>
      <c r="T58" s="124"/>
      <c r="U58" s="124"/>
      <c r="V58" s="165"/>
      <c r="W58" s="94"/>
      <c r="X58" s="124"/>
      <c r="Y58" s="124"/>
      <c r="Z58" s="124"/>
      <c r="AA58" s="165"/>
      <c r="AB58" s="160"/>
    </row>
    <row r="59" spans="1:28" ht="15.75" customHeight="1" thickBot="1" x14ac:dyDescent="0.3">
      <c r="A59" s="142"/>
      <c r="B59" s="138"/>
      <c r="C59" s="131"/>
      <c r="D59" s="116"/>
      <c r="E59" s="116"/>
      <c r="F59" s="116"/>
      <c r="G59" s="158"/>
      <c r="H59" s="95"/>
      <c r="I59" s="125"/>
      <c r="J59" s="125"/>
      <c r="K59" s="125"/>
      <c r="L59" s="166"/>
      <c r="M59" s="95"/>
      <c r="N59" s="125"/>
      <c r="O59" s="125"/>
      <c r="P59" s="125"/>
      <c r="Q59" s="166"/>
      <c r="R59" s="95"/>
      <c r="S59" s="125"/>
      <c r="T59" s="125"/>
      <c r="U59" s="125"/>
      <c r="V59" s="166"/>
      <c r="W59" s="95"/>
      <c r="X59" s="125"/>
      <c r="Y59" s="125"/>
      <c r="Z59" s="125"/>
      <c r="AA59" s="166"/>
      <c r="AB59" s="161"/>
    </row>
    <row r="60" spans="1:28" ht="15" x14ac:dyDescent="0.25">
      <c r="A60" s="28"/>
    </row>
    <row r="61" spans="1:28" ht="15" x14ac:dyDescent="0.25">
      <c r="A61" s="28"/>
      <c r="B61" s="26" t="s">
        <v>35</v>
      </c>
      <c r="E61" s="21" t="s">
        <v>41</v>
      </c>
      <c r="I61" s="21" t="s">
        <v>42</v>
      </c>
      <c r="M61" s="21" t="s">
        <v>43</v>
      </c>
      <c r="Q61" s="21" t="s">
        <v>44</v>
      </c>
      <c r="U61" s="21" t="s">
        <v>45</v>
      </c>
      <c r="Y61" s="21" t="s">
        <v>46</v>
      </c>
    </row>
    <row r="62" spans="1:28" ht="15" x14ac:dyDescent="0.25">
      <c r="A62" s="28"/>
    </row>
    <row r="63" spans="1:28" ht="9.75" customHeight="1" x14ac:dyDescent="0.25"/>
    <row r="66" spans="1:32" ht="24.6" x14ac:dyDescent="0.25">
      <c r="A66" s="144" t="str">
        <f>'INSCRIPCION '!A$1</f>
        <v>TIRADA</v>
      </c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</row>
    <row r="67" spans="1:32" ht="19.5" customHeight="1" x14ac:dyDescent="0.4">
      <c r="A67" s="23"/>
      <c r="B67" s="23"/>
    </row>
    <row r="68" spans="1:32" ht="22.5" customHeight="1" x14ac:dyDescent="0.25">
      <c r="A68" s="132" t="str">
        <f>'INSCRIPCION '!A$2</f>
        <v>CAMPO DE TIRO LA ISLA</v>
      </c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</row>
    <row r="69" spans="1:32" ht="19.5" customHeight="1" x14ac:dyDescent="0.25">
      <c r="A69" s="143" t="str">
        <f>'INSCRIPCION '!A$3</f>
        <v>XXX PLATOS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</row>
    <row r="70" spans="1:32" ht="22.8" x14ac:dyDescent="0.4">
      <c r="A70" s="24"/>
      <c r="B70" s="24"/>
    </row>
    <row r="71" spans="1:32" ht="17.399999999999999" x14ac:dyDescent="0.3">
      <c r="A71" s="25" t="s">
        <v>11</v>
      </c>
      <c r="B71" s="25"/>
      <c r="J71" s="9" t="s">
        <v>6</v>
      </c>
      <c r="K71" s="9"/>
      <c r="L71" s="9"/>
      <c r="M71" s="9"/>
      <c r="N71" s="9"/>
      <c r="O71" s="22">
        <v>1</v>
      </c>
      <c r="P71" s="22"/>
      <c r="Q71" s="8"/>
      <c r="R71" s="8"/>
      <c r="S71" s="7"/>
      <c r="T71" s="8"/>
      <c r="U71" s="8"/>
      <c r="V71" s="9" t="s">
        <v>7</v>
      </c>
      <c r="W71" s="9"/>
      <c r="X71" s="9"/>
      <c r="Y71" s="9"/>
      <c r="Z71" s="22">
        <v>3</v>
      </c>
      <c r="AA71" s="22"/>
    </row>
    <row r="72" spans="1:32" ht="13.8" thickBot="1" x14ac:dyDescent="0.3"/>
    <row r="73" spans="1:32" ht="15.6" thickBot="1" x14ac:dyDescent="0.3">
      <c r="A73" s="27" t="s">
        <v>0</v>
      </c>
      <c r="B73" s="27" t="s">
        <v>8</v>
      </c>
      <c r="C73" s="47">
        <v>1</v>
      </c>
      <c r="D73" s="48">
        <v>2</v>
      </c>
      <c r="E73" s="48">
        <v>3</v>
      </c>
      <c r="F73" s="48">
        <v>4</v>
      </c>
      <c r="G73" s="49">
        <v>5</v>
      </c>
      <c r="H73" s="47">
        <v>6</v>
      </c>
      <c r="I73" s="48">
        <v>7</v>
      </c>
      <c r="J73" s="48">
        <v>8</v>
      </c>
      <c r="K73" s="48">
        <v>9</v>
      </c>
      <c r="L73" s="49">
        <v>10</v>
      </c>
      <c r="M73" s="47">
        <v>11</v>
      </c>
      <c r="N73" s="48">
        <v>12</v>
      </c>
      <c r="O73" s="48">
        <v>13</v>
      </c>
      <c r="P73" s="48">
        <v>14</v>
      </c>
      <c r="Q73" s="49">
        <v>15</v>
      </c>
      <c r="R73" s="47">
        <v>16</v>
      </c>
      <c r="S73" s="48">
        <v>17</v>
      </c>
      <c r="T73" s="48">
        <v>18</v>
      </c>
      <c r="U73" s="48">
        <v>19</v>
      </c>
      <c r="V73" s="49">
        <v>20</v>
      </c>
      <c r="W73" s="47">
        <v>21</v>
      </c>
      <c r="X73" s="48">
        <v>22</v>
      </c>
      <c r="Y73" s="48">
        <v>23</v>
      </c>
      <c r="Z73" s="48">
        <v>24</v>
      </c>
      <c r="AA73" s="49">
        <v>25</v>
      </c>
      <c r="AB73" s="30" t="s">
        <v>1</v>
      </c>
    </row>
    <row r="74" spans="1:32" ht="15.75" customHeight="1" thickTop="1" x14ac:dyDescent="0.25">
      <c r="A74" s="150">
        <f>ESCUADRAS!B19</f>
        <v>13</v>
      </c>
      <c r="B74" s="153">
        <f>ESCUADRAS!C23</f>
        <v>0</v>
      </c>
      <c r="C74" s="129"/>
      <c r="D74" s="114"/>
      <c r="E74" s="114"/>
      <c r="F74" s="114"/>
      <c r="G74" s="156"/>
      <c r="H74" s="129"/>
      <c r="I74" s="114"/>
      <c r="J74" s="114"/>
      <c r="K74" s="114"/>
      <c r="L74" s="156"/>
      <c r="M74" s="129"/>
      <c r="N74" s="114"/>
      <c r="O74" s="114"/>
      <c r="P74" s="114"/>
      <c r="Q74" s="156"/>
      <c r="R74" s="129"/>
      <c r="S74" s="114"/>
      <c r="T74" s="114"/>
      <c r="U74" s="114"/>
      <c r="V74" s="156"/>
      <c r="W74" s="129"/>
      <c r="X74" s="114"/>
      <c r="Y74" s="114"/>
      <c r="Z74" s="114"/>
      <c r="AA74" s="156"/>
      <c r="AB74" s="159"/>
    </row>
    <row r="75" spans="1:32" ht="15.75" customHeight="1" x14ac:dyDescent="0.25">
      <c r="A75" s="151"/>
      <c r="B75" s="154"/>
      <c r="C75" s="130"/>
      <c r="D75" s="115"/>
      <c r="E75" s="115"/>
      <c r="F75" s="115"/>
      <c r="G75" s="157"/>
      <c r="H75" s="130"/>
      <c r="I75" s="115"/>
      <c r="J75" s="115"/>
      <c r="K75" s="115"/>
      <c r="L75" s="157"/>
      <c r="M75" s="130"/>
      <c r="N75" s="115"/>
      <c r="O75" s="115"/>
      <c r="P75" s="115"/>
      <c r="Q75" s="157"/>
      <c r="R75" s="130"/>
      <c r="S75" s="115"/>
      <c r="T75" s="115"/>
      <c r="U75" s="115"/>
      <c r="V75" s="157"/>
      <c r="W75" s="130"/>
      <c r="X75" s="115"/>
      <c r="Y75" s="115"/>
      <c r="Z75" s="115"/>
      <c r="AA75" s="157"/>
      <c r="AB75" s="160"/>
    </row>
    <row r="76" spans="1:32" ht="15.75" customHeight="1" thickBot="1" x14ac:dyDescent="0.3">
      <c r="A76" s="152"/>
      <c r="B76" s="155"/>
      <c r="C76" s="131"/>
      <c r="D76" s="116"/>
      <c r="E76" s="116"/>
      <c r="F76" s="116"/>
      <c r="G76" s="158"/>
      <c r="H76" s="131"/>
      <c r="I76" s="116"/>
      <c r="J76" s="116"/>
      <c r="K76" s="116"/>
      <c r="L76" s="158"/>
      <c r="M76" s="131"/>
      <c r="N76" s="116"/>
      <c r="O76" s="116"/>
      <c r="P76" s="116"/>
      <c r="Q76" s="158"/>
      <c r="R76" s="131"/>
      <c r="S76" s="116"/>
      <c r="T76" s="116"/>
      <c r="U76" s="116"/>
      <c r="V76" s="158"/>
      <c r="W76" s="131"/>
      <c r="X76" s="116"/>
      <c r="Y76" s="116"/>
      <c r="Z76" s="116"/>
      <c r="AA76" s="158"/>
      <c r="AB76" s="161"/>
    </row>
    <row r="77" spans="1:32" ht="15.75" customHeight="1" thickTop="1" x14ac:dyDescent="0.25">
      <c r="A77" s="162">
        <f>ESCUADRAS!B20</f>
        <v>14</v>
      </c>
      <c r="B77" s="136">
        <f>ESCUADRAS!C24</f>
        <v>0</v>
      </c>
      <c r="C77" s="93"/>
      <c r="D77" s="123"/>
      <c r="E77" s="123"/>
      <c r="F77" s="123"/>
      <c r="G77" s="164"/>
      <c r="H77" s="93"/>
      <c r="I77" s="123"/>
      <c r="J77" s="123"/>
      <c r="K77" s="123"/>
      <c r="L77" s="164"/>
      <c r="M77" s="93"/>
      <c r="N77" s="123"/>
      <c r="O77" s="123"/>
      <c r="P77" s="123"/>
      <c r="Q77" s="164"/>
      <c r="R77" s="93"/>
      <c r="S77" s="123"/>
      <c r="T77" s="123"/>
      <c r="U77" s="123"/>
      <c r="V77" s="164"/>
      <c r="W77" s="129"/>
      <c r="X77" s="114"/>
      <c r="Y77" s="114"/>
      <c r="Z77" s="114"/>
      <c r="AA77" s="156"/>
      <c r="AB77" s="159"/>
    </row>
    <row r="78" spans="1:32" ht="15.75" customHeight="1" x14ac:dyDescent="0.25">
      <c r="A78" s="141"/>
      <c r="B78" s="137"/>
      <c r="C78" s="94"/>
      <c r="D78" s="124"/>
      <c r="E78" s="124"/>
      <c r="F78" s="124"/>
      <c r="G78" s="165"/>
      <c r="H78" s="94"/>
      <c r="I78" s="124"/>
      <c r="J78" s="124"/>
      <c r="K78" s="124"/>
      <c r="L78" s="165"/>
      <c r="M78" s="94"/>
      <c r="N78" s="124"/>
      <c r="O78" s="124"/>
      <c r="P78" s="124"/>
      <c r="Q78" s="165"/>
      <c r="R78" s="94"/>
      <c r="S78" s="124"/>
      <c r="T78" s="124"/>
      <c r="U78" s="124"/>
      <c r="V78" s="165"/>
      <c r="W78" s="130"/>
      <c r="X78" s="115"/>
      <c r="Y78" s="115"/>
      <c r="Z78" s="115"/>
      <c r="AA78" s="157"/>
      <c r="AB78" s="160"/>
    </row>
    <row r="79" spans="1:32" ht="15.75" customHeight="1" thickBot="1" x14ac:dyDescent="0.3">
      <c r="A79" s="163"/>
      <c r="B79" s="138"/>
      <c r="C79" s="95"/>
      <c r="D79" s="125"/>
      <c r="E79" s="125"/>
      <c r="F79" s="125"/>
      <c r="G79" s="166"/>
      <c r="H79" s="95"/>
      <c r="I79" s="125"/>
      <c r="J79" s="125"/>
      <c r="K79" s="125"/>
      <c r="L79" s="166"/>
      <c r="M79" s="95"/>
      <c r="N79" s="125"/>
      <c r="O79" s="125"/>
      <c r="P79" s="125"/>
      <c r="Q79" s="166"/>
      <c r="R79" s="95"/>
      <c r="S79" s="125"/>
      <c r="T79" s="125"/>
      <c r="U79" s="125"/>
      <c r="V79" s="166"/>
      <c r="W79" s="131"/>
      <c r="X79" s="116"/>
      <c r="Y79" s="116"/>
      <c r="Z79" s="116"/>
      <c r="AA79" s="158"/>
      <c r="AB79" s="161"/>
    </row>
    <row r="80" spans="1:32" ht="15.75" customHeight="1" thickTop="1" x14ac:dyDescent="0.25">
      <c r="A80" s="150">
        <f>ESCUADRAS!B21</f>
        <v>15</v>
      </c>
      <c r="B80" s="153">
        <f>ESCUADRAS!C19</f>
        <v>0</v>
      </c>
      <c r="C80" s="93"/>
      <c r="D80" s="123"/>
      <c r="E80" s="123"/>
      <c r="F80" s="123"/>
      <c r="G80" s="164"/>
      <c r="H80" s="93"/>
      <c r="I80" s="123"/>
      <c r="J80" s="123"/>
      <c r="K80" s="123"/>
      <c r="L80" s="164"/>
      <c r="M80" s="93"/>
      <c r="N80" s="123"/>
      <c r="O80" s="123"/>
      <c r="P80" s="123"/>
      <c r="Q80" s="164"/>
      <c r="R80" s="129"/>
      <c r="S80" s="114"/>
      <c r="T80" s="114"/>
      <c r="U80" s="114"/>
      <c r="V80" s="156"/>
      <c r="W80" s="93"/>
      <c r="X80" s="123"/>
      <c r="Y80" s="123"/>
      <c r="Z80" s="123"/>
      <c r="AA80" s="164"/>
      <c r="AB80" s="159"/>
    </row>
    <row r="81" spans="1:28" ht="15.75" customHeight="1" x14ac:dyDescent="0.25">
      <c r="A81" s="151"/>
      <c r="B81" s="154"/>
      <c r="C81" s="94"/>
      <c r="D81" s="124"/>
      <c r="E81" s="124"/>
      <c r="F81" s="124"/>
      <c r="G81" s="165"/>
      <c r="H81" s="94"/>
      <c r="I81" s="124"/>
      <c r="J81" s="124"/>
      <c r="K81" s="124"/>
      <c r="L81" s="165"/>
      <c r="M81" s="94"/>
      <c r="N81" s="124"/>
      <c r="O81" s="124"/>
      <c r="P81" s="124"/>
      <c r="Q81" s="165"/>
      <c r="R81" s="130"/>
      <c r="S81" s="115"/>
      <c r="T81" s="115"/>
      <c r="U81" s="115"/>
      <c r="V81" s="157"/>
      <c r="W81" s="94"/>
      <c r="X81" s="124"/>
      <c r="Y81" s="124"/>
      <c r="Z81" s="124"/>
      <c r="AA81" s="165"/>
      <c r="AB81" s="160"/>
    </row>
    <row r="82" spans="1:28" ht="15.75" customHeight="1" thickBot="1" x14ac:dyDescent="0.3">
      <c r="A82" s="152"/>
      <c r="B82" s="155"/>
      <c r="C82" s="95"/>
      <c r="D82" s="125"/>
      <c r="E82" s="125"/>
      <c r="F82" s="125"/>
      <c r="G82" s="166"/>
      <c r="H82" s="95"/>
      <c r="I82" s="125"/>
      <c r="J82" s="125"/>
      <c r="K82" s="125"/>
      <c r="L82" s="166"/>
      <c r="M82" s="95"/>
      <c r="N82" s="125"/>
      <c r="O82" s="125"/>
      <c r="P82" s="125"/>
      <c r="Q82" s="166"/>
      <c r="R82" s="131"/>
      <c r="S82" s="116"/>
      <c r="T82" s="116"/>
      <c r="U82" s="116"/>
      <c r="V82" s="158"/>
      <c r="W82" s="95"/>
      <c r="X82" s="125"/>
      <c r="Y82" s="125"/>
      <c r="Z82" s="125"/>
      <c r="AA82" s="166"/>
      <c r="AB82" s="161"/>
    </row>
    <row r="83" spans="1:28" ht="15.75" customHeight="1" thickTop="1" x14ac:dyDescent="0.25">
      <c r="A83" s="162">
        <f>ESCUADRAS!B22</f>
        <v>16</v>
      </c>
      <c r="B83" s="136">
        <f>ESCUADRAS!C20</f>
        <v>0</v>
      </c>
      <c r="C83" s="93"/>
      <c r="D83" s="123"/>
      <c r="E83" s="123"/>
      <c r="F83" s="123"/>
      <c r="G83" s="164"/>
      <c r="H83" s="93"/>
      <c r="I83" s="123"/>
      <c r="J83" s="123"/>
      <c r="K83" s="123"/>
      <c r="L83" s="164"/>
      <c r="M83" s="129"/>
      <c r="N83" s="114"/>
      <c r="O83" s="114"/>
      <c r="P83" s="114"/>
      <c r="Q83" s="156"/>
      <c r="R83" s="93"/>
      <c r="S83" s="123"/>
      <c r="T83" s="123"/>
      <c r="U83" s="123"/>
      <c r="V83" s="164"/>
      <c r="W83" s="93"/>
      <c r="X83" s="123"/>
      <c r="Y83" s="123"/>
      <c r="Z83" s="123"/>
      <c r="AA83" s="164"/>
      <c r="AB83" s="159"/>
    </row>
    <row r="84" spans="1:28" ht="15.75" customHeight="1" x14ac:dyDescent="0.25">
      <c r="A84" s="141"/>
      <c r="B84" s="137"/>
      <c r="C84" s="94"/>
      <c r="D84" s="124"/>
      <c r="E84" s="124"/>
      <c r="F84" s="124"/>
      <c r="G84" s="165"/>
      <c r="H84" s="94"/>
      <c r="I84" s="124"/>
      <c r="J84" s="124"/>
      <c r="K84" s="124"/>
      <c r="L84" s="165"/>
      <c r="M84" s="130"/>
      <c r="N84" s="115"/>
      <c r="O84" s="115"/>
      <c r="P84" s="115"/>
      <c r="Q84" s="157"/>
      <c r="R84" s="94"/>
      <c r="S84" s="124"/>
      <c r="T84" s="124"/>
      <c r="U84" s="124"/>
      <c r="V84" s="165"/>
      <c r="W84" s="94"/>
      <c r="X84" s="124"/>
      <c r="Y84" s="124"/>
      <c r="Z84" s="124"/>
      <c r="AA84" s="165"/>
      <c r="AB84" s="160"/>
    </row>
    <row r="85" spans="1:28" ht="15.75" customHeight="1" thickBot="1" x14ac:dyDescent="0.3">
      <c r="A85" s="163"/>
      <c r="B85" s="138"/>
      <c r="C85" s="95"/>
      <c r="D85" s="125"/>
      <c r="E85" s="125"/>
      <c r="F85" s="125"/>
      <c r="G85" s="166"/>
      <c r="H85" s="95"/>
      <c r="I85" s="125"/>
      <c r="J85" s="125"/>
      <c r="K85" s="125"/>
      <c r="L85" s="166"/>
      <c r="M85" s="131"/>
      <c r="N85" s="116"/>
      <c r="O85" s="116"/>
      <c r="P85" s="116"/>
      <c r="Q85" s="158"/>
      <c r="R85" s="95"/>
      <c r="S85" s="125"/>
      <c r="T85" s="125"/>
      <c r="U85" s="125"/>
      <c r="V85" s="166"/>
      <c r="W85" s="95"/>
      <c r="X85" s="125"/>
      <c r="Y85" s="125"/>
      <c r="Z85" s="125"/>
      <c r="AA85" s="166"/>
      <c r="AB85" s="161"/>
    </row>
    <row r="86" spans="1:28" ht="15.75" customHeight="1" thickTop="1" x14ac:dyDescent="0.25">
      <c r="A86" s="150">
        <f>ESCUADRAS!B23</f>
        <v>17</v>
      </c>
      <c r="B86" s="153">
        <f>ESCUADRAS!C21</f>
        <v>0</v>
      </c>
      <c r="C86" s="93"/>
      <c r="D86" s="123"/>
      <c r="E86" s="123"/>
      <c r="F86" s="123"/>
      <c r="G86" s="164"/>
      <c r="H86" s="129"/>
      <c r="I86" s="114"/>
      <c r="J86" s="114"/>
      <c r="K86" s="114"/>
      <c r="L86" s="156"/>
      <c r="M86" s="93"/>
      <c r="N86" s="123"/>
      <c r="O86" s="123"/>
      <c r="P86" s="123"/>
      <c r="Q86" s="164"/>
      <c r="R86" s="93"/>
      <c r="S86" s="123"/>
      <c r="T86" s="123"/>
      <c r="U86" s="123"/>
      <c r="V86" s="164"/>
      <c r="W86" s="93"/>
      <c r="X86" s="123"/>
      <c r="Y86" s="123"/>
      <c r="Z86" s="123"/>
      <c r="AA86" s="164"/>
      <c r="AB86" s="159"/>
    </row>
    <row r="87" spans="1:28" ht="15.75" customHeight="1" x14ac:dyDescent="0.25">
      <c r="A87" s="151"/>
      <c r="B87" s="154"/>
      <c r="C87" s="94"/>
      <c r="D87" s="124"/>
      <c r="E87" s="124"/>
      <c r="F87" s="124"/>
      <c r="G87" s="165"/>
      <c r="H87" s="130"/>
      <c r="I87" s="115"/>
      <c r="J87" s="115"/>
      <c r="K87" s="115"/>
      <c r="L87" s="157"/>
      <c r="M87" s="94"/>
      <c r="N87" s="124"/>
      <c r="O87" s="124"/>
      <c r="P87" s="124"/>
      <c r="Q87" s="165"/>
      <c r="R87" s="94"/>
      <c r="S87" s="124"/>
      <c r="T87" s="124"/>
      <c r="U87" s="124"/>
      <c r="V87" s="165"/>
      <c r="W87" s="94"/>
      <c r="X87" s="124"/>
      <c r="Y87" s="124"/>
      <c r="Z87" s="124"/>
      <c r="AA87" s="165"/>
      <c r="AB87" s="160"/>
    </row>
    <row r="88" spans="1:28" ht="15.75" customHeight="1" thickBot="1" x14ac:dyDescent="0.3">
      <c r="A88" s="152"/>
      <c r="B88" s="155"/>
      <c r="C88" s="95"/>
      <c r="D88" s="125"/>
      <c r="E88" s="125"/>
      <c r="F88" s="125"/>
      <c r="G88" s="166"/>
      <c r="H88" s="131"/>
      <c r="I88" s="116"/>
      <c r="J88" s="116"/>
      <c r="K88" s="116"/>
      <c r="L88" s="158"/>
      <c r="M88" s="95"/>
      <c r="N88" s="125"/>
      <c r="O88" s="125"/>
      <c r="P88" s="125"/>
      <c r="Q88" s="166"/>
      <c r="R88" s="95"/>
      <c r="S88" s="125"/>
      <c r="T88" s="125"/>
      <c r="U88" s="125"/>
      <c r="V88" s="166"/>
      <c r="W88" s="95"/>
      <c r="X88" s="125"/>
      <c r="Y88" s="125"/>
      <c r="Z88" s="125"/>
      <c r="AA88" s="166"/>
      <c r="AB88" s="161"/>
    </row>
    <row r="89" spans="1:28" ht="15.75" customHeight="1" thickTop="1" x14ac:dyDescent="0.25">
      <c r="A89" s="162">
        <f>ESCUADRAS!B24</f>
        <v>18</v>
      </c>
      <c r="B89" s="136">
        <f>ESCUADRAS!C22</f>
        <v>0</v>
      </c>
      <c r="C89" s="129"/>
      <c r="D89" s="114"/>
      <c r="E89" s="114"/>
      <c r="F89" s="114"/>
      <c r="G89" s="156"/>
      <c r="H89" s="93"/>
      <c r="I89" s="123"/>
      <c r="J89" s="123"/>
      <c r="K89" s="123"/>
      <c r="L89" s="164"/>
      <c r="M89" s="93"/>
      <c r="N89" s="123"/>
      <c r="O89" s="123"/>
      <c r="P89" s="123"/>
      <c r="Q89" s="164"/>
      <c r="R89" s="93"/>
      <c r="S89" s="123"/>
      <c r="T89" s="123"/>
      <c r="U89" s="123"/>
      <c r="V89" s="164"/>
      <c r="W89" s="93"/>
      <c r="X89" s="123"/>
      <c r="Y89" s="123"/>
      <c r="Z89" s="123"/>
      <c r="AA89" s="164"/>
      <c r="AB89" s="159"/>
    </row>
    <row r="90" spans="1:28" ht="15.75" customHeight="1" x14ac:dyDescent="0.25">
      <c r="A90" s="141"/>
      <c r="B90" s="137"/>
      <c r="C90" s="130"/>
      <c r="D90" s="115"/>
      <c r="E90" s="115"/>
      <c r="F90" s="115"/>
      <c r="G90" s="157"/>
      <c r="H90" s="94"/>
      <c r="I90" s="124"/>
      <c r="J90" s="124"/>
      <c r="K90" s="124"/>
      <c r="L90" s="165"/>
      <c r="M90" s="94"/>
      <c r="N90" s="124"/>
      <c r="O90" s="124"/>
      <c r="P90" s="124"/>
      <c r="Q90" s="165"/>
      <c r="R90" s="94"/>
      <c r="S90" s="124"/>
      <c r="T90" s="124"/>
      <c r="U90" s="124"/>
      <c r="V90" s="165"/>
      <c r="W90" s="94"/>
      <c r="X90" s="124"/>
      <c r="Y90" s="124"/>
      <c r="Z90" s="124"/>
      <c r="AA90" s="165"/>
      <c r="AB90" s="160"/>
    </row>
    <row r="91" spans="1:28" ht="15.75" customHeight="1" thickBot="1" x14ac:dyDescent="0.3">
      <c r="A91" s="142"/>
      <c r="B91" s="138"/>
      <c r="C91" s="131"/>
      <c r="D91" s="116"/>
      <c r="E91" s="116"/>
      <c r="F91" s="116"/>
      <c r="G91" s="158"/>
      <c r="H91" s="95"/>
      <c r="I91" s="125"/>
      <c r="J91" s="125"/>
      <c r="K91" s="125"/>
      <c r="L91" s="166"/>
      <c r="M91" s="95"/>
      <c r="N91" s="125"/>
      <c r="O91" s="125"/>
      <c r="P91" s="125"/>
      <c r="Q91" s="166"/>
      <c r="R91" s="95"/>
      <c r="S91" s="125"/>
      <c r="T91" s="125"/>
      <c r="U91" s="125"/>
      <c r="V91" s="166"/>
      <c r="W91" s="95"/>
      <c r="X91" s="125"/>
      <c r="Y91" s="125"/>
      <c r="Z91" s="125"/>
      <c r="AA91" s="166"/>
      <c r="AB91" s="161"/>
    </row>
    <row r="92" spans="1:28" ht="15" x14ac:dyDescent="0.25">
      <c r="A92" s="28"/>
    </row>
    <row r="93" spans="1:28" ht="15" x14ac:dyDescent="0.25">
      <c r="A93" s="28"/>
      <c r="B93" s="26" t="s">
        <v>35</v>
      </c>
      <c r="E93" s="21" t="s">
        <v>41</v>
      </c>
      <c r="I93" s="21" t="s">
        <v>42</v>
      </c>
      <c r="M93" s="21" t="s">
        <v>43</v>
      </c>
      <c r="Q93" s="21" t="s">
        <v>44</v>
      </c>
      <c r="U93" s="21" t="s">
        <v>45</v>
      </c>
      <c r="Y93" s="21" t="s">
        <v>46</v>
      </c>
    </row>
    <row r="94" spans="1:28" ht="15" x14ac:dyDescent="0.25">
      <c r="A94" s="28"/>
    </row>
    <row r="95" spans="1:28" ht="10.5" customHeight="1" x14ac:dyDescent="0.25"/>
    <row r="98" spans="1:32" ht="24.6" x14ac:dyDescent="0.25">
      <c r="A98" s="144" t="str">
        <f>'INSCRIPCION '!A$1</f>
        <v>TIRADA</v>
      </c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</row>
    <row r="99" spans="1:32" ht="19.5" customHeight="1" x14ac:dyDescent="0.4">
      <c r="A99" s="23"/>
      <c r="B99" s="23"/>
    </row>
    <row r="100" spans="1:32" ht="22.5" customHeight="1" x14ac:dyDescent="0.25">
      <c r="A100" s="132" t="str">
        <f>'INSCRIPCION '!A$2</f>
        <v>CAMPO DE TIRO LA ISLA</v>
      </c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</row>
    <row r="101" spans="1:32" ht="19.5" customHeight="1" x14ac:dyDescent="0.25">
      <c r="A101" s="143" t="str">
        <f>'INSCRIPCION '!A$3</f>
        <v>XXX PLATOS</v>
      </c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</row>
    <row r="102" spans="1:32" ht="22.8" x14ac:dyDescent="0.4">
      <c r="A102" s="24"/>
      <c r="B102" s="24"/>
    </row>
    <row r="103" spans="1:32" ht="17.399999999999999" x14ac:dyDescent="0.3">
      <c r="A103" s="25" t="s">
        <v>12</v>
      </c>
      <c r="B103" s="25"/>
      <c r="J103" s="9" t="s">
        <v>6</v>
      </c>
      <c r="K103" s="9"/>
      <c r="L103" s="9"/>
      <c r="M103" s="9"/>
      <c r="N103" s="9"/>
      <c r="O103" s="22">
        <v>2</v>
      </c>
      <c r="P103" s="22"/>
      <c r="Q103" s="8"/>
      <c r="R103" s="8"/>
      <c r="S103" s="7"/>
      <c r="T103" s="8"/>
      <c r="U103" s="8"/>
      <c r="V103" s="9" t="s">
        <v>7</v>
      </c>
      <c r="W103" s="9"/>
      <c r="X103" s="9"/>
      <c r="Y103" s="9"/>
      <c r="Z103" s="22">
        <v>3</v>
      </c>
      <c r="AA103" s="22"/>
    </row>
    <row r="104" spans="1:32" ht="13.8" thickBot="1" x14ac:dyDescent="0.3"/>
    <row r="105" spans="1:32" ht="15.6" thickBot="1" x14ac:dyDescent="0.3">
      <c r="A105" s="27" t="s">
        <v>0</v>
      </c>
      <c r="B105" s="27" t="s">
        <v>8</v>
      </c>
      <c r="C105" s="47">
        <v>1</v>
      </c>
      <c r="D105" s="48">
        <v>2</v>
      </c>
      <c r="E105" s="48">
        <v>3</v>
      </c>
      <c r="F105" s="48">
        <v>4</v>
      </c>
      <c r="G105" s="49">
        <v>5</v>
      </c>
      <c r="H105" s="47">
        <v>6</v>
      </c>
      <c r="I105" s="48">
        <v>7</v>
      </c>
      <c r="J105" s="48">
        <v>8</v>
      </c>
      <c r="K105" s="48">
        <v>9</v>
      </c>
      <c r="L105" s="49">
        <v>10</v>
      </c>
      <c r="M105" s="47">
        <v>11</v>
      </c>
      <c r="N105" s="48">
        <v>12</v>
      </c>
      <c r="O105" s="48">
        <v>13</v>
      </c>
      <c r="P105" s="48">
        <v>14</v>
      </c>
      <c r="Q105" s="49">
        <v>15</v>
      </c>
      <c r="R105" s="47">
        <v>16</v>
      </c>
      <c r="S105" s="48">
        <v>17</v>
      </c>
      <c r="T105" s="48">
        <v>18</v>
      </c>
      <c r="U105" s="48">
        <v>19</v>
      </c>
      <c r="V105" s="49">
        <v>20</v>
      </c>
      <c r="W105" s="47">
        <v>21</v>
      </c>
      <c r="X105" s="48">
        <v>22</v>
      </c>
      <c r="Y105" s="48">
        <v>23</v>
      </c>
      <c r="Z105" s="48">
        <v>24</v>
      </c>
      <c r="AA105" s="49">
        <v>25</v>
      </c>
      <c r="AB105" s="30" t="s">
        <v>1</v>
      </c>
    </row>
    <row r="106" spans="1:32" ht="15.75" customHeight="1" thickTop="1" x14ac:dyDescent="0.25">
      <c r="A106" s="150">
        <f>ESCUADRAS!B25</f>
        <v>19</v>
      </c>
      <c r="B106" s="153">
        <f>ESCUADRAS!C29</f>
        <v>0</v>
      </c>
      <c r="C106" s="129"/>
      <c r="D106" s="114"/>
      <c r="E106" s="114"/>
      <c r="F106" s="114"/>
      <c r="G106" s="156"/>
      <c r="H106" s="129"/>
      <c r="I106" s="114"/>
      <c r="J106" s="114"/>
      <c r="K106" s="114"/>
      <c r="L106" s="156"/>
      <c r="M106" s="129"/>
      <c r="N106" s="114"/>
      <c r="O106" s="114"/>
      <c r="P106" s="114"/>
      <c r="Q106" s="156"/>
      <c r="R106" s="129"/>
      <c r="S106" s="114"/>
      <c r="T106" s="114"/>
      <c r="U106" s="114"/>
      <c r="V106" s="156"/>
      <c r="W106" s="129"/>
      <c r="X106" s="114"/>
      <c r="Y106" s="114"/>
      <c r="Z106" s="114"/>
      <c r="AA106" s="156"/>
      <c r="AB106" s="159"/>
    </row>
    <row r="107" spans="1:32" ht="15.75" customHeight="1" x14ac:dyDescent="0.25">
      <c r="A107" s="151"/>
      <c r="B107" s="154"/>
      <c r="C107" s="130"/>
      <c r="D107" s="115"/>
      <c r="E107" s="115"/>
      <c r="F107" s="115"/>
      <c r="G107" s="157"/>
      <c r="H107" s="130"/>
      <c r="I107" s="115"/>
      <c r="J107" s="115"/>
      <c r="K107" s="115"/>
      <c r="L107" s="157"/>
      <c r="M107" s="130"/>
      <c r="N107" s="115"/>
      <c r="O107" s="115"/>
      <c r="P107" s="115"/>
      <c r="Q107" s="157"/>
      <c r="R107" s="130"/>
      <c r="S107" s="115"/>
      <c r="T107" s="115"/>
      <c r="U107" s="115"/>
      <c r="V107" s="157"/>
      <c r="W107" s="130"/>
      <c r="X107" s="115"/>
      <c r="Y107" s="115"/>
      <c r="Z107" s="115"/>
      <c r="AA107" s="157"/>
      <c r="AB107" s="160"/>
    </row>
    <row r="108" spans="1:32" ht="15.75" customHeight="1" thickBot="1" x14ac:dyDescent="0.3">
      <c r="A108" s="152"/>
      <c r="B108" s="155"/>
      <c r="C108" s="131"/>
      <c r="D108" s="116"/>
      <c r="E108" s="116"/>
      <c r="F108" s="116"/>
      <c r="G108" s="158"/>
      <c r="H108" s="131"/>
      <c r="I108" s="116"/>
      <c r="J108" s="116"/>
      <c r="K108" s="116"/>
      <c r="L108" s="158"/>
      <c r="M108" s="131"/>
      <c r="N108" s="116"/>
      <c r="O108" s="116"/>
      <c r="P108" s="116"/>
      <c r="Q108" s="158"/>
      <c r="R108" s="131"/>
      <c r="S108" s="116"/>
      <c r="T108" s="116"/>
      <c r="U108" s="116"/>
      <c r="V108" s="158"/>
      <c r="W108" s="131"/>
      <c r="X108" s="116"/>
      <c r="Y108" s="116"/>
      <c r="Z108" s="116"/>
      <c r="AA108" s="158"/>
      <c r="AB108" s="161"/>
    </row>
    <row r="109" spans="1:32" ht="15.75" customHeight="1" thickTop="1" x14ac:dyDescent="0.25">
      <c r="A109" s="162">
        <f>ESCUADRAS!B26</f>
        <v>20</v>
      </c>
      <c r="B109" s="136">
        <f>ESCUADRAS!C30</f>
        <v>0</v>
      </c>
      <c r="C109" s="93"/>
      <c r="D109" s="123"/>
      <c r="E109" s="123"/>
      <c r="F109" s="123"/>
      <c r="G109" s="164"/>
      <c r="H109" s="93"/>
      <c r="I109" s="123"/>
      <c r="J109" s="123"/>
      <c r="K109" s="123"/>
      <c r="L109" s="164"/>
      <c r="M109" s="93"/>
      <c r="N109" s="123"/>
      <c r="O109" s="123"/>
      <c r="P109" s="123"/>
      <c r="Q109" s="164"/>
      <c r="R109" s="93"/>
      <c r="S109" s="123"/>
      <c r="T109" s="123"/>
      <c r="U109" s="123"/>
      <c r="V109" s="164"/>
      <c r="W109" s="129"/>
      <c r="X109" s="114"/>
      <c r="Y109" s="114"/>
      <c r="Z109" s="114"/>
      <c r="AA109" s="156"/>
      <c r="AB109" s="159"/>
    </row>
    <row r="110" spans="1:32" ht="15.75" customHeight="1" x14ac:dyDescent="0.25">
      <c r="A110" s="141"/>
      <c r="B110" s="137"/>
      <c r="C110" s="94"/>
      <c r="D110" s="124"/>
      <c r="E110" s="124"/>
      <c r="F110" s="124"/>
      <c r="G110" s="165"/>
      <c r="H110" s="94"/>
      <c r="I110" s="124"/>
      <c r="J110" s="124"/>
      <c r="K110" s="124"/>
      <c r="L110" s="165"/>
      <c r="M110" s="94"/>
      <c r="N110" s="124"/>
      <c r="O110" s="124"/>
      <c r="P110" s="124"/>
      <c r="Q110" s="165"/>
      <c r="R110" s="94"/>
      <c r="S110" s="124"/>
      <c r="T110" s="124"/>
      <c r="U110" s="124"/>
      <c r="V110" s="165"/>
      <c r="W110" s="130"/>
      <c r="X110" s="115"/>
      <c r="Y110" s="115"/>
      <c r="Z110" s="115"/>
      <c r="AA110" s="157"/>
      <c r="AB110" s="160"/>
    </row>
    <row r="111" spans="1:32" ht="15.75" customHeight="1" thickBot="1" x14ac:dyDescent="0.3">
      <c r="A111" s="163"/>
      <c r="B111" s="138"/>
      <c r="C111" s="95"/>
      <c r="D111" s="125"/>
      <c r="E111" s="125"/>
      <c r="F111" s="125"/>
      <c r="G111" s="166"/>
      <c r="H111" s="95"/>
      <c r="I111" s="125"/>
      <c r="J111" s="125"/>
      <c r="K111" s="125"/>
      <c r="L111" s="166"/>
      <c r="M111" s="95"/>
      <c r="N111" s="125"/>
      <c r="O111" s="125"/>
      <c r="P111" s="125"/>
      <c r="Q111" s="166"/>
      <c r="R111" s="95"/>
      <c r="S111" s="125"/>
      <c r="T111" s="125"/>
      <c r="U111" s="125"/>
      <c r="V111" s="166"/>
      <c r="W111" s="131"/>
      <c r="X111" s="116"/>
      <c r="Y111" s="116"/>
      <c r="Z111" s="116"/>
      <c r="AA111" s="158"/>
      <c r="AB111" s="161"/>
    </row>
    <row r="112" spans="1:32" ht="15.75" customHeight="1" thickTop="1" x14ac:dyDescent="0.25">
      <c r="A112" s="150">
        <f>ESCUADRAS!B27</f>
        <v>21</v>
      </c>
      <c r="B112" s="153">
        <f>ESCUADRAS!C25</f>
        <v>0</v>
      </c>
      <c r="C112" s="93"/>
      <c r="D112" s="123"/>
      <c r="E112" s="123"/>
      <c r="F112" s="123"/>
      <c r="G112" s="164"/>
      <c r="H112" s="93"/>
      <c r="I112" s="123"/>
      <c r="J112" s="123"/>
      <c r="K112" s="123"/>
      <c r="L112" s="164"/>
      <c r="M112" s="93"/>
      <c r="N112" s="123"/>
      <c r="O112" s="123"/>
      <c r="P112" s="123"/>
      <c r="Q112" s="164"/>
      <c r="R112" s="129"/>
      <c r="S112" s="114"/>
      <c r="T112" s="114"/>
      <c r="U112" s="114"/>
      <c r="V112" s="156"/>
      <c r="W112" s="93"/>
      <c r="X112" s="123"/>
      <c r="Y112" s="123"/>
      <c r="Z112" s="123"/>
      <c r="AA112" s="164"/>
      <c r="AB112" s="159"/>
    </row>
    <row r="113" spans="1:28" ht="15.75" customHeight="1" x14ac:dyDescent="0.25">
      <c r="A113" s="151"/>
      <c r="B113" s="154"/>
      <c r="C113" s="94"/>
      <c r="D113" s="124"/>
      <c r="E113" s="124"/>
      <c r="F113" s="124"/>
      <c r="G113" s="165"/>
      <c r="H113" s="94"/>
      <c r="I113" s="124"/>
      <c r="J113" s="124"/>
      <c r="K113" s="124"/>
      <c r="L113" s="165"/>
      <c r="M113" s="94"/>
      <c r="N113" s="124"/>
      <c r="O113" s="124"/>
      <c r="P113" s="124"/>
      <c r="Q113" s="165"/>
      <c r="R113" s="130"/>
      <c r="S113" s="115"/>
      <c r="T113" s="115"/>
      <c r="U113" s="115"/>
      <c r="V113" s="157"/>
      <c r="W113" s="94"/>
      <c r="X113" s="124"/>
      <c r="Y113" s="124"/>
      <c r="Z113" s="124"/>
      <c r="AA113" s="165"/>
      <c r="AB113" s="160"/>
    </row>
    <row r="114" spans="1:28" ht="15.75" customHeight="1" thickBot="1" x14ac:dyDescent="0.3">
      <c r="A114" s="152"/>
      <c r="B114" s="155"/>
      <c r="C114" s="95"/>
      <c r="D114" s="125"/>
      <c r="E114" s="125"/>
      <c r="F114" s="125"/>
      <c r="G114" s="166"/>
      <c r="H114" s="95"/>
      <c r="I114" s="125"/>
      <c r="J114" s="125"/>
      <c r="K114" s="125"/>
      <c r="L114" s="166"/>
      <c r="M114" s="95"/>
      <c r="N114" s="125"/>
      <c r="O114" s="125"/>
      <c r="P114" s="125"/>
      <c r="Q114" s="166"/>
      <c r="R114" s="131"/>
      <c r="S114" s="116"/>
      <c r="T114" s="116"/>
      <c r="U114" s="116"/>
      <c r="V114" s="158"/>
      <c r="W114" s="95"/>
      <c r="X114" s="125"/>
      <c r="Y114" s="125"/>
      <c r="Z114" s="125"/>
      <c r="AA114" s="166"/>
      <c r="AB114" s="161"/>
    </row>
    <row r="115" spans="1:28" ht="15.75" customHeight="1" thickTop="1" x14ac:dyDescent="0.25">
      <c r="A115" s="162">
        <f>ESCUADRAS!B28</f>
        <v>22</v>
      </c>
      <c r="B115" s="136">
        <f>ESCUADRAS!C26</f>
        <v>0</v>
      </c>
      <c r="C115" s="93"/>
      <c r="D115" s="123"/>
      <c r="E115" s="123"/>
      <c r="F115" s="123"/>
      <c r="G115" s="164"/>
      <c r="H115" s="93"/>
      <c r="I115" s="123"/>
      <c r="J115" s="123"/>
      <c r="K115" s="123"/>
      <c r="L115" s="164"/>
      <c r="M115" s="129"/>
      <c r="N115" s="114"/>
      <c r="O115" s="114"/>
      <c r="P115" s="114"/>
      <c r="Q115" s="156"/>
      <c r="R115" s="93"/>
      <c r="S115" s="123"/>
      <c r="T115" s="123"/>
      <c r="U115" s="123"/>
      <c r="V115" s="164"/>
      <c r="W115" s="93"/>
      <c r="X115" s="123"/>
      <c r="Y115" s="123"/>
      <c r="Z115" s="123"/>
      <c r="AA115" s="164"/>
      <c r="AB115" s="159"/>
    </row>
    <row r="116" spans="1:28" ht="15.75" customHeight="1" x14ac:dyDescent="0.25">
      <c r="A116" s="141"/>
      <c r="B116" s="137"/>
      <c r="C116" s="94"/>
      <c r="D116" s="124"/>
      <c r="E116" s="124"/>
      <c r="F116" s="124"/>
      <c r="G116" s="165"/>
      <c r="H116" s="94"/>
      <c r="I116" s="124"/>
      <c r="J116" s="124"/>
      <c r="K116" s="124"/>
      <c r="L116" s="165"/>
      <c r="M116" s="130"/>
      <c r="N116" s="115"/>
      <c r="O116" s="115"/>
      <c r="P116" s="115"/>
      <c r="Q116" s="157"/>
      <c r="R116" s="94"/>
      <c r="S116" s="124"/>
      <c r="T116" s="124"/>
      <c r="U116" s="124"/>
      <c r="V116" s="165"/>
      <c r="W116" s="94"/>
      <c r="X116" s="124"/>
      <c r="Y116" s="124"/>
      <c r="Z116" s="124"/>
      <c r="AA116" s="165"/>
      <c r="AB116" s="160"/>
    </row>
    <row r="117" spans="1:28" ht="15.75" customHeight="1" thickBot="1" x14ac:dyDescent="0.3">
      <c r="A117" s="163"/>
      <c r="B117" s="138"/>
      <c r="C117" s="95"/>
      <c r="D117" s="125"/>
      <c r="E117" s="125"/>
      <c r="F117" s="125"/>
      <c r="G117" s="166"/>
      <c r="H117" s="95"/>
      <c r="I117" s="125"/>
      <c r="J117" s="125"/>
      <c r="K117" s="125"/>
      <c r="L117" s="166"/>
      <c r="M117" s="131"/>
      <c r="N117" s="116"/>
      <c r="O117" s="116"/>
      <c r="P117" s="116"/>
      <c r="Q117" s="158"/>
      <c r="R117" s="95"/>
      <c r="S117" s="125"/>
      <c r="T117" s="125"/>
      <c r="U117" s="125"/>
      <c r="V117" s="166"/>
      <c r="W117" s="95"/>
      <c r="X117" s="125"/>
      <c r="Y117" s="125"/>
      <c r="Z117" s="125"/>
      <c r="AA117" s="166"/>
      <c r="AB117" s="161"/>
    </row>
    <row r="118" spans="1:28" ht="15.75" customHeight="1" thickTop="1" x14ac:dyDescent="0.25">
      <c r="A118" s="150">
        <f>ESCUADRAS!B29</f>
        <v>23</v>
      </c>
      <c r="B118" s="153">
        <f>ESCUADRAS!C27</f>
        <v>0</v>
      </c>
      <c r="C118" s="93"/>
      <c r="D118" s="123"/>
      <c r="E118" s="123"/>
      <c r="F118" s="123"/>
      <c r="G118" s="164"/>
      <c r="H118" s="129"/>
      <c r="I118" s="114"/>
      <c r="J118" s="114"/>
      <c r="K118" s="114"/>
      <c r="L118" s="156"/>
      <c r="M118" s="93"/>
      <c r="N118" s="123"/>
      <c r="O118" s="123"/>
      <c r="P118" s="123"/>
      <c r="Q118" s="164"/>
      <c r="R118" s="93"/>
      <c r="S118" s="123"/>
      <c r="T118" s="123"/>
      <c r="U118" s="123"/>
      <c r="V118" s="164"/>
      <c r="W118" s="93"/>
      <c r="X118" s="123"/>
      <c r="Y118" s="123"/>
      <c r="Z118" s="123"/>
      <c r="AA118" s="164"/>
      <c r="AB118" s="159"/>
    </row>
    <row r="119" spans="1:28" ht="15.75" customHeight="1" x14ac:dyDescent="0.25">
      <c r="A119" s="151"/>
      <c r="B119" s="154"/>
      <c r="C119" s="94"/>
      <c r="D119" s="124"/>
      <c r="E119" s="124"/>
      <c r="F119" s="124"/>
      <c r="G119" s="165"/>
      <c r="H119" s="130"/>
      <c r="I119" s="115"/>
      <c r="J119" s="115"/>
      <c r="K119" s="115"/>
      <c r="L119" s="157"/>
      <c r="M119" s="94"/>
      <c r="N119" s="124"/>
      <c r="O119" s="124"/>
      <c r="P119" s="124"/>
      <c r="Q119" s="165"/>
      <c r="R119" s="94"/>
      <c r="S119" s="124"/>
      <c r="T119" s="124"/>
      <c r="U119" s="124"/>
      <c r="V119" s="165"/>
      <c r="W119" s="94"/>
      <c r="X119" s="124"/>
      <c r="Y119" s="124"/>
      <c r="Z119" s="124"/>
      <c r="AA119" s="165"/>
      <c r="AB119" s="160"/>
    </row>
    <row r="120" spans="1:28" ht="15.75" customHeight="1" thickBot="1" x14ac:dyDescent="0.3">
      <c r="A120" s="152"/>
      <c r="B120" s="155"/>
      <c r="C120" s="95"/>
      <c r="D120" s="125"/>
      <c r="E120" s="125"/>
      <c r="F120" s="125"/>
      <c r="G120" s="166"/>
      <c r="H120" s="131"/>
      <c r="I120" s="116"/>
      <c r="J120" s="116"/>
      <c r="K120" s="116"/>
      <c r="L120" s="158"/>
      <c r="M120" s="95"/>
      <c r="N120" s="125"/>
      <c r="O120" s="125"/>
      <c r="P120" s="125"/>
      <c r="Q120" s="166"/>
      <c r="R120" s="95"/>
      <c r="S120" s="125"/>
      <c r="T120" s="125"/>
      <c r="U120" s="125"/>
      <c r="V120" s="166"/>
      <c r="W120" s="95"/>
      <c r="X120" s="125"/>
      <c r="Y120" s="125"/>
      <c r="Z120" s="125"/>
      <c r="AA120" s="166"/>
      <c r="AB120" s="161"/>
    </row>
    <row r="121" spans="1:28" ht="15.75" customHeight="1" thickTop="1" x14ac:dyDescent="0.25">
      <c r="A121" s="162">
        <f>ESCUADRAS!B30</f>
        <v>24</v>
      </c>
      <c r="B121" s="136">
        <f>ESCUADRAS!C28</f>
        <v>0</v>
      </c>
      <c r="C121" s="129"/>
      <c r="D121" s="114"/>
      <c r="E121" s="114"/>
      <c r="F121" s="114"/>
      <c r="G121" s="156"/>
      <c r="H121" s="93"/>
      <c r="I121" s="123"/>
      <c r="J121" s="123"/>
      <c r="K121" s="123"/>
      <c r="L121" s="164"/>
      <c r="M121" s="93"/>
      <c r="N121" s="123"/>
      <c r="O121" s="123"/>
      <c r="P121" s="123"/>
      <c r="Q121" s="164"/>
      <c r="R121" s="93"/>
      <c r="S121" s="123"/>
      <c r="T121" s="123"/>
      <c r="U121" s="123"/>
      <c r="V121" s="164"/>
      <c r="W121" s="93"/>
      <c r="X121" s="123"/>
      <c r="Y121" s="123"/>
      <c r="Z121" s="123"/>
      <c r="AA121" s="164"/>
      <c r="AB121" s="159"/>
    </row>
    <row r="122" spans="1:28" ht="15.75" customHeight="1" x14ac:dyDescent="0.25">
      <c r="A122" s="141"/>
      <c r="B122" s="137"/>
      <c r="C122" s="130"/>
      <c r="D122" s="115"/>
      <c r="E122" s="115"/>
      <c r="F122" s="115"/>
      <c r="G122" s="157"/>
      <c r="H122" s="94"/>
      <c r="I122" s="124"/>
      <c r="J122" s="124"/>
      <c r="K122" s="124"/>
      <c r="L122" s="165"/>
      <c r="M122" s="94"/>
      <c r="N122" s="124"/>
      <c r="O122" s="124"/>
      <c r="P122" s="124"/>
      <c r="Q122" s="165"/>
      <c r="R122" s="94"/>
      <c r="S122" s="124"/>
      <c r="T122" s="124"/>
      <c r="U122" s="124"/>
      <c r="V122" s="165"/>
      <c r="W122" s="94"/>
      <c r="X122" s="124"/>
      <c r="Y122" s="124"/>
      <c r="Z122" s="124"/>
      <c r="AA122" s="165"/>
      <c r="AB122" s="160"/>
    </row>
    <row r="123" spans="1:28" ht="15.75" customHeight="1" thickBot="1" x14ac:dyDescent="0.3">
      <c r="A123" s="142"/>
      <c r="B123" s="138"/>
      <c r="C123" s="131"/>
      <c r="D123" s="116"/>
      <c r="E123" s="116"/>
      <c r="F123" s="116"/>
      <c r="G123" s="158"/>
      <c r="H123" s="95"/>
      <c r="I123" s="125"/>
      <c r="J123" s="125"/>
      <c r="K123" s="125"/>
      <c r="L123" s="166"/>
      <c r="M123" s="95"/>
      <c r="N123" s="125"/>
      <c r="O123" s="125"/>
      <c r="P123" s="125"/>
      <c r="Q123" s="166"/>
      <c r="R123" s="95"/>
      <c r="S123" s="125"/>
      <c r="T123" s="125"/>
      <c r="U123" s="125"/>
      <c r="V123" s="166"/>
      <c r="W123" s="95"/>
      <c r="X123" s="125"/>
      <c r="Y123" s="125"/>
      <c r="Z123" s="125"/>
      <c r="AA123" s="166"/>
      <c r="AB123" s="161"/>
    </row>
    <row r="124" spans="1:28" ht="15" x14ac:dyDescent="0.25">
      <c r="A124" s="28"/>
    </row>
    <row r="125" spans="1:28" ht="15" x14ac:dyDescent="0.25">
      <c r="A125" s="28"/>
      <c r="B125" s="26" t="s">
        <v>35</v>
      </c>
      <c r="E125" s="21" t="s">
        <v>41</v>
      </c>
      <c r="I125" s="21" t="s">
        <v>42</v>
      </c>
      <c r="M125" s="21" t="s">
        <v>43</v>
      </c>
      <c r="Q125" s="21" t="s">
        <v>44</v>
      </c>
      <c r="U125" s="21" t="s">
        <v>45</v>
      </c>
      <c r="Y125" s="21" t="s">
        <v>46</v>
      </c>
    </row>
    <row r="126" spans="1:28" ht="15" x14ac:dyDescent="0.25">
      <c r="A126" s="28"/>
    </row>
    <row r="128" spans="1:28" ht="10.5" customHeight="1" x14ac:dyDescent="0.25"/>
    <row r="130" spans="1:32" ht="24.6" x14ac:dyDescent="0.25">
      <c r="A130" s="144" t="str">
        <f>'INSCRIPCION '!A$1</f>
        <v>TIRADA</v>
      </c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</row>
    <row r="131" spans="1:32" ht="19.5" customHeight="1" x14ac:dyDescent="0.4">
      <c r="A131" s="23"/>
      <c r="B131" s="23"/>
    </row>
    <row r="132" spans="1:32" ht="21.75" customHeight="1" x14ac:dyDescent="0.25">
      <c r="A132" s="132" t="str">
        <f>'INSCRIPCION '!A$2</f>
        <v>CAMPO DE TIRO LA ISLA</v>
      </c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</row>
    <row r="133" spans="1:32" ht="19.5" customHeight="1" x14ac:dyDescent="0.25">
      <c r="A133" s="143" t="str">
        <f>'INSCRIPCION '!A$3</f>
        <v>XXX PLATOS</v>
      </c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</row>
    <row r="134" spans="1:32" ht="22.8" x14ac:dyDescent="0.4">
      <c r="A134" s="24"/>
      <c r="B134" s="24"/>
    </row>
    <row r="135" spans="1:32" ht="17.399999999999999" x14ac:dyDescent="0.3">
      <c r="A135" s="25" t="s">
        <v>13</v>
      </c>
      <c r="B135" s="25"/>
      <c r="J135" s="9" t="s">
        <v>6</v>
      </c>
      <c r="K135" s="9"/>
      <c r="L135" s="9"/>
      <c r="M135" s="9"/>
      <c r="N135" s="9"/>
      <c r="O135" s="22">
        <v>3</v>
      </c>
      <c r="P135" s="22"/>
      <c r="Q135" s="8"/>
      <c r="R135" s="8"/>
      <c r="S135" s="7"/>
      <c r="T135" s="8"/>
      <c r="U135" s="8"/>
      <c r="V135" s="9" t="s">
        <v>7</v>
      </c>
      <c r="W135" s="9"/>
      <c r="X135" s="9"/>
      <c r="Y135" s="9"/>
      <c r="Z135" s="22">
        <v>3</v>
      </c>
      <c r="AA135" s="22"/>
    </row>
    <row r="136" spans="1:32" ht="13.8" thickBot="1" x14ac:dyDescent="0.3"/>
    <row r="137" spans="1:32" ht="15.6" thickBot="1" x14ac:dyDescent="0.3">
      <c r="A137" s="27" t="s">
        <v>0</v>
      </c>
      <c r="B137" s="27" t="s">
        <v>8</v>
      </c>
      <c r="C137" s="47">
        <v>1</v>
      </c>
      <c r="D137" s="48">
        <v>2</v>
      </c>
      <c r="E137" s="48">
        <v>3</v>
      </c>
      <c r="F137" s="48">
        <v>4</v>
      </c>
      <c r="G137" s="49">
        <v>5</v>
      </c>
      <c r="H137" s="47">
        <v>6</v>
      </c>
      <c r="I137" s="48">
        <v>7</v>
      </c>
      <c r="J137" s="48">
        <v>8</v>
      </c>
      <c r="K137" s="48">
        <v>9</v>
      </c>
      <c r="L137" s="49">
        <v>10</v>
      </c>
      <c r="M137" s="47">
        <v>11</v>
      </c>
      <c r="N137" s="48">
        <v>12</v>
      </c>
      <c r="O137" s="48">
        <v>13</v>
      </c>
      <c r="P137" s="48">
        <v>14</v>
      </c>
      <c r="Q137" s="49">
        <v>15</v>
      </c>
      <c r="R137" s="47">
        <v>16</v>
      </c>
      <c r="S137" s="48">
        <v>17</v>
      </c>
      <c r="T137" s="48">
        <v>18</v>
      </c>
      <c r="U137" s="48">
        <v>19</v>
      </c>
      <c r="V137" s="49">
        <v>20</v>
      </c>
      <c r="W137" s="47">
        <v>21</v>
      </c>
      <c r="X137" s="48">
        <v>22</v>
      </c>
      <c r="Y137" s="48">
        <v>23</v>
      </c>
      <c r="Z137" s="48">
        <v>24</v>
      </c>
      <c r="AA137" s="49">
        <v>25</v>
      </c>
      <c r="AB137" s="30" t="s">
        <v>1</v>
      </c>
    </row>
    <row r="138" spans="1:32" ht="15.75" customHeight="1" thickTop="1" x14ac:dyDescent="0.25">
      <c r="A138" s="150">
        <f>ESCUADRAS!B31</f>
        <v>25</v>
      </c>
      <c r="B138" s="153">
        <f>ESCUADRAS!C35</f>
        <v>0</v>
      </c>
      <c r="C138" s="129"/>
      <c r="D138" s="114"/>
      <c r="E138" s="114"/>
      <c r="F138" s="114"/>
      <c r="G138" s="156"/>
      <c r="H138" s="129"/>
      <c r="I138" s="114"/>
      <c r="J138" s="114"/>
      <c r="K138" s="114"/>
      <c r="L138" s="156"/>
      <c r="M138" s="129"/>
      <c r="N138" s="114"/>
      <c r="O138" s="114"/>
      <c r="P138" s="114"/>
      <c r="Q138" s="156"/>
      <c r="R138" s="129"/>
      <c r="S138" s="114"/>
      <c r="T138" s="114"/>
      <c r="U138" s="114"/>
      <c r="V138" s="156"/>
      <c r="W138" s="129"/>
      <c r="X138" s="114"/>
      <c r="Y138" s="114"/>
      <c r="Z138" s="114"/>
      <c r="AA138" s="156"/>
      <c r="AB138" s="159"/>
    </row>
    <row r="139" spans="1:32" ht="15.75" customHeight="1" x14ac:dyDescent="0.25">
      <c r="A139" s="151"/>
      <c r="B139" s="154"/>
      <c r="C139" s="130"/>
      <c r="D139" s="115"/>
      <c r="E139" s="115"/>
      <c r="F139" s="115"/>
      <c r="G139" s="157"/>
      <c r="H139" s="130"/>
      <c r="I139" s="115"/>
      <c r="J139" s="115"/>
      <c r="K139" s="115"/>
      <c r="L139" s="157"/>
      <c r="M139" s="130"/>
      <c r="N139" s="115"/>
      <c r="O139" s="115"/>
      <c r="P139" s="115"/>
      <c r="Q139" s="157"/>
      <c r="R139" s="130"/>
      <c r="S139" s="115"/>
      <c r="T139" s="115"/>
      <c r="U139" s="115"/>
      <c r="V139" s="157"/>
      <c r="W139" s="130"/>
      <c r="X139" s="115"/>
      <c r="Y139" s="115"/>
      <c r="Z139" s="115"/>
      <c r="AA139" s="157"/>
      <c r="AB139" s="160"/>
    </row>
    <row r="140" spans="1:32" ht="15.75" customHeight="1" thickBot="1" x14ac:dyDescent="0.3">
      <c r="A140" s="152"/>
      <c r="B140" s="155"/>
      <c r="C140" s="131"/>
      <c r="D140" s="116"/>
      <c r="E140" s="116"/>
      <c r="F140" s="116"/>
      <c r="G140" s="158"/>
      <c r="H140" s="131"/>
      <c r="I140" s="116"/>
      <c r="J140" s="116"/>
      <c r="K140" s="116"/>
      <c r="L140" s="158"/>
      <c r="M140" s="131"/>
      <c r="N140" s="116"/>
      <c r="O140" s="116"/>
      <c r="P140" s="116"/>
      <c r="Q140" s="158"/>
      <c r="R140" s="131"/>
      <c r="S140" s="116"/>
      <c r="T140" s="116"/>
      <c r="U140" s="116"/>
      <c r="V140" s="158"/>
      <c r="W140" s="131"/>
      <c r="X140" s="116"/>
      <c r="Y140" s="116"/>
      <c r="Z140" s="116"/>
      <c r="AA140" s="158"/>
      <c r="AB140" s="161"/>
    </row>
    <row r="141" spans="1:32" ht="15.75" customHeight="1" thickTop="1" x14ac:dyDescent="0.25">
      <c r="A141" s="162">
        <f>ESCUADRAS!B32</f>
        <v>26</v>
      </c>
      <c r="B141" s="136">
        <f>ESCUADRAS!C36</f>
        <v>0</v>
      </c>
      <c r="C141" s="93"/>
      <c r="D141" s="123"/>
      <c r="E141" s="123"/>
      <c r="F141" s="123"/>
      <c r="G141" s="164"/>
      <c r="H141" s="93"/>
      <c r="I141" s="123"/>
      <c r="J141" s="123"/>
      <c r="K141" s="123"/>
      <c r="L141" s="164"/>
      <c r="M141" s="93"/>
      <c r="N141" s="123"/>
      <c r="O141" s="123"/>
      <c r="P141" s="123"/>
      <c r="Q141" s="164"/>
      <c r="R141" s="93"/>
      <c r="S141" s="123"/>
      <c r="T141" s="123"/>
      <c r="U141" s="123"/>
      <c r="V141" s="164"/>
      <c r="W141" s="129"/>
      <c r="X141" s="114"/>
      <c r="Y141" s="114"/>
      <c r="Z141" s="114"/>
      <c r="AA141" s="156"/>
      <c r="AB141" s="159"/>
    </row>
    <row r="142" spans="1:32" ht="15.75" customHeight="1" x14ac:dyDescent="0.25">
      <c r="A142" s="141"/>
      <c r="B142" s="137"/>
      <c r="C142" s="94"/>
      <c r="D142" s="124"/>
      <c r="E142" s="124"/>
      <c r="F142" s="124"/>
      <c r="G142" s="165"/>
      <c r="H142" s="94"/>
      <c r="I142" s="124"/>
      <c r="J142" s="124"/>
      <c r="K142" s="124"/>
      <c r="L142" s="165"/>
      <c r="M142" s="94"/>
      <c r="N142" s="124"/>
      <c r="O142" s="124"/>
      <c r="P142" s="124"/>
      <c r="Q142" s="165"/>
      <c r="R142" s="94"/>
      <c r="S142" s="124"/>
      <c r="T142" s="124"/>
      <c r="U142" s="124"/>
      <c r="V142" s="165"/>
      <c r="W142" s="130"/>
      <c r="X142" s="115"/>
      <c r="Y142" s="115"/>
      <c r="Z142" s="115"/>
      <c r="AA142" s="157"/>
      <c r="AB142" s="160"/>
    </row>
    <row r="143" spans="1:32" ht="15.75" customHeight="1" thickBot="1" x14ac:dyDescent="0.3">
      <c r="A143" s="163"/>
      <c r="B143" s="138"/>
      <c r="C143" s="95"/>
      <c r="D143" s="125"/>
      <c r="E143" s="125"/>
      <c r="F143" s="125"/>
      <c r="G143" s="166"/>
      <c r="H143" s="95"/>
      <c r="I143" s="125"/>
      <c r="J143" s="125"/>
      <c r="K143" s="125"/>
      <c r="L143" s="166"/>
      <c r="M143" s="95"/>
      <c r="N143" s="125"/>
      <c r="O143" s="125"/>
      <c r="P143" s="125"/>
      <c r="Q143" s="166"/>
      <c r="R143" s="95"/>
      <c r="S143" s="125"/>
      <c r="T143" s="125"/>
      <c r="U143" s="125"/>
      <c r="V143" s="166"/>
      <c r="W143" s="131"/>
      <c r="X143" s="116"/>
      <c r="Y143" s="116"/>
      <c r="Z143" s="116"/>
      <c r="AA143" s="158"/>
      <c r="AB143" s="161"/>
    </row>
    <row r="144" spans="1:32" ht="15.75" customHeight="1" thickTop="1" x14ac:dyDescent="0.25">
      <c r="A144" s="150">
        <f>ESCUADRAS!B33</f>
        <v>27</v>
      </c>
      <c r="B144" s="153">
        <f>ESCUADRAS!C31</f>
        <v>0</v>
      </c>
      <c r="C144" s="93"/>
      <c r="D144" s="123"/>
      <c r="E144" s="123"/>
      <c r="F144" s="123"/>
      <c r="G144" s="164"/>
      <c r="H144" s="93"/>
      <c r="I144" s="123"/>
      <c r="J144" s="123"/>
      <c r="K144" s="123"/>
      <c r="L144" s="164"/>
      <c r="M144" s="93"/>
      <c r="N144" s="123"/>
      <c r="O144" s="123"/>
      <c r="P144" s="123"/>
      <c r="Q144" s="164"/>
      <c r="R144" s="129"/>
      <c r="S144" s="114"/>
      <c r="T144" s="114"/>
      <c r="U144" s="114"/>
      <c r="V144" s="156"/>
      <c r="W144" s="93"/>
      <c r="X144" s="123"/>
      <c r="Y144" s="123"/>
      <c r="Z144" s="123"/>
      <c r="AA144" s="164"/>
      <c r="AB144" s="159"/>
    </row>
    <row r="145" spans="1:28" ht="15.75" customHeight="1" x14ac:dyDescent="0.25">
      <c r="A145" s="151"/>
      <c r="B145" s="154"/>
      <c r="C145" s="94"/>
      <c r="D145" s="124"/>
      <c r="E145" s="124"/>
      <c r="F145" s="124"/>
      <c r="G145" s="165"/>
      <c r="H145" s="94"/>
      <c r="I145" s="124"/>
      <c r="J145" s="124"/>
      <c r="K145" s="124"/>
      <c r="L145" s="165"/>
      <c r="M145" s="94"/>
      <c r="N145" s="124"/>
      <c r="O145" s="124"/>
      <c r="P145" s="124"/>
      <c r="Q145" s="165"/>
      <c r="R145" s="130"/>
      <c r="S145" s="115"/>
      <c r="T145" s="115"/>
      <c r="U145" s="115"/>
      <c r="V145" s="157"/>
      <c r="W145" s="94"/>
      <c r="X145" s="124"/>
      <c r="Y145" s="124"/>
      <c r="Z145" s="124"/>
      <c r="AA145" s="165"/>
      <c r="AB145" s="160"/>
    </row>
    <row r="146" spans="1:28" ht="15.75" customHeight="1" thickBot="1" x14ac:dyDescent="0.3">
      <c r="A146" s="152"/>
      <c r="B146" s="155"/>
      <c r="C146" s="95"/>
      <c r="D146" s="125"/>
      <c r="E146" s="125"/>
      <c r="F146" s="125"/>
      <c r="G146" s="166"/>
      <c r="H146" s="95"/>
      <c r="I146" s="125"/>
      <c r="J146" s="125"/>
      <c r="K146" s="125"/>
      <c r="L146" s="166"/>
      <c r="M146" s="95"/>
      <c r="N146" s="125"/>
      <c r="O146" s="125"/>
      <c r="P146" s="125"/>
      <c r="Q146" s="166"/>
      <c r="R146" s="131"/>
      <c r="S146" s="116"/>
      <c r="T146" s="116"/>
      <c r="U146" s="116"/>
      <c r="V146" s="158"/>
      <c r="W146" s="95"/>
      <c r="X146" s="125"/>
      <c r="Y146" s="125"/>
      <c r="Z146" s="125"/>
      <c r="AA146" s="166"/>
      <c r="AB146" s="161"/>
    </row>
    <row r="147" spans="1:28" ht="15.75" customHeight="1" thickTop="1" x14ac:dyDescent="0.25">
      <c r="A147" s="162">
        <f>ESCUADRAS!B34</f>
        <v>28</v>
      </c>
      <c r="B147" s="136">
        <f>ESCUADRAS!C32</f>
        <v>0</v>
      </c>
      <c r="C147" s="93"/>
      <c r="D147" s="123"/>
      <c r="E147" s="123"/>
      <c r="F147" s="123"/>
      <c r="G147" s="164"/>
      <c r="H147" s="93"/>
      <c r="I147" s="123"/>
      <c r="J147" s="123"/>
      <c r="K147" s="123"/>
      <c r="L147" s="164"/>
      <c r="M147" s="129"/>
      <c r="N147" s="114"/>
      <c r="O147" s="114"/>
      <c r="P147" s="114"/>
      <c r="Q147" s="156"/>
      <c r="R147" s="93"/>
      <c r="S147" s="123"/>
      <c r="T147" s="123"/>
      <c r="U147" s="123"/>
      <c r="V147" s="164"/>
      <c r="W147" s="93"/>
      <c r="X147" s="123"/>
      <c r="Y147" s="123"/>
      <c r="Z147" s="123"/>
      <c r="AA147" s="164"/>
      <c r="AB147" s="159"/>
    </row>
    <row r="148" spans="1:28" ht="15.75" customHeight="1" x14ac:dyDescent="0.25">
      <c r="A148" s="141"/>
      <c r="B148" s="137"/>
      <c r="C148" s="94"/>
      <c r="D148" s="124"/>
      <c r="E148" s="124"/>
      <c r="F148" s="124"/>
      <c r="G148" s="165"/>
      <c r="H148" s="94"/>
      <c r="I148" s="124"/>
      <c r="J148" s="124"/>
      <c r="K148" s="124"/>
      <c r="L148" s="165"/>
      <c r="M148" s="130"/>
      <c r="N148" s="115"/>
      <c r="O148" s="115"/>
      <c r="P148" s="115"/>
      <c r="Q148" s="157"/>
      <c r="R148" s="94"/>
      <c r="S148" s="124"/>
      <c r="T148" s="124"/>
      <c r="U148" s="124"/>
      <c r="V148" s="165"/>
      <c r="W148" s="94"/>
      <c r="X148" s="124"/>
      <c r="Y148" s="124"/>
      <c r="Z148" s="124"/>
      <c r="AA148" s="165"/>
      <c r="AB148" s="160"/>
    </row>
    <row r="149" spans="1:28" ht="15.75" customHeight="1" thickBot="1" x14ac:dyDescent="0.3">
      <c r="A149" s="163"/>
      <c r="B149" s="138"/>
      <c r="C149" s="95"/>
      <c r="D149" s="125"/>
      <c r="E149" s="125"/>
      <c r="F149" s="125"/>
      <c r="G149" s="166"/>
      <c r="H149" s="95"/>
      <c r="I149" s="125"/>
      <c r="J149" s="125"/>
      <c r="K149" s="125"/>
      <c r="L149" s="166"/>
      <c r="M149" s="131"/>
      <c r="N149" s="116"/>
      <c r="O149" s="116"/>
      <c r="P149" s="116"/>
      <c r="Q149" s="158"/>
      <c r="R149" s="95"/>
      <c r="S149" s="125"/>
      <c r="T149" s="125"/>
      <c r="U149" s="125"/>
      <c r="V149" s="166"/>
      <c r="W149" s="95"/>
      <c r="X149" s="125"/>
      <c r="Y149" s="125"/>
      <c r="Z149" s="125"/>
      <c r="AA149" s="166"/>
      <c r="AB149" s="161"/>
    </row>
    <row r="150" spans="1:28" ht="15.75" customHeight="1" thickTop="1" x14ac:dyDescent="0.25">
      <c r="A150" s="150">
        <f>ESCUADRAS!B35</f>
        <v>29</v>
      </c>
      <c r="B150" s="153">
        <f>ESCUADRAS!C33</f>
        <v>0</v>
      </c>
      <c r="C150" s="93"/>
      <c r="D150" s="123"/>
      <c r="E150" s="123"/>
      <c r="F150" s="123"/>
      <c r="G150" s="164"/>
      <c r="H150" s="129"/>
      <c r="I150" s="114"/>
      <c r="J150" s="114"/>
      <c r="K150" s="114"/>
      <c r="L150" s="156"/>
      <c r="M150" s="93"/>
      <c r="N150" s="123"/>
      <c r="O150" s="123"/>
      <c r="P150" s="123"/>
      <c r="Q150" s="164"/>
      <c r="R150" s="93"/>
      <c r="S150" s="123"/>
      <c r="T150" s="123"/>
      <c r="U150" s="123"/>
      <c r="V150" s="164"/>
      <c r="W150" s="93"/>
      <c r="X150" s="123"/>
      <c r="Y150" s="123"/>
      <c r="Z150" s="123"/>
      <c r="AA150" s="164"/>
      <c r="AB150" s="159"/>
    </row>
    <row r="151" spans="1:28" ht="15.75" customHeight="1" x14ac:dyDescent="0.25">
      <c r="A151" s="151"/>
      <c r="B151" s="154"/>
      <c r="C151" s="94"/>
      <c r="D151" s="124"/>
      <c r="E151" s="124"/>
      <c r="F151" s="124"/>
      <c r="G151" s="165"/>
      <c r="H151" s="130"/>
      <c r="I151" s="115"/>
      <c r="J151" s="115"/>
      <c r="K151" s="115"/>
      <c r="L151" s="157"/>
      <c r="M151" s="94"/>
      <c r="N151" s="124"/>
      <c r="O151" s="124"/>
      <c r="P151" s="124"/>
      <c r="Q151" s="165"/>
      <c r="R151" s="94"/>
      <c r="S151" s="124"/>
      <c r="T151" s="124"/>
      <c r="U151" s="124"/>
      <c r="V151" s="165"/>
      <c r="W151" s="94"/>
      <c r="X151" s="124"/>
      <c r="Y151" s="124"/>
      <c r="Z151" s="124"/>
      <c r="AA151" s="165"/>
      <c r="AB151" s="160"/>
    </row>
    <row r="152" spans="1:28" ht="15.75" customHeight="1" thickBot="1" x14ac:dyDescent="0.3">
      <c r="A152" s="152"/>
      <c r="B152" s="155"/>
      <c r="C152" s="95"/>
      <c r="D152" s="125"/>
      <c r="E152" s="125"/>
      <c r="F152" s="125"/>
      <c r="G152" s="166"/>
      <c r="H152" s="131"/>
      <c r="I152" s="116"/>
      <c r="J152" s="116"/>
      <c r="K152" s="116"/>
      <c r="L152" s="158"/>
      <c r="M152" s="95"/>
      <c r="N152" s="125"/>
      <c r="O152" s="125"/>
      <c r="P152" s="125"/>
      <c r="Q152" s="166"/>
      <c r="R152" s="95"/>
      <c r="S152" s="125"/>
      <c r="T152" s="125"/>
      <c r="U152" s="125"/>
      <c r="V152" s="166"/>
      <c r="W152" s="95"/>
      <c r="X152" s="125"/>
      <c r="Y152" s="125"/>
      <c r="Z152" s="125"/>
      <c r="AA152" s="166"/>
      <c r="AB152" s="161"/>
    </row>
    <row r="153" spans="1:28" ht="15.75" customHeight="1" thickTop="1" x14ac:dyDescent="0.25">
      <c r="A153" s="162">
        <f>ESCUADRAS!B36</f>
        <v>30</v>
      </c>
      <c r="B153" s="136">
        <f>ESCUADRAS!C34</f>
        <v>0</v>
      </c>
      <c r="C153" s="129"/>
      <c r="D153" s="114"/>
      <c r="E153" s="114"/>
      <c r="F153" s="114"/>
      <c r="G153" s="156"/>
      <c r="H153" s="93"/>
      <c r="I153" s="123"/>
      <c r="J153" s="123"/>
      <c r="K153" s="123"/>
      <c r="L153" s="164"/>
      <c r="M153" s="93"/>
      <c r="N153" s="123"/>
      <c r="O153" s="123"/>
      <c r="P153" s="123"/>
      <c r="Q153" s="164"/>
      <c r="R153" s="93"/>
      <c r="S153" s="123"/>
      <c r="T153" s="123"/>
      <c r="U153" s="123"/>
      <c r="V153" s="164"/>
      <c r="W153" s="93"/>
      <c r="X153" s="123"/>
      <c r="Y153" s="123"/>
      <c r="Z153" s="123"/>
      <c r="AA153" s="164"/>
      <c r="AB153" s="159"/>
    </row>
    <row r="154" spans="1:28" ht="15.75" customHeight="1" x14ac:dyDescent="0.25">
      <c r="A154" s="141"/>
      <c r="B154" s="137"/>
      <c r="C154" s="130"/>
      <c r="D154" s="115"/>
      <c r="E154" s="115"/>
      <c r="F154" s="115"/>
      <c r="G154" s="157"/>
      <c r="H154" s="94"/>
      <c r="I154" s="124"/>
      <c r="J154" s="124"/>
      <c r="K154" s="124"/>
      <c r="L154" s="165"/>
      <c r="M154" s="94"/>
      <c r="N154" s="124"/>
      <c r="O154" s="124"/>
      <c r="P154" s="124"/>
      <c r="Q154" s="165"/>
      <c r="R154" s="94"/>
      <c r="S154" s="124"/>
      <c r="T154" s="124"/>
      <c r="U154" s="124"/>
      <c r="V154" s="165"/>
      <c r="W154" s="94"/>
      <c r="X154" s="124"/>
      <c r="Y154" s="124"/>
      <c r="Z154" s="124"/>
      <c r="AA154" s="165"/>
      <c r="AB154" s="160"/>
    </row>
    <row r="155" spans="1:28" ht="15.75" customHeight="1" thickBot="1" x14ac:dyDescent="0.3">
      <c r="A155" s="142"/>
      <c r="B155" s="138"/>
      <c r="C155" s="131"/>
      <c r="D155" s="116"/>
      <c r="E155" s="116"/>
      <c r="F155" s="116"/>
      <c r="G155" s="158"/>
      <c r="H155" s="95"/>
      <c r="I155" s="125"/>
      <c r="J155" s="125"/>
      <c r="K155" s="125"/>
      <c r="L155" s="166"/>
      <c r="M155" s="95"/>
      <c r="N155" s="125"/>
      <c r="O155" s="125"/>
      <c r="P155" s="125"/>
      <c r="Q155" s="166"/>
      <c r="R155" s="95"/>
      <c r="S155" s="125"/>
      <c r="T155" s="125"/>
      <c r="U155" s="125"/>
      <c r="V155" s="166"/>
      <c r="W155" s="95"/>
      <c r="X155" s="125"/>
      <c r="Y155" s="125"/>
      <c r="Z155" s="125"/>
      <c r="AA155" s="166"/>
      <c r="AB155" s="161"/>
    </row>
    <row r="156" spans="1:28" ht="15" x14ac:dyDescent="0.25">
      <c r="A156" s="28"/>
    </row>
    <row r="157" spans="1:28" ht="15" x14ac:dyDescent="0.25">
      <c r="A157" s="28"/>
      <c r="B157" s="26" t="s">
        <v>35</v>
      </c>
      <c r="E157" s="21" t="s">
        <v>41</v>
      </c>
      <c r="I157" s="21" t="s">
        <v>42</v>
      </c>
      <c r="M157" s="21" t="s">
        <v>43</v>
      </c>
      <c r="Q157" s="21" t="s">
        <v>44</v>
      </c>
      <c r="U157" s="21" t="s">
        <v>45</v>
      </c>
      <c r="Y157" s="21" t="s">
        <v>46</v>
      </c>
    </row>
    <row r="158" spans="1:28" ht="15" x14ac:dyDescent="0.25">
      <c r="A158" s="28"/>
    </row>
    <row r="160" spans="1:28" ht="10.5" customHeight="1" x14ac:dyDescent="0.25"/>
    <row r="162" spans="1:32" ht="24.6" x14ac:dyDescent="0.25">
      <c r="A162" s="144" t="str">
        <f>'INSCRIPCION '!A$1</f>
        <v>TIRADA</v>
      </c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</row>
    <row r="163" spans="1:32" ht="19.5" customHeight="1" x14ac:dyDescent="0.4">
      <c r="A163" s="23"/>
      <c r="B163" s="23"/>
    </row>
    <row r="164" spans="1:32" ht="22.5" customHeight="1" x14ac:dyDescent="0.25">
      <c r="A164" s="132" t="str">
        <f>'INSCRIPCION '!A$2</f>
        <v>CAMPO DE TIRO LA ISLA</v>
      </c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</row>
    <row r="165" spans="1:32" ht="19.5" customHeight="1" x14ac:dyDescent="0.25">
      <c r="A165" s="143" t="str">
        <f>'INSCRIPCION '!A$3</f>
        <v>XXX PLATOS</v>
      </c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</row>
    <row r="166" spans="1:32" ht="22.8" x14ac:dyDescent="0.4">
      <c r="A166" s="24"/>
      <c r="B166" s="24"/>
    </row>
    <row r="167" spans="1:32" ht="17.399999999999999" x14ac:dyDescent="0.3">
      <c r="A167" s="25" t="s">
        <v>14</v>
      </c>
      <c r="B167" s="25"/>
      <c r="J167" s="9" t="s">
        <v>6</v>
      </c>
      <c r="K167" s="9"/>
      <c r="L167" s="9"/>
      <c r="M167" s="9"/>
      <c r="N167" s="9"/>
      <c r="O167" s="22">
        <v>4</v>
      </c>
      <c r="P167" s="22"/>
      <c r="Q167" s="8"/>
      <c r="R167" s="8"/>
      <c r="S167" s="7"/>
      <c r="T167" s="8"/>
      <c r="U167" s="8"/>
      <c r="V167" s="9" t="s">
        <v>7</v>
      </c>
      <c r="W167" s="9"/>
      <c r="X167" s="9"/>
      <c r="Y167" s="9"/>
      <c r="Z167" s="22">
        <v>3</v>
      </c>
      <c r="AA167" s="22"/>
    </row>
    <row r="168" spans="1:32" ht="13.8" thickBot="1" x14ac:dyDescent="0.3"/>
    <row r="169" spans="1:32" ht="15.6" thickBot="1" x14ac:dyDescent="0.3">
      <c r="A169" s="27" t="s">
        <v>0</v>
      </c>
      <c r="B169" s="27" t="s">
        <v>8</v>
      </c>
      <c r="C169" s="47">
        <v>1</v>
      </c>
      <c r="D169" s="48">
        <v>2</v>
      </c>
      <c r="E169" s="48">
        <v>3</v>
      </c>
      <c r="F169" s="48">
        <v>4</v>
      </c>
      <c r="G169" s="49">
        <v>5</v>
      </c>
      <c r="H169" s="47">
        <v>6</v>
      </c>
      <c r="I169" s="48">
        <v>7</v>
      </c>
      <c r="J169" s="48">
        <v>8</v>
      </c>
      <c r="K169" s="48">
        <v>9</v>
      </c>
      <c r="L169" s="49">
        <v>10</v>
      </c>
      <c r="M169" s="47">
        <v>11</v>
      </c>
      <c r="N169" s="48">
        <v>12</v>
      </c>
      <c r="O169" s="48">
        <v>13</v>
      </c>
      <c r="P169" s="48">
        <v>14</v>
      </c>
      <c r="Q169" s="49">
        <v>15</v>
      </c>
      <c r="R169" s="47">
        <v>16</v>
      </c>
      <c r="S169" s="48">
        <v>17</v>
      </c>
      <c r="T169" s="48">
        <v>18</v>
      </c>
      <c r="U169" s="48">
        <v>19</v>
      </c>
      <c r="V169" s="49">
        <v>20</v>
      </c>
      <c r="W169" s="47">
        <v>21</v>
      </c>
      <c r="X169" s="48">
        <v>22</v>
      </c>
      <c r="Y169" s="48">
        <v>23</v>
      </c>
      <c r="Z169" s="48">
        <v>24</v>
      </c>
      <c r="AA169" s="49">
        <v>25</v>
      </c>
      <c r="AB169" s="30" t="s">
        <v>1</v>
      </c>
    </row>
    <row r="170" spans="1:32" ht="15.75" customHeight="1" thickTop="1" x14ac:dyDescent="0.25">
      <c r="A170" s="150">
        <f>ESCUADRAS!B37</f>
        <v>31</v>
      </c>
      <c r="B170" s="153">
        <f>ESCUADRAS!C41</f>
        <v>0</v>
      </c>
      <c r="C170" s="129"/>
      <c r="D170" s="114"/>
      <c r="E170" s="114"/>
      <c r="F170" s="114"/>
      <c r="G170" s="156"/>
      <c r="H170" s="129"/>
      <c r="I170" s="114"/>
      <c r="J170" s="114"/>
      <c r="K170" s="114"/>
      <c r="L170" s="156"/>
      <c r="M170" s="129"/>
      <c r="N170" s="114"/>
      <c r="O170" s="114"/>
      <c r="P170" s="114"/>
      <c r="Q170" s="156"/>
      <c r="R170" s="129"/>
      <c r="S170" s="114"/>
      <c r="T170" s="114"/>
      <c r="U170" s="114"/>
      <c r="V170" s="156"/>
      <c r="W170" s="129"/>
      <c r="X170" s="114"/>
      <c r="Y170" s="114"/>
      <c r="Z170" s="114"/>
      <c r="AA170" s="156"/>
      <c r="AB170" s="159"/>
    </row>
    <row r="171" spans="1:32" ht="15.75" customHeight="1" x14ac:dyDescent="0.25">
      <c r="A171" s="151"/>
      <c r="B171" s="154"/>
      <c r="C171" s="130"/>
      <c r="D171" s="115"/>
      <c r="E171" s="115"/>
      <c r="F171" s="115"/>
      <c r="G171" s="157"/>
      <c r="H171" s="130"/>
      <c r="I171" s="115"/>
      <c r="J171" s="115"/>
      <c r="K171" s="115"/>
      <c r="L171" s="157"/>
      <c r="M171" s="130"/>
      <c r="N171" s="115"/>
      <c r="O171" s="115"/>
      <c r="P171" s="115"/>
      <c r="Q171" s="157"/>
      <c r="R171" s="130"/>
      <c r="S171" s="115"/>
      <c r="T171" s="115"/>
      <c r="U171" s="115"/>
      <c r="V171" s="157"/>
      <c r="W171" s="130"/>
      <c r="X171" s="115"/>
      <c r="Y171" s="115"/>
      <c r="Z171" s="115"/>
      <c r="AA171" s="157"/>
      <c r="AB171" s="160"/>
    </row>
    <row r="172" spans="1:32" ht="15.75" customHeight="1" thickBot="1" x14ac:dyDescent="0.3">
      <c r="A172" s="152"/>
      <c r="B172" s="155"/>
      <c r="C172" s="131"/>
      <c r="D172" s="116"/>
      <c r="E172" s="116"/>
      <c r="F172" s="116"/>
      <c r="G172" s="158"/>
      <c r="H172" s="131"/>
      <c r="I172" s="116"/>
      <c r="J172" s="116"/>
      <c r="K172" s="116"/>
      <c r="L172" s="158"/>
      <c r="M172" s="131"/>
      <c r="N172" s="116"/>
      <c r="O172" s="116"/>
      <c r="P172" s="116"/>
      <c r="Q172" s="158"/>
      <c r="R172" s="131"/>
      <c r="S172" s="116"/>
      <c r="T172" s="116"/>
      <c r="U172" s="116"/>
      <c r="V172" s="158"/>
      <c r="W172" s="131"/>
      <c r="X172" s="116"/>
      <c r="Y172" s="116"/>
      <c r="Z172" s="116"/>
      <c r="AA172" s="158"/>
      <c r="AB172" s="161"/>
    </row>
    <row r="173" spans="1:32" ht="15.75" customHeight="1" thickTop="1" x14ac:dyDescent="0.25">
      <c r="A173" s="162">
        <f>ESCUADRAS!B38</f>
        <v>32</v>
      </c>
      <c r="B173" s="136">
        <f>ESCUADRAS!C42</f>
        <v>0</v>
      </c>
      <c r="C173" s="93"/>
      <c r="D173" s="123"/>
      <c r="E173" s="123"/>
      <c r="F173" s="123"/>
      <c r="G173" s="164"/>
      <c r="H173" s="93"/>
      <c r="I173" s="123"/>
      <c r="J173" s="123"/>
      <c r="K173" s="123"/>
      <c r="L173" s="164"/>
      <c r="M173" s="93"/>
      <c r="N173" s="123"/>
      <c r="O173" s="123"/>
      <c r="P173" s="123"/>
      <c r="Q173" s="164"/>
      <c r="R173" s="93"/>
      <c r="S173" s="123"/>
      <c r="T173" s="123"/>
      <c r="U173" s="123"/>
      <c r="V173" s="164"/>
      <c r="W173" s="129"/>
      <c r="X173" s="114"/>
      <c r="Y173" s="114"/>
      <c r="Z173" s="114"/>
      <c r="AA173" s="156"/>
      <c r="AB173" s="159"/>
    </row>
    <row r="174" spans="1:32" ht="15.75" customHeight="1" x14ac:dyDescent="0.25">
      <c r="A174" s="141"/>
      <c r="B174" s="137"/>
      <c r="C174" s="94"/>
      <c r="D174" s="124"/>
      <c r="E174" s="124"/>
      <c r="F174" s="124"/>
      <c r="G174" s="165"/>
      <c r="H174" s="94"/>
      <c r="I174" s="124"/>
      <c r="J174" s="124"/>
      <c r="K174" s="124"/>
      <c r="L174" s="165"/>
      <c r="M174" s="94"/>
      <c r="N174" s="124"/>
      <c r="O174" s="124"/>
      <c r="P174" s="124"/>
      <c r="Q174" s="165"/>
      <c r="R174" s="94"/>
      <c r="S174" s="124"/>
      <c r="T174" s="124"/>
      <c r="U174" s="124"/>
      <c r="V174" s="165"/>
      <c r="W174" s="130"/>
      <c r="X174" s="115"/>
      <c r="Y174" s="115"/>
      <c r="Z174" s="115"/>
      <c r="AA174" s="157"/>
      <c r="AB174" s="160"/>
    </row>
    <row r="175" spans="1:32" ht="15.75" customHeight="1" thickBot="1" x14ac:dyDescent="0.3">
      <c r="A175" s="163"/>
      <c r="B175" s="138"/>
      <c r="C175" s="95"/>
      <c r="D175" s="125"/>
      <c r="E175" s="125"/>
      <c r="F175" s="125"/>
      <c r="G175" s="166"/>
      <c r="H175" s="95"/>
      <c r="I175" s="125"/>
      <c r="J175" s="125"/>
      <c r="K175" s="125"/>
      <c r="L175" s="166"/>
      <c r="M175" s="95"/>
      <c r="N175" s="125"/>
      <c r="O175" s="125"/>
      <c r="P175" s="125"/>
      <c r="Q175" s="166"/>
      <c r="R175" s="95"/>
      <c r="S175" s="125"/>
      <c r="T175" s="125"/>
      <c r="U175" s="125"/>
      <c r="V175" s="166"/>
      <c r="W175" s="131"/>
      <c r="X175" s="116"/>
      <c r="Y175" s="116"/>
      <c r="Z175" s="116"/>
      <c r="AA175" s="158"/>
      <c r="AB175" s="161"/>
    </row>
    <row r="176" spans="1:32" ht="15.75" customHeight="1" thickTop="1" x14ac:dyDescent="0.25">
      <c r="A176" s="150">
        <f>ESCUADRAS!B39</f>
        <v>33</v>
      </c>
      <c r="B176" s="153">
        <f>ESCUADRAS!C37</f>
        <v>0</v>
      </c>
      <c r="C176" s="93"/>
      <c r="D176" s="123"/>
      <c r="E176" s="123"/>
      <c r="F176" s="123"/>
      <c r="G176" s="164"/>
      <c r="H176" s="93"/>
      <c r="I176" s="123"/>
      <c r="J176" s="123"/>
      <c r="K176" s="123"/>
      <c r="L176" s="164"/>
      <c r="M176" s="93"/>
      <c r="N176" s="123"/>
      <c r="O176" s="123"/>
      <c r="P176" s="123"/>
      <c r="Q176" s="164"/>
      <c r="R176" s="129"/>
      <c r="S176" s="114"/>
      <c r="T176" s="114"/>
      <c r="U176" s="114"/>
      <c r="V176" s="156"/>
      <c r="W176" s="93"/>
      <c r="X176" s="123"/>
      <c r="Y176" s="123"/>
      <c r="Z176" s="123"/>
      <c r="AA176" s="164"/>
      <c r="AB176" s="159"/>
    </row>
    <row r="177" spans="1:28" ht="15.75" customHeight="1" x14ac:dyDescent="0.25">
      <c r="A177" s="151"/>
      <c r="B177" s="154"/>
      <c r="C177" s="94"/>
      <c r="D177" s="124"/>
      <c r="E177" s="124"/>
      <c r="F177" s="124"/>
      <c r="G177" s="165"/>
      <c r="H177" s="94"/>
      <c r="I177" s="124"/>
      <c r="J177" s="124"/>
      <c r="K177" s="124"/>
      <c r="L177" s="165"/>
      <c r="M177" s="94"/>
      <c r="N177" s="124"/>
      <c r="O177" s="124"/>
      <c r="P177" s="124"/>
      <c r="Q177" s="165"/>
      <c r="R177" s="130"/>
      <c r="S177" s="115"/>
      <c r="T177" s="115"/>
      <c r="U177" s="115"/>
      <c r="V177" s="157"/>
      <c r="W177" s="94"/>
      <c r="X177" s="124"/>
      <c r="Y177" s="124"/>
      <c r="Z177" s="124"/>
      <c r="AA177" s="165"/>
      <c r="AB177" s="160"/>
    </row>
    <row r="178" spans="1:28" ht="15.75" customHeight="1" thickBot="1" x14ac:dyDescent="0.3">
      <c r="A178" s="152"/>
      <c r="B178" s="155"/>
      <c r="C178" s="95"/>
      <c r="D178" s="125"/>
      <c r="E178" s="125"/>
      <c r="F178" s="125"/>
      <c r="G178" s="166"/>
      <c r="H178" s="95"/>
      <c r="I178" s="125"/>
      <c r="J178" s="125"/>
      <c r="K178" s="125"/>
      <c r="L178" s="166"/>
      <c r="M178" s="95"/>
      <c r="N178" s="125"/>
      <c r="O178" s="125"/>
      <c r="P178" s="125"/>
      <c r="Q178" s="166"/>
      <c r="R178" s="131"/>
      <c r="S178" s="116"/>
      <c r="T178" s="116"/>
      <c r="U178" s="116"/>
      <c r="V178" s="158"/>
      <c r="W178" s="95"/>
      <c r="X178" s="125"/>
      <c r="Y178" s="125"/>
      <c r="Z178" s="125"/>
      <c r="AA178" s="166"/>
      <c r="AB178" s="161"/>
    </row>
    <row r="179" spans="1:28" ht="15.75" customHeight="1" thickTop="1" x14ac:dyDescent="0.25">
      <c r="A179" s="162">
        <f>ESCUADRAS!B40</f>
        <v>34</v>
      </c>
      <c r="B179" s="136">
        <f>ESCUADRAS!C38</f>
        <v>0</v>
      </c>
      <c r="C179" s="93"/>
      <c r="D179" s="123"/>
      <c r="E179" s="123"/>
      <c r="F179" s="123"/>
      <c r="G179" s="164"/>
      <c r="H179" s="93"/>
      <c r="I179" s="123"/>
      <c r="J179" s="123"/>
      <c r="K179" s="123"/>
      <c r="L179" s="164"/>
      <c r="M179" s="129"/>
      <c r="N179" s="114"/>
      <c r="O179" s="114"/>
      <c r="P179" s="114"/>
      <c r="Q179" s="156"/>
      <c r="R179" s="93"/>
      <c r="S179" s="123"/>
      <c r="T179" s="123"/>
      <c r="U179" s="123"/>
      <c r="V179" s="164"/>
      <c r="W179" s="93"/>
      <c r="X179" s="123"/>
      <c r="Y179" s="123"/>
      <c r="Z179" s="123"/>
      <c r="AA179" s="164"/>
      <c r="AB179" s="159"/>
    </row>
    <row r="180" spans="1:28" ht="15.75" customHeight="1" x14ac:dyDescent="0.25">
      <c r="A180" s="141"/>
      <c r="B180" s="137"/>
      <c r="C180" s="94"/>
      <c r="D180" s="124"/>
      <c r="E180" s="124"/>
      <c r="F180" s="124"/>
      <c r="G180" s="165"/>
      <c r="H180" s="94"/>
      <c r="I180" s="124"/>
      <c r="J180" s="124"/>
      <c r="K180" s="124"/>
      <c r="L180" s="165"/>
      <c r="M180" s="130"/>
      <c r="N180" s="115"/>
      <c r="O180" s="115"/>
      <c r="P180" s="115"/>
      <c r="Q180" s="157"/>
      <c r="R180" s="94"/>
      <c r="S180" s="124"/>
      <c r="T180" s="124"/>
      <c r="U180" s="124"/>
      <c r="V180" s="165"/>
      <c r="W180" s="94"/>
      <c r="X180" s="124"/>
      <c r="Y180" s="124"/>
      <c r="Z180" s="124"/>
      <c r="AA180" s="165"/>
      <c r="AB180" s="160"/>
    </row>
    <row r="181" spans="1:28" ht="15.75" customHeight="1" thickBot="1" x14ac:dyDescent="0.3">
      <c r="A181" s="163"/>
      <c r="B181" s="138"/>
      <c r="C181" s="95"/>
      <c r="D181" s="125"/>
      <c r="E181" s="125"/>
      <c r="F181" s="125"/>
      <c r="G181" s="166"/>
      <c r="H181" s="95"/>
      <c r="I181" s="125"/>
      <c r="J181" s="125"/>
      <c r="K181" s="125"/>
      <c r="L181" s="166"/>
      <c r="M181" s="131"/>
      <c r="N181" s="116"/>
      <c r="O181" s="116"/>
      <c r="P181" s="116"/>
      <c r="Q181" s="158"/>
      <c r="R181" s="95"/>
      <c r="S181" s="125"/>
      <c r="T181" s="125"/>
      <c r="U181" s="125"/>
      <c r="V181" s="166"/>
      <c r="W181" s="95"/>
      <c r="X181" s="125"/>
      <c r="Y181" s="125"/>
      <c r="Z181" s="125"/>
      <c r="AA181" s="166"/>
      <c r="AB181" s="161"/>
    </row>
    <row r="182" spans="1:28" ht="15.75" customHeight="1" thickTop="1" x14ac:dyDescent="0.25">
      <c r="A182" s="150">
        <f>ESCUADRAS!B41</f>
        <v>35</v>
      </c>
      <c r="B182" s="153">
        <f>ESCUADRAS!C39</f>
        <v>0</v>
      </c>
      <c r="C182" s="93"/>
      <c r="D182" s="123"/>
      <c r="E182" s="123"/>
      <c r="F182" s="123"/>
      <c r="G182" s="164"/>
      <c r="H182" s="129"/>
      <c r="I182" s="114"/>
      <c r="J182" s="114"/>
      <c r="K182" s="114"/>
      <c r="L182" s="156"/>
      <c r="M182" s="93"/>
      <c r="N182" s="123"/>
      <c r="O182" s="123"/>
      <c r="P182" s="123"/>
      <c r="Q182" s="164"/>
      <c r="R182" s="93"/>
      <c r="S182" s="123"/>
      <c r="T182" s="123"/>
      <c r="U182" s="123"/>
      <c r="V182" s="164"/>
      <c r="W182" s="93"/>
      <c r="X182" s="123"/>
      <c r="Y182" s="123"/>
      <c r="Z182" s="123"/>
      <c r="AA182" s="164"/>
      <c r="AB182" s="159"/>
    </row>
    <row r="183" spans="1:28" ht="15.75" customHeight="1" x14ac:dyDescent="0.25">
      <c r="A183" s="151"/>
      <c r="B183" s="154"/>
      <c r="C183" s="94"/>
      <c r="D183" s="124"/>
      <c r="E183" s="124"/>
      <c r="F183" s="124"/>
      <c r="G183" s="165"/>
      <c r="H183" s="130"/>
      <c r="I183" s="115"/>
      <c r="J183" s="115"/>
      <c r="K183" s="115"/>
      <c r="L183" s="157"/>
      <c r="M183" s="94"/>
      <c r="N183" s="124"/>
      <c r="O183" s="124"/>
      <c r="P183" s="124"/>
      <c r="Q183" s="165"/>
      <c r="R183" s="94"/>
      <c r="S183" s="124"/>
      <c r="T183" s="124"/>
      <c r="U183" s="124"/>
      <c r="V183" s="165"/>
      <c r="W183" s="94"/>
      <c r="X183" s="124"/>
      <c r="Y183" s="124"/>
      <c r="Z183" s="124"/>
      <c r="AA183" s="165"/>
      <c r="AB183" s="160"/>
    </row>
    <row r="184" spans="1:28" ht="15.75" customHeight="1" thickBot="1" x14ac:dyDescent="0.3">
      <c r="A184" s="152"/>
      <c r="B184" s="155"/>
      <c r="C184" s="95"/>
      <c r="D184" s="125"/>
      <c r="E184" s="125"/>
      <c r="F184" s="125"/>
      <c r="G184" s="166"/>
      <c r="H184" s="131"/>
      <c r="I184" s="116"/>
      <c r="J184" s="116"/>
      <c r="K184" s="116"/>
      <c r="L184" s="158"/>
      <c r="M184" s="95"/>
      <c r="N184" s="125"/>
      <c r="O184" s="125"/>
      <c r="P184" s="125"/>
      <c r="Q184" s="166"/>
      <c r="R184" s="95"/>
      <c r="S184" s="125"/>
      <c r="T184" s="125"/>
      <c r="U184" s="125"/>
      <c r="V184" s="166"/>
      <c r="W184" s="95"/>
      <c r="X184" s="125"/>
      <c r="Y184" s="125"/>
      <c r="Z184" s="125"/>
      <c r="AA184" s="166"/>
      <c r="AB184" s="161"/>
    </row>
    <row r="185" spans="1:28" ht="15.75" customHeight="1" thickTop="1" x14ac:dyDescent="0.25">
      <c r="A185" s="162">
        <f>ESCUADRAS!B42</f>
        <v>36</v>
      </c>
      <c r="B185" s="136">
        <f>ESCUADRAS!C40</f>
        <v>0</v>
      </c>
      <c r="C185" s="129"/>
      <c r="D185" s="114"/>
      <c r="E185" s="114"/>
      <c r="F185" s="114"/>
      <c r="G185" s="156"/>
      <c r="H185" s="93"/>
      <c r="I185" s="123"/>
      <c r="J185" s="123"/>
      <c r="K185" s="123"/>
      <c r="L185" s="164"/>
      <c r="M185" s="93"/>
      <c r="N185" s="123"/>
      <c r="O185" s="123"/>
      <c r="P185" s="123"/>
      <c r="Q185" s="164"/>
      <c r="R185" s="93"/>
      <c r="S185" s="123"/>
      <c r="T185" s="123"/>
      <c r="U185" s="123"/>
      <c r="V185" s="164"/>
      <c r="W185" s="93"/>
      <c r="X185" s="123"/>
      <c r="Y185" s="123"/>
      <c r="Z185" s="123"/>
      <c r="AA185" s="164"/>
      <c r="AB185" s="159"/>
    </row>
    <row r="186" spans="1:28" ht="15.75" customHeight="1" x14ac:dyDescent="0.25">
      <c r="A186" s="141"/>
      <c r="B186" s="137"/>
      <c r="C186" s="130"/>
      <c r="D186" s="115"/>
      <c r="E186" s="115"/>
      <c r="F186" s="115"/>
      <c r="G186" s="157"/>
      <c r="H186" s="94"/>
      <c r="I186" s="124"/>
      <c r="J186" s="124"/>
      <c r="K186" s="124"/>
      <c r="L186" s="165"/>
      <c r="M186" s="94"/>
      <c r="N186" s="124"/>
      <c r="O186" s="124"/>
      <c r="P186" s="124"/>
      <c r="Q186" s="165"/>
      <c r="R186" s="94"/>
      <c r="S186" s="124"/>
      <c r="T186" s="124"/>
      <c r="U186" s="124"/>
      <c r="V186" s="165"/>
      <c r="W186" s="94"/>
      <c r="X186" s="124"/>
      <c r="Y186" s="124"/>
      <c r="Z186" s="124"/>
      <c r="AA186" s="165"/>
      <c r="AB186" s="160"/>
    </row>
    <row r="187" spans="1:28" ht="15.75" customHeight="1" thickBot="1" x14ac:dyDescent="0.3">
      <c r="A187" s="142"/>
      <c r="B187" s="138"/>
      <c r="C187" s="131"/>
      <c r="D187" s="116"/>
      <c r="E187" s="116"/>
      <c r="F187" s="116"/>
      <c r="G187" s="158"/>
      <c r="H187" s="95"/>
      <c r="I187" s="125"/>
      <c r="J187" s="125"/>
      <c r="K187" s="125"/>
      <c r="L187" s="166"/>
      <c r="M187" s="95"/>
      <c r="N187" s="125"/>
      <c r="O187" s="125"/>
      <c r="P187" s="125"/>
      <c r="Q187" s="166"/>
      <c r="R187" s="95"/>
      <c r="S187" s="125"/>
      <c r="T187" s="125"/>
      <c r="U187" s="125"/>
      <c r="V187" s="166"/>
      <c r="W187" s="95"/>
      <c r="X187" s="125"/>
      <c r="Y187" s="125"/>
      <c r="Z187" s="125"/>
      <c r="AA187" s="166"/>
      <c r="AB187" s="161"/>
    </row>
    <row r="188" spans="1:28" ht="15" x14ac:dyDescent="0.25">
      <c r="A188" s="28"/>
    </row>
    <row r="189" spans="1:28" ht="15" x14ac:dyDescent="0.25">
      <c r="A189" s="28"/>
      <c r="B189" s="26" t="s">
        <v>35</v>
      </c>
      <c r="E189" s="21" t="s">
        <v>41</v>
      </c>
      <c r="I189" s="21" t="s">
        <v>42</v>
      </c>
      <c r="M189" s="21" t="s">
        <v>43</v>
      </c>
      <c r="Q189" s="21" t="s">
        <v>44</v>
      </c>
      <c r="U189" s="21" t="s">
        <v>45</v>
      </c>
      <c r="Y189" s="21" t="s">
        <v>46</v>
      </c>
    </row>
    <row r="190" spans="1:28" ht="15" x14ac:dyDescent="0.25">
      <c r="A190" s="28"/>
    </row>
    <row r="194" spans="1:32" ht="24.6" x14ac:dyDescent="0.25">
      <c r="A194" s="144" t="str">
        <f>'INSCRIPCION '!A$1</f>
        <v>TIRADA</v>
      </c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</row>
    <row r="195" spans="1:32" ht="19.5" customHeight="1" x14ac:dyDescent="0.4">
      <c r="A195" s="23"/>
      <c r="B195" s="23"/>
    </row>
    <row r="196" spans="1:32" ht="22.5" customHeight="1" x14ac:dyDescent="0.25">
      <c r="A196" s="132" t="str">
        <f>'INSCRIPCION '!A$2</f>
        <v>CAMPO DE TIRO LA ISLA</v>
      </c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</row>
    <row r="197" spans="1:32" ht="19.5" customHeight="1" x14ac:dyDescent="0.25">
      <c r="A197" s="143" t="str">
        <f>'INSCRIPCION '!A$3</f>
        <v>XXX PLATOS</v>
      </c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</row>
    <row r="198" spans="1:32" ht="22.8" x14ac:dyDescent="0.4">
      <c r="A198" s="24"/>
      <c r="B198" s="24"/>
    </row>
    <row r="199" spans="1:32" ht="17.399999999999999" x14ac:dyDescent="0.3">
      <c r="A199" s="25" t="s">
        <v>15</v>
      </c>
      <c r="B199" s="25"/>
      <c r="J199" s="9" t="s">
        <v>6</v>
      </c>
      <c r="K199" s="9"/>
      <c r="L199" s="9"/>
      <c r="M199" s="9"/>
      <c r="N199" s="9"/>
      <c r="O199" s="22">
        <v>1</v>
      </c>
      <c r="P199" s="22"/>
      <c r="Q199" s="8"/>
      <c r="R199" s="8"/>
      <c r="S199" s="7"/>
      <c r="T199" s="8"/>
      <c r="U199" s="8"/>
      <c r="V199" s="9" t="s">
        <v>7</v>
      </c>
      <c r="W199" s="9"/>
      <c r="X199" s="9"/>
      <c r="Y199" s="9"/>
      <c r="Z199" s="22">
        <v>3</v>
      </c>
      <c r="AA199" s="22"/>
    </row>
    <row r="200" spans="1:32" ht="13.8" thickBot="1" x14ac:dyDescent="0.3"/>
    <row r="201" spans="1:32" ht="15.6" thickBot="1" x14ac:dyDescent="0.3">
      <c r="A201" s="27" t="s">
        <v>0</v>
      </c>
      <c r="B201" s="27" t="s">
        <v>8</v>
      </c>
      <c r="C201" s="47">
        <v>1</v>
      </c>
      <c r="D201" s="48">
        <v>2</v>
      </c>
      <c r="E201" s="48">
        <v>3</v>
      </c>
      <c r="F201" s="48">
        <v>4</v>
      </c>
      <c r="G201" s="49">
        <v>5</v>
      </c>
      <c r="H201" s="47">
        <v>6</v>
      </c>
      <c r="I201" s="48">
        <v>7</v>
      </c>
      <c r="J201" s="48">
        <v>8</v>
      </c>
      <c r="K201" s="48">
        <v>9</v>
      </c>
      <c r="L201" s="49">
        <v>10</v>
      </c>
      <c r="M201" s="47">
        <v>11</v>
      </c>
      <c r="N201" s="48">
        <v>12</v>
      </c>
      <c r="O201" s="48">
        <v>13</v>
      </c>
      <c r="P201" s="48">
        <v>14</v>
      </c>
      <c r="Q201" s="49">
        <v>15</v>
      </c>
      <c r="R201" s="47">
        <v>16</v>
      </c>
      <c r="S201" s="48">
        <v>17</v>
      </c>
      <c r="T201" s="48">
        <v>18</v>
      </c>
      <c r="U201" s="48">
        <v>19</v>
      </c>
      <c r="V201" s="49">
        <v>20</v>
      </c>
      <c r="W201" s="47">
        <v>21</v>
      </c>
      <c r="X201" s="48">
        <v>22</v>
      </c>
      <c r="Y201" s="48">
        <v>23</v>
      </c>
      <c r="Z201" s="48">
        <v>24</v>
      </c>
      <c r="AA201" s="49">
        <v>25</v>
      </c>
      <c r="AB201" s="30" t="s">
        <v>1</v>
      </c>
    </row>
    <row r="202" spans="1:32" ht="15.75" customHeight="1" thickTop="1" x14ac:dyDescent="0.25">
      <c r="A202" s="150">
        <f>ESCUADRAS!B43</f>
        <v>37</v>
      </c>
      <c r="B202" s="153">
        <f>ESCUADRAS!C47</f>
        <v>0</v>
      </c>
      <c r="C202" s="129"/>
      <c r="D202" s="114"/>
      <c r="E202" s="114"/>
      <c r="F202" s="114"/>
      <c r="G202" s="156"/>
      <c r="H202" s="129"/>
      <c r="I202" s="114"/>
      <c r="J202" s="114"/>
      <c r="K202" s="114"/>
      <c r="L202" s="156"/>
      <c r="M202" s="129"/>
      <c r="N202" s="114"/>
      <c r="O202" s="114"/>
      <c r="P202" s="114"/>
      <c r="Q202" s="156"/>
      <c r="R202" s="129"/>
      <c r="S202" s="114"/>
      <c r="T202" s="114"/>
      <c r="U202" s="114"/>
      <c r="V202" s="156"/>
      <c r="W202" s="129"/>
      <c r="X202" s="114"/>
      <c r="Y202" s="114"/>
      <c r="Z202" s="114"/>
      <c r="AA202" s="156"/>
      <c r="AB202" s="159"/>
    </row>
    <row r="203" spans="1:32" ht="15.75" customHeight="1" x14ac:dyDescent="0.25">
      <c r="A203" s="151"/>
      <c r="B203" s="154"/>
      <c r="C203" s="130"/>
      <c r="D203" s="115"/>
      <c r="E203" s="115"/>
      <c r="F203" s="115"/>
      <c r="G203" s="157"/>
      <c r="H203" s="130"/>
      <c r="I203" s="115"/>
      <c r="J203" s="115"/>
      <c r="K203" s="115"/>
      <c r="L203" s="157"/>
      <c r="M203" s="130"/>
      <c r="N203" s="115"/>
      <c r="O203" s="115"/>
      <c r="P203" s="115"/>
      <c r="Q203" s="157"/>
      <c r="R203" s="130"/>
      <c r="S203" s="115"/>
      <c r="T203" s="115"/>
      <c r="U203" s="115"/>
      <c r="V203" s="157"/>
      <c r="W203" s="130"/>
      <c r="X203" s="115"/>
      <c r="Y203" s="115"/>
      <c r="Z203" s="115"/>
      <c r="AA203" s="157"/>
      <c r="AB203" s="160"/>
    </row>
    <row r="204" spans="1:32" ht="15.75" customHeight="1" thickBot="1" x14ac:dyDescent="0.3">
      <c r="A204" s="152"/>
      <c r="B204" s="155"/>
      <c r="C204" s="131"/>
      <c r="D204" s="116"/>
      <c r="E204" s="116"/>
      <c r="F204" s="116"/>
      <c r="G204" s="158"/>
      <c r="H204" s="131"/>
      <c r="I204" s="116"/>
      <c r="J204" s="116"/>
      <c r="K204" s="116"/>
      <c r="L204" s="158"/>
      <c r="M204" s="131"/>
      <c r="N204" s="116"/>
      <c r="O204" s="116"/>
      <c r="P204" s="116"/>
      <c r="Q204" s="158"/>
      <c r="R204" s="131"/>
      <c r="S204" s="116"/>
      <c r="T204" s="116"/>
      <c r="U204" s="116"/>
      <c r="V204" s="158"/>
      <c r="W204" s="131"/>
      <c r="X204" s="116"/>
      <c r="Y204" s="116"/>
      <c r="Z204" s="116"/>
      <c r="AA204" s="158"/>
      <c r="AB204" s="161"/>
    </row>
    <row r="205" spans="1:32" ht="15.75" customHeight="1" thickTop="1" x14ac:dyDescent="0.25">
      <c r="A205" s="162">
        <f>ESCUADRAS!B44</f>
        <v>38</v>
      </c>
      <c r="B205" s="136">
        <f>ESCUADRAS!C48</f>
        <v>0</v>
      </c>
      <c r="C205" s="93"/>
      <c r="D205" s="123"/>
      <c r="E205" s="123"/>
      <c r="F205" s="123"/>
      <c r="G205" s="164"/>
      <c r="H205" s="93"/>
      <c r="I205" s="123"/>
      <c r="J205" s="123"/>
      <c r="K205" s="123"/>
      <c r="L205" s="164"/>
      <c r="M205" s="93"/>
      <c r="N205" s="123"/>
      <c r="O205" s="123"/>
      <c r="P205" s="123"/>
      <c r="Q205" s="164"/>
      <c r="R205" s="93"/>
      <c r="S205" s="123"/>
      <c r="T205" s="123"/>
      <c r="U205" s="123"/>
      <c r="V205" s="164"/>
      <c r="W205" s="129"/>
      <c r="X205" s="114"/>
      <c r="Y205" s="114"/>
      <c r="Z205" s="114"/>
      <c r="AA205" s="156"/>
      <c r="AB205" s="159"/>
    </row>
    <row r="206" spans="1:32" ht="15.75" customHeight="1" x14ac:dyDescent="0.25">
      <c r="A206" s="141"/>
      <c r="B206" s="137"/>
      <c r="C206" s="94"/>
      <c r="D206" s="124"/>
      <c r="E206" s="124"/>
      <c r="F206" s="124"/>
      <c r="G206" s="165"/>
      <c r="H206" s="94"/>
      <c r="I206" s="124"/>
      <c r="J206" s="124"/>
      <c r="K206" s="124"/>
      <c r="L206" s="165"/>
      <c r="M206" s="94"/>
      <c r="N206" s="124"/>
      <c r="O206" s="124"/>
      <c r="P206" s="124"/>
      <c r="Q206" s="165"/>
      <c r="R206" s="94"/>
      <c r="S206" s="124"/>
      <c r="T206" s="124"/>
      <c r="U206" s="124"/>
      <c r="V206" s="165"/>
      <c r="W206" s="130"/>
      <c r="X206" s="115"/>
      <c r="Y206" s="115"/>
      <c r="Z206" s="115"/>
      <c r="AA206" s="157"/>
      <c r="AB206" s="160"/>
    </row>
    <row r="207" spans="1:32" ht="15.75" customHeight="1" thickBot="1" x14ac:dyDescent="0.3">
      <c r="A207" s="163"/>
      <c r="B207" s="138"/>
      <c r="C207" s="95"/>
      <c r="D207" s="125"/>
      <c r="E207" s="125"/>
      <c r="F207" s="125"/>
      <c r="G207" s="166"/>
      <c r="H207" s="95"/>
      <c r="I207" s="125"/>
      <c r="J207" s="125"/>
      <c r="K207" s="125"/>
      <c r="L207" s="166"/>
      <c r="M207" s="95"/>
      <c r="N207" s="125"/>
      <c r="O207" s="125"/>
      <c r="P207" s="125"/>
      <c r="Q207" s="166"/>
      <c r="R207" s="95"/>
      <c r="S207" s="125"/>
      <c r="T207" s="125"/>
      <c r="U207" s="125"/>
      <c r="V207" s="166"/>
      <c r="W207" s="131"/>
      <c r="X207" s="116"/>
      <c r="Y207" s="116"/>
      <c r="Z207" s="116"/>
      <c r="AA207" s="158"/>
      <c r="AB207" s="161"/>
    </row>
    <row r="208" spans="1:32" ht="15.75" customHeight="1" thickTop="1" x14ac:dyDescent="0.25">
      <c r="A208" s="150">
        <f>ESCUADRAS!B45</f>
        <v>39</v>
      </c>
      <c r="B208" s="153">
        <f>ESCUADRAS!C43</f>
        <v>0</v>
      </c>
      <c r="C208" s="93"/>
      <c r="D208" s="123"/>
      <c r="E208" s="123"/>
      <c r="F208" s="123"/>
      <c r="G208" s="164"/>
      <c r="H208" s="93"/>
      <c r="I208" s="123"/>
      <c r="J208" s="123"/>
      <c r="K208" s="123"/>
      <c r="L208" s="164"/>
      <c r="M208" s="93"/>
      <c r="N208" s="123"/>
      <c r="O208" s="123"/>
      <c r="P208" s="123"/>
      <c r="Q208" s="164"/>
      <c r="R208" s="129"/>
      <c r="S208" s="114"/>
      <c r="T208" s="114"/>
      <c r="U208" s="114"/>
      <c r="V208" s="156"/>
      <c r="W208" s="93"/>
      <c r="X208" s="123"/>
      <c r="Y208" s="123"/>
      <c r="Z208" s="123"/>
      <c r="AA208" s="164"/>
      <c r="AB208" s="159"/>
    </row>
    <row r="209" spans="1:28" ht="15.75" customHeight="1" x14ac:dyDescent="0.25">
      <c r="A209" s="151"/>
      <c r="B209" s="154"/>
      <c r="C209" s="94"/>
      <c r="D209" s="124"/>
      <c r="E209" s="124"/>
      <c r="F209" s="124"/>
      <c r="G209" s="165"/>
      <c r="H209" s="94"/>
      <c r="I209" s="124"/>
      <c r="J209" s="124"/>
      <c r="K209" s="124"/>
      <c r="L209" s="165"/>
      <c r="M209" s="94"/>
      <c r="N209" s="124"/>
      <c r="O209" s="124"/>
      <c r="P209" s="124"/>
      <c r="Q209" s="165"/>
      <c r="R209" s="130"/>
      <c r="S209" s="115"/>
      <c r="T209" s="115"/>
      <c r="U209" s="115"/>
      <c r="V209" s="157"/>
      <c r="W209" s="94"/>
      <c r="X209" s="124"/>
      <c r="Y209" s="124"/>
      <c r="Z209" s="124"/>
      <c r="AA209" s="165"/>
      <c r="AB209" s="160"/>
    </row>
    <row r="210" spans="1:28" ht="15.75" customHeight="1" thickBot="1" x14ac:dyDescent="0.3">
      <c r="A210" s="152"/>
      <c r="B210" s="155"/>
      <c r="C210" s="95"/>
      <c r="D210" s="125"/>
      <c r="E210" s="125"/>
      <c r="F210" s="125"/>
      <c r="G210" s="166"/>
      <c r="H210" s="95"/>
      <c r="I210" s="125"/>
      <c r="J210" s="125"/>
      <c r="K210" s="125"/>
      <c r="L210" s="166"/>
      <c r="M210" s="95"/>
      <c r="N210" s="125"/>
      <c r="O210" s="125"/>
      <c r="P210" s="125"/>
      <c r="Q210" s="166"/>
      <c r="R210" s="131"/>
      <c r="S210" s="116"/>
      <c r="T210" s="116"/>
      <c r="U210" s="116"/>
      <c r="V210" s="158"/>
      <c r="W210" s="95"/>
      <c r="X210" s="125"/>
      <c r="Y210" s="125"/>
      <c r="Z210" s="125"/>
      <c r="AA210" s="166"/>
      <c r="AB210" s="161"/>
    </row>
    <row r="211" spans="1:28" ht="15.75" customHeight="1" thickTop="1" x14ac:dyDescent="0.25">
      <c r="A211" s="162">
        <f>ESCUADRAS!B46</f>
        <v>40</v>
      </c>
      <c r="B211" s="136">
        <f>ESCUADRAS!C44</f>
        <v>0</v>
      </c>
      <c r="C211" s="93"/>
      <c r="D211" s="123"/>
      <c r="E211" s="123"/>
      <c r="F211" s="123"/>
      <c r="G211" s="164"/>
      <c r="H211" s="93"/>
      <c r="I211" s="123"/>
      <c r="J211" s="123"/>
      <c r="K211" s="123"/>
      <c r="L211" s="164"/>
      <c r="M211" s="129"/>
      <c r="N211" s="114"/>
      <c r="O211" s="114"/>
      <c r="P211" s="114"/>
      <c r="Q211" s="156"/>
      <c r="R211" s="93"/>
      <c r="S211" s="123"/>
      <c r="T211" s="123"/>
      <c r="U211" s="123"/>
      <c r="V211" s="164"/>
      <c r="W211" s="93"/>
      <c r="X211" s="123"/>
      <c r="Y211" s="123"/>
      <c r="Z211" s="123"/>
      <c r="AA211" s="164"/>
      <c r="AB211" s="159"/>
    </row>
    <row r="212" spans="1:28" ht="15.75" customHeight="1" x14ac:dyDescent="0.25">
      <c r="A212" s="141"/>
      <c r="B212" s="137"/>
      <c r="C212" s="94"/>
      <c r="D212" s="124"/>
      <c r="E212" s="124"/>
      <c r="F212" s="124"/>
      <c r="G212" s="165"/>
      <c r="H212" s="94"/>
      <c r="I212" s="124"/>
      <c r="J212" s="124"/>
      <c r="K212" s="124"/>
      <c r="L212" s="165"/>
      <c r="M212" s="130"/>
      <c r="N212" s="115"/>
      <c r="O212" s="115"/>
      <c r="P212" s="115"/>
      <c r="Q212" s="157"/>
      <c r="R212" s="94"/>
      <c r="S212" s="124"/>
      <c r="T212" s="124"/>
      <c r="U212" s="124"/>
      <c r="V212" s="165"/>
      <c r="W212" s="94"/>
      <c r="X212" s="124"/>
      <c r="Y212" s="124"/>
      <c r="Z212" s="124"/>
      <c r="AA212" s="165"/>
      <c r="AB212" s="160"/>
    </row>
    <row r="213" spans="1:28" ht="15.75" customHeight="1" thickBot="1" x14ac:dyDescent="0.3">
      <c r="A213" s="163"/>
      <c r="B213" s="138"/>
      <c r="C213" s="95"/>
      <c r="D213" s="125"/>
      <c r="E213" s="125"/>
      <c r="F213" s="125"/>
      <c r="G213" s="166"/>
      <c r="H213" s="95"/>
      <c r="I213" s="125"/>
      <c r="J213" s="125"/>
      <c r="K213" s="125"/>
      <c r="L213" s="166"/>
      <c r="M213" s="131"/>
      <c r="N213" s="116"/>
      <c r="O213" s="116"/>
      <c r="P213" s="116"/>
      <c r="Q213" s="158"/>
      <c r="R213" s="95"/>
      <c r="S213" s="125"/>
      <c r="T213" s="125"/>
      <c r="U213" s="125"/>
      <c r="V213" s="166"/>
      <c r="W213" s="95"/>
      <c r="X213" s="125"/>
      <c r="Y213" s="125"/>
      <c r="Z213" s="125"/>
      <c r="AA213" s="166"/>
      <c r="AB213" s="161"/>
    </row>
    <row r="214" spans="1:28" ht="15.75" customHeight="1" thickTop="1" x14ac:dyDescent="0.25">
      <c r="A214" s="150">
        <f>ESCUADRAS!B47</f>
        <v>41</v>
      </c>
      <c r="B214" s="153">
        <f>ESCUADRAS!C45</f>
        <v>0</v>
      </c>
      <c r="C214" s="93"/>
      <c r="D214" s="123"/>
      <c r="E214" s="123"/>
      <c r="F214" s="123"/>
      <c r="G214" s="164"/>
      <c r="H214" s="129"/>
      <c r="I214" s="114"/>
      <c r="J214" s="114"/>
      <c r="K214" s="114"/>
      <c r="L214" s="156"/>
      <c r="M214" s="93"/>
      <c r="N214" s="123"/>
      <c r="O214" s="123"/>
      <c r="P214" s="123"/>
      <c r="Q214" s="164"/>
      <c r="R214" s="93"/>
      <c r="S214" s="123"/>
      <c r="T214" s="123"/>
      <c r="U214" s="123"/>
      <c r="V214" s="164"/>
      <c r="W214" s="93"/>
      <c r="X214" s="123"/>
      <c r="Y214" s="123"/>
      <c r="Z214" s="123"/>
      <c r="AA214" s="164"/>
      <c r="AB214" s="159"/>
    </row>
    <row r="215" spans="1:28" ht="15.75" customHeight="1" x14ac:dyDescent="0.25">
      <c r="A215" s="151"/>
      <c r="B215" s="154"/>
      <c r="C215" s="94"/>
      <c r="D215" s="124"/>
      <c r="E215" s="124"/>
      <c r="F215" s="124"/>
      <c r="G215" s="165"/>
      <c r="H215" s="130"/>
      <c r="I215" s="115"/>
      <c r="J215" s="115"/>
      <c r="K215" s="115"/>
      <c r="L215" s="157"/>
      <c r="M215" s="94"/>
      <c r="N215" s="124"/>
      <c r="O215" s="124"/>
      <c r="P215" s="124"/>
      <c r="Q215" s="165"/>
      <c r="R215" s="94"/>
      <c r="S215" s="124"/>
      <c r="T215" s="124"/>
      <c r="U215" s="124"/>
      <c r="V215" s="165"/>
      <c r="W215" s="94"/>
      <c r="X215" s="124"/>
      <c r="Y215" s="124"/>
      <c r="Z215" s="124"/>
      <c r="AA215" s="165"/>
      <c r="AB215" s="160"/>
    </row>
    <row r="216" spans="1:28" ht="15.75" customHeight="1" thickBot="1" x14ac:dyDescent="0.3">
      <c r="A216" s="152"/>
      <c r="B216" s="155"/>
      <c r="C216" s="95"/>
      <c r="D216" s="125"/>
      <c r="E216" s="125"/>
      <c r="F216" s="125"/>
      <c r="G216" s="166"/>
      <c r="H216" s="131"/>
      <c r="I216" s="116"/>
      <c r="J216" s="116"/>
      <c r="K216" s="116"/>
      <c r="L216" s="158"/>
      <c r="M216" s="95"/>
      <c r="N216" s="125"/>
      <c r="O216" s="125"/>
      <c r="P216" s="125"/>
      <c r="Q216" s="166"/>
      <c r="R216" s="95"/>
      <c r="S216" s="125"/>
      <c r="T216" s="125"/>
      <c r="U216" s="125"/>
      <c r="V216" s="166"/>
      <c r="W216" s="95"/>
      <c r="X216" s="125"/>
      <c r="Y216" s="125"/>
      <c r="Z216" s="125"/>
      <c r="AA216" s="166"/>
      <c r="AB216" s="161"/>
    </row>
    <row r="217" spans="1:28" ht="15.75" customHeight="1" thickTop="1" x14ac:dyDescent="0.25">
      <c r="A217" s="162">
        <f>ESCUADRAS!B48</f>
        <v>42</v>
      </c>
      <c r="B217" s="136">
        <f>ESCUADRAS!C46</f>
        <v>0</v>
      </c>
      <c r="C217" s="129"/>
      <c r="D217" s="114"/>
      <c r="E217" s="114"/>
      <c r="F217" s="114"/>
      <c r="G217" s="156"/>
      <c r="H217" s="93"/>
      <c r="I217" s="123"/>
      <c r="J217" s="123"/>
      <c r="K217" s="123"/>
      <c r="L217" s="164"/>
      <c r="M217" s="93"/>
      <c r="N217" s="123"/>
      <c r="O217" s="123"/>
      <c r="P217" s="123"/>
      <c r="Q217" s="164"/>
      <c r="R217" s="93"/>
      <c r="S217" s="123"/>
      <c r="T217" s="123"/>
      <c r="U217" s="123"/>
      <c r="V217" s="164"/>
      <c r="W217" s="93"/>
      <c r="X217" s="123"/>
      <c r="Y217" s="123"/>
      <c r="Z217" s="123"/>
      <c r="AA217" s="164"/>
      <c r="AB217" s="159"/>
    </row>
    <row r="218" spans="1:28" ht="15.75" customHeight="1" x14ac:dyDescent="0.25">
      <c r="A218" s="141"/>
      <c r="B218" s="137"/>
      <c r="C218" s="130"/>
      <c r="D218" s="115"/>
      <c r="E218" s="115"/>
      <c r="F218" s="115"/>
      <c r="G218" s="157"/>
      <c r="H218" s="94"/>
      <c r="I218" s="124"/>
      <c r="J218" s="124"/>
      <c r="K218" s="124"/>
      <c r="L218" s="165"/>
      <c r="M218" s="94"/>
      <c r="N218" s="124"/>
      <c r="O218" s="124"/>
      <c r="P218" s="124"/>
      <c r="Q218" s="165"/>
      <c r="R218" s="94"/>
      <c r="S218" s="124"/>
      <c r="T218" s="124"/>
      <c r="U218" s="124"/>
      <c r="V218" s="165"/>
      <c r="W218" s="94"/>
      <c r="X218" s="124"/>
      <c r="Y218" s="124"/>
      <c r="Z218" s="124"/>
      <c r="AA218" s="165"/>
      <c r="AB218" s="160"/>
    </row>
    <row r="219" spans="1:28" ht="15.75" customHeight="1" thickBot="1" x14ac:dyDescent="0.3">
      <c r="A219" s="142"/>
      <c r="B219" s="138"/>
      <c r="C219" s="131"/>
      <c r="D219" s="116"/>
      <c r="E219" s="116"/>
      <c r="F219" s="116"/>
      <c r="G219" s="158"/>
      <c r="H219" s="95"/>
      <c r="I219" s="125"/>
      <c r="J219" s="125"/>
      <c r="K219" s="125"/>
      <c r="L219" s="166"/>
      <c r="M219" s="95"/>
      <c r="N219" s="125"/>
      <c r="O219" s="125"/>
      <c r="P219" s="125"/>
      <c r="Q219" s="166"/>
      <c r="R219" s="95"/>
      <c r="S219" s="125"/>
      <c r="T219" s="125"/>
      <c r="U219" s="125"/>
      <c r="V219" s="166"/>
      <c r="W219" s="95"/>
      <c r="X219" s="125"/>
      <c r="Y219" s="125"/>
      <c r="Z219" s="125"/>
      <c r="AA219" s="166"/>
      <c r="AB219" s="161"/>
    </row>
    <row r="220" spans="1:28" ht="15" x14ac:dyDescent="0.25">
      <c r="A220" s="28"/>
    </row>
    <row r="221" spans="1:28" ht="15" x14ac:dyDescent="0.25">
      <c r="A221" s="28"/>
      <c r="B221" s="26" t="s">
        <v>35</v>
      </c>
      <c r="E221" s="21" t="s">
        <v>41</v>
      </c>
      <c r="I221" s="21" t="s">
        <v>42</v>
      </c>
      <c r="M221" s="21" t="s">
        <v>43</v>
      </c>
      <c r="Q221" s="21" t="s">
        <v>44</v>
      </c>
      <c r="U221" s="21" t="s">
        <v>45</v>
      </c>
      <c r="Y221" s="21" t="s">
        <v>46</v>
      </c>
    </row>
    <row r="222" spans="1:28" ht="15" x14ac:dyDescent="0.25">
      <c r="A222" s="28"/>
    </row>
    <row r="226" spans="1:32" ht="24.6" x14ac:dyDescent="0.25">
      <c r="A226" s="144" t="str">
        <f>'INSCRIPCION '!A$1</f>
        <v>TIRADA</v>
      </c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</row>
    <row r="227" spans="1:32" ht="19.5" customHeight="1" x14ac:dyDescent="0.4">
      <c r="A227" s="23"/>
      <c r="B227" s="23"/>
    </row>
    <row r="228" spans="1:32" ht="21.75" customHeight="1" x14ac:dyDescent="0.25">
      <c r="A228" s="132" t="str">
        <f>'INSCRIPCION '!A$2</f>
        <v>CAMPO DE TIRO LA ISLA</v>
      </c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</row>
    <row r="229" spans="1:32" ht="19.5" customHeight="1" x14ac:dyDescent="0.25">
      <c r="A229" s="143" t="str">
        <f>'INSCRIPCION '!A$3</f>
        <v>XXX PLATOS</v>
      </c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</row>
    <row r="230" spans="1:32" ht="22.8" x14ac:dyDescent="0.4">
      <c r="A230" s="24"/>
      <c r="B230" s="24"/>
    </row>
    <row r="231" spans="1:32" ht="17.399999999999999" x14ac:dyDescent="0.3">
      <c r="A231" s="25" t="s">
        <v>16</v>
      </c>
      <c r="B231" s="25"/>
      <c r="J231" s="9" t="s">
        <v>6</v>
      </c>
      <c r="K231" s="9"/>
      <c r="L231" s="9"/>
      <c r="M231" s="9"/>
      <c r="N231" s="9"/>
      <c r="O231" s="22">
        <v>2</v>
      </c>
      <c r="P231" s="22"/>
      <c r="Q231" s="8"/>
      <c r="R231" s="8"/>
      <c r="S231" s="7"/>
      <c r="T231" s="8"/>
      <c r="U231" s="8"/>
      <c r="V231" s="9" t="s">
        <v>7</v>
      </c>
      <c r="W231" s="9"/>
      <c r="X231" s="9"/>
      <c r="Y231" s="9"/>
      <c r="Z231" s="22">
        <v>3</v>
      </c>
      <c r="AA231" s="22"/>
    </row>
    <row r="232" spans="1:32" ht="13.8" thickBot="1" x14ac:dyDescent="0.3"/>
    <row r="233" spans="1:32" ht="15.6" thickBot="1" x14ac:dyDescent="0.3">
      <c r="A233" s="27" t="s">
        <v>0</v>
      </c>
      <c r="B233" s="27" t="s">
        <v>8</v>
      </c>
      <c r="C233" s="47">
        <v>1</v>
      </c>
      <c r="D233" s="48">
        <v>2</v>
      </c>
      <c r="E233" s="48">
        <v>3</v>
      </c>
      <c r="F233" s="48">
        <v>4</v>
      </c>
      <c r="G233" s="49">
        <v>5</v>
      </c>
      <c r="H233" s="47">
        <v>6</v>
      </c>
      <c r="I233" s="48">
        <v>7</v>
      </c>
      <c r="J233" s="48">
        <v>8</v>
      </c>
      <c r="K233" s="48">
        <v>9</v>
      </c>
      <c r="L233" s="49">
        <v>10</v>
      </c>
      <c r="M233" s="47">
        <v>11</v>
      </c>
      <c r="N233" s="48">
        <v>12</v>
      </c>
      <c r="O233" s="48">
        <v>13</v>
      </c>
      <c r="P233" s="48">
        <v>14</v>
      </c>
      <c r="Q233" s="49">
        <v>15</v>
      </c>
      <c r="R233" s="47">
        <v>16</v>
      </c>
      <c r="S233" s="48">
        <v>17</v>
      </c>
      <c r="T233" s="48">
        <v>18</v>
      </c>
      <c r="U233" s="48">
        <v>19</v>
      </c>
      <c r="V233" s="49">
        <v>20</v>
      </c>
      <c r="W233" s="47">
        <v>21</v>
      </c>
      <c r="X233" s="48">
        <v>22</v>
      </c>
      <c r="Y233" s="48">
        <v>23</v>
      </c>
      <c r="Z233" s="48">
        <v>24</v>
      </c>
      <c r="AA233" s="49">
        <v>25</v>
      </c>
      <c r="AB233" s="30" t="s">
        <v>1</v>
      </c>
    </row>
    <row r="234" spans="1:32" ht="15.75" customHeight="1" thickTop="1" x14ac:dyDescent="0.25">
      <c r="A234" s="150">
        <f>ESCUADRAS!B49</f>
        <v>43</v>
      </c>
      <c r="B234" s="153">
        <f>ESCUADRAS!C53</f>
        <v>0</v>
      </c>
      <c r="C234" s="129"/>
      <c r="D234" s="114"/>
      <c r="E234" s="114"/>
      <c r="F234" s="114"/>
      <c r="G234" s="156"/>
      <c r="H234" s="129"/>
      <c r="I234" s="114"/>
      <c r="J234" s="114"/>
      <c r="K234" s="114"/>
      <c r="L234" s="156"/>
      <c r="M234" s="129"/>
      <c r="N234" s="114"/>
      <c r="O234" s="114"/>
      <c r="P234" s="114"/>
      <c r="Q234" s="156"/>
      <c r="R234" s="129"/>
      <c r="S234" s="114"/>
      <c r="T234" s="114"/>
      <c r="U234" s="114"/>
      <c r="V234" s="156"/>
      <c r="W234" s="129"/>
      <c r="X234" s="114"/>
      <c r="Y234" s="114"/>
      <c r="Z234" s="114"/>
      <c r="AA234" s="156"/>
      <c r="AB234" s="159"/>
    </row>
    <row r="235" spans="1:32" ht="15.75" customHeight="1" x14ac:dyDescent="0.25">
      <c r="A235" s="151"/>
      <c r="B235" s="154"/>
      <c r="C235" s="130"/>
      <c r="D235" s="115"/>
      <c r="E235" s="115"/>
      <c r="F235" s="115"/>
      <c r="G235" s="157"/>
      <c r="H235" s="130"/>
      <c r="I235" s="115"/>
      <c r="J235" s="115"/>
      <c r="K235" s="115"/>
      <c r="L235" s="157"/>
      <c r="M235" s="130"/>
      <c r="N235" s="115"/>
      <c r="O235" s="115"/>
      <c r="P235" s="115"/>
      <c r="Q235" s="157"/>
      <c r="R235" s="130"/>
      <c r="S235" s="115"/>
      <c r="T235" s="115"/>
      <c r="U235" s="115"/>
      <c r="V235" s="157"/>
      <c r="W235" s="130"/>
      <c r="X235" s="115"/>
      <c r="Y235" s="115"/>
      <c r="Z235" s="115"/>
      <c r="AA235" s="157"/>
      <c r="AB235" s="160"/>
    </row>
    <row r="236" spans="1:32" ht="15.75" customHeight="1" thickBot="1" x14ac:dyDescent="0.3">
      <c r="A236" s="152"/>
      <c r="B236" s="155"/>
      <c r="C236" s="131"/>
      <c r="D236" s="116"/>
      <c r="E236" s="116"/>
      <c r="F236" s="116"/>
      <c r="G236" s="158"/>
      <c r="H236" s="131"/>
      <c r="I236" s="116"/>
      <c r="J236" s="116"/>
      <c r="K236" s="116"/>
      <c r="L236" s="158"/>
      <c r="M236" s="131"/>
      <c r="N236" s="116"/>
      <c r="O236" s="116"/>
      <c r="P236" s="116"/>
      <c r="Q236" s="158"/>
      <c r="R236" s="131"/>
      <c r="S236" s="116"/>
      <c r="T236" s="116"/>
      <c r="U236" s="116"/>
      <c r="V236" s="158"/>
      <c r="W236" s="131"/>
      <c r="X236" s="116"/>
      <c r="Y236" s="116"/>
      <c r="Z236" s="116"/>
      <c r="AA236" s="158"/>
      <c r="AB236" s="161"/>
    </row>
    <row r="237" spans="1:32" ht="15.75" customHeight="1" thickTop="1" x14ac:dyDescent="0.25">
      <c r="A237" s="162">
        <f>ESCUADRAS!B50</f>
        <v>44</v>
      </c>
      <c r="B237" s="136">
        <f>ESCUADRAS!C54</f>
        <v>0</v>
      </c>
      <c r="C237" s="93"/>
      <c r="D237" s="123"/>
      <c r="E237" s="123"/>
      <c r="F237" s="123"/>
      <c r="G237" s="164"/>
      <c r="H237" s="93"/>
      <c r="I237" s="123"/>
      <c r="J237" s="123"/>
      <c r="K237" s="123"/>
      <c r="L237" s="164"/>
      <c r="M237" s="93"/>
      <c r="N237" s="123"/>
      <c r="O237" s="123"/>
      <c r="P237" s="123"/>
      <c r="Q237" s="164"/>
      <c r="R237" s="93"/>
      <c r="S237" s="123"/>
      <c r="T237" s="123"/>
      <c r="U237" s="123"/>
      <c r="V237" s="164"/>
      <c r="W237" s="129"/>
      <c r="X237" s="114"/>
      <c r="Y237" s="114"/>
      <c r="Z237" s="114"/>
      <c r="AA237" s="156"/>
      <c r="AB237" s="159"/>
    </row>
    <row r="238" spans="1:32" ht="15.75" customHeight="1" x14ac:dyDescent="0.25">
      <c r="A238" s="141"/>
      <c r="B238" s="137"/>
      <c r="C238" s="94"/>
      <c r="D238" s="124"/>
      <c r="E238" s="124"/>
      <c r="F238" s="124"/>
      <c r="G238" s="165"/>
      <c r="H238" s="94"/>
      <c r="I238" s="124"/>
      <c r="J238" s="124"/>
      <c r="K238" s="124"/>
      <c r="L238" s="165"/>
      <c r="M238" s="94"/>
      <c r="N238" s="124"/>
      <c r="O238" s="124"/>
      <c r="P238" s="124"/>
      <c r="Q238" s="165"/>
      <c r="R238" s="94"/>
      <c r="S238" s="124"/>
      <c r="T238" s="124"/>
      <c r="U238" s="124"/>
      <c r="V238" s="165"/>
      <c r="W238" s="130"/>
      <c r="X238" s="115"/>
      <c r="Y238" s="115"/>
      <c r="Z238" s="115"/>
      <c r="AA238" s="157"/>
      <c r="AB238" s="160"/>
    </row>
    <row r="239" spans="1:32" ht="15.75" customHeight="1" thickBot="1" x14ac:dyDescent="0.3">
      <c r="A239" s="163"/>
      <c r="B239" s="138"/>
      <c r="C239" s="95"/>
      <c r="D239" s="125"/>
      <c r="E239" s="125"/>
      <c r="F239" s="125"/>
      <c r="G239" s="166"/>
      <c r="H239" s="95"/>
      <c r="I239" s="125"/>
      <c r="J239" s="125"/>
      <c r="K239" s="125"/>
      <c r="L239" s="166"/>
      <c r="M239" s="95"/>
      <c r="N239" s="125"/>
      <c r="O239" s="125"/>
      <c r="P239" s="125"/>
      <c r="Q239" s="166"/>
      <c r="R239" s="95"/>
      <c r="S239" s="125"/>
      <c r="T239" s="125"/>
      <c r="U239" s="125"/>
      <c r="V239" s="166"/>
      <c r="W239" s="131"/>
      <c r="X239" s="116"/>
      <c r="Y239" s="116"/>
      <c r="Z239" s="116"/>
      <c r="AA239" s="158"/>
      <c r="AB239" s="161"/>
    </row>
    <row r="240" spans="1:32" ht="15.75" customHeight="1" thickTop="1" x14ac:dyDescent="0.25">
      <c r="A240" s="150">
        <f>ESCUADRAS!B51</f>
        <v>45</v>
      </c>
      <c r="B240" s="153">
        <f>ESCUADRAS!C49</f>
        <v>0</v>
      </c>
      <c r="C240" s="93"/>
      <c r="D240" s="123"/>
      <c r="E240" s="123"/>
      <c r="F240" s="123"/>
      <c r="G240" s="164"/>
      <c r="H240" s="93"/>
      <c r="I240" s="123"/>
      <c r="J240" s="123"/>
      <c r="K240" s="123"/>
      <c r="L240" s="164"/>
      <c r="M240" s="93"/>
      <c r="N240" s="123"/>
      <c r="O240" s="123"/>
      <c r="P240" s="123"/>
      <c r="Q240" s="164"/>
      <c r="R240" s="129"/>
      <c r="S240" s="114"/>
      <c r="T240" s="114"/>
      <c r="U240" s="114"/>
      <c r="V240" s="156"/>
      <c r="W240" s="93"/>
      <c r="X240" s="123"/>
      <c r="Y240" s="123"/>
      <c r="Z240" s="123"/>
      <c r="AA240" s="164"/>
      <c r="AB240" s="159"/>
    </row>
    <row r="241" spans="1:28" ht="15.75" customHeight="1" x14ac:dyDescent="0.25">
      <c r="A241" s="151"/>
      <c r="B241" s="154"/>
      <c r="C241" s="94"/>
      <c r="D241" s="124"/>
      <c r="E241" s="124"/>
      <c r="F241" s="124"/>
      <c r="G241" s="165"/>
      <c r="H241" s="94"/>
      <c r="I241" s="124"/>
      <c r="J241" s="124"/>
      <c r="K241" s="124"/>
      <c r="L241" s="165"/>
      <c r="M241" s="94"/>
      <c r="N241" s="124"/>
      <c r="O241" s="124"/>
      <c r="P241" s="124"/>
      <c r="Q241" s="165"/>
      <c r="R241" s="130"/>
      <c r="S241" s="115"/>
      <c r="T241" s="115"/>
      <c r="U241" s="115"/>
      <c r="V241" s="157"/>
      <c r="W241" s="94"/>
      <c r="X241" s="124"/>
      <c r="Y241" s="124"/>
      <c r="Z241" s="124"/>
      <c r="AA241" s="165"/>
      <c r="AB241" s="160"/>
    </row>
    <row r="242" spans="1:28" ht="15.75" customHeight="1" thickBot="1" x14ac:dyDescent="0.3">
      <c r="A242" s="152"/>
      <c r="B242" s="155"/>
      <c r="C242" s="95"/>
      <c r="D242" s="125"/>
      <c r="E242" s="125"/>
      <c r="F242" s="125"/>
      <c r="G242" s="166"/>
      <c r="H242" s="95"/>
      <c r="I242" s="125"/>
      <c r="J242" s="125"/>
      <c r="K242" s="125"/>
      <c r="L242" s="166"/>
      <c r="M242" s="95"/>
      <c r="N242" s="125"/>
      <c r="O242" s="125"/>
      <c r="P242" s="125"/>
      <c r="Q242" s="166"/>
      <c r="R242" s="131"/>
      <c r="S242" s="116"/>
      <c r="T242" s="116"/>
      <c r="U242" s="116"/>
      <c r="V242" s="158"/>
      <c r="W242" s="95"/>
      <c r="X242" s="125"/>
      <c r="Y242" s="125"/>
      <c r="Z242" s="125"/>
      <c r="AA242" s="166"/>
      <c r="AB242" s="161"/>
    </row>
    <row r="243" spans="1:28" ht="15.75" customHeight="1" thickTop="1" x14ac:dyDescent="0.25">
      <c r="A243" s="162">
        <f>ESCUADRAS!B52</f>
        <v>46</v>
      </c>
      <c r="B243" s="136">
        <f>ESCUADRAS!C50</f>
        <v>0</v>
      </c>
      <c r="C243" s="93"/>
      <c r="D243" s="123"/>
      <c r="E243" s="123"/>
      <c r="F243" s="123"/>
      <c r="G243" s="164"/>
      <c r="H243" s="93"/>
      <c r="I243" s="123"/>
      <c r="J243" s="123"/>
      <c r="K243" s="123"/>
      <c r="L243" s="164"/>
      <c r="M243" s="129"/>
      <c r="N243" s="114"/>
      <c r="O243" s="114"/>
      <c r="P243" s="114"/>
      <c r="Q243" s="156"/>
      <c r="R243" s="93"/>
      <c r="S243" s="123"/>
      <c r="T243" s="123"/>
      <c r="U243" s="123"/>
      <c r="V243" s="164"/>
      <c r="W243" s="93"/>
      <c r="X243" s="123"/>
      <c r="Y243" s="123"/>
      <c r="Z243" s="123"/>
      <c r="AA243" s="164"/>
      <c r="AB243" s="159"/>
    </row>
    <row r="244" spans="1:28" ht="15.75" customHeight="1" x14ac:dyDescent="0.25">
      <c r="A244" s="141"/>
      <c r="B244" s="137"/>
      <c r="C244" s="94"/>
      <c r="D244" s="124"/>
      <c r="E244" s="124"/>
      <c r="F244" s="124"/>
      <c r="G244" s="165"/>
      <c r="H244" s="94"/>
      <c r="I244" s="124"/>
      <c r="J244" s="124"/>
      <c r="K244" s="124"/>
      <c r="L244" s="165"/>
      <c r="M244" s="130"/>
      <c r="N244" s="115"/>
      <c r="O244" s="115"/>
      <c r="P244" s="115"/>
      <c r="Q244" s="157"/>
      <c r="R244" s="94"/>
      <c r="S244" s="124"/>
      <c r="T244" s="124"/>
      <c r="U244" s="124"/>
      <c r="V244" s="165"/>
      <c r="W244" s="94"/>
      <c r="X244" s="124"/>
      <c r="Y244" s="124"/>
      <c r="Z244" s="124"/>
      <c r="AA244" s="165"/>
      <c r="AB244" s="160"/>
    </row>
    <row r="245" spans="1:28" ht="15.75" customHeight="1" thickBot="1" x14ac:dyDescent="0.3">
      <c r="A245" s="163"/>
      <c r="B245" s="138"/>
      <c r="C245" s="95"/>
      <c r="D245" s="125"/>
      <c r="E245" s="125"/>
      <c r="F245" s="125"/>
      <c r="G245" s="166"/>
      <c r="H245" s="95"/>
      <c r="I245" s="125"/>
      <c r="J245" s="125"/>
      <c r="K245" s="125"/>
      <c r="L245" s="166"/>
      <c r="M245" s="131"/>
      <c r="N245" s="116"/>
      <c r="O245" s="116"/>
      <c r="P245" s="116"/>
      <c r="Q245" s="158"/>
      <c r="R245" s="95"/>
      <c r="S245" s="125"/>
      <c r="T245" s="125"/>
      <c r="U245" s="125"/>
      <c r="V245" s="166"/>
      <c r="W245" s="95"/>
      <c r="X245" s="125"/>
      <c r="Y245" s="125"/>
      <c r="Z245" s="125"/>
      <c r="AA245" s="166"/>
      <c r="AB245" s="161"/>
    </row>
    <row r="246" spans="1:28" ht="15.75" customHeight="1" thickTop="1" x14ac:dyDescent="0.25">
      <c r="A246" s="150">
        <f>ESCUADRAS!B53</f>
        <v>47</v>
      </c>
      <c r="B246" s="153">
        <f>ESCUADRAS!C51</f>
        <v>0</v>
      </c>
      <c r="C246" s="93"/>
      <c r="D246" s="123"/>
      <c r="E246" s="123"/>
      <c r="F246" s="123"/>
      <c r="G246" s="164"/>
      <c r="H246" s="129"/>
      <c r="I246" s="114"/>
      <c r="J246" s="114"/>
      <c r="K246" s="114"/>
      <c r="L246" s="156"/>
      <c r="M246" s="93"/>
      <c r="N246" s="123"/>
      <c r="O246" s="123"/>
      <c r="P246" s="123"/>
      <c r="Q246" s="164"/>
      <c r="R246" s="93"/>
      <c r="S246" s="123"/>
      <c r="T246" s="123"/>
      <c r="U246" s="123"/>
      <c r="V246" s="164"/>
      <c r="W246" s="93"/>
      <c r="X246" s="123"/>
      <c r="Y246" s="123"/>
      <c r="Z246" s="123"/>
      <c r="AA246" s="164"/>
      <c r="AB246" s="159"/>
    </row>
    <row r="247" spans="1:28" ht="15.75" customHeight="1" x14ac:dyDescent="0.25">
      <c r="A247" s="151"/>
      <c r="B247" s="154"/>
      <c r="C247" s="94"/>
      <c r="D247" s="124"/>
      <c r="E247" s="124"/>
      <c r="F247" s="124"/>
      <c r="G247" s="165"/>
      <c r="H247" s="130"/>
      <c r="I247" s="115"/>
      <c r="J247" s="115"/>
      <c r="K247" s="115"/>
      <c r="L247" s="157"/>
      <c r="M247" s="94"/>
      <c r="N247" s="124"/>
      <c r="O247" s="124"/>
      <c r="P247" s="124"/>
      <c r="Q247" s="165"/>
      <c r="R247" s="94"/>
      <c r="S247" s="124"/>
      <c r="T247" s="124"/>
      <c r="U247" s="124"/>
      <c r="V247" s="165"/>
      <c r="W247" s="94"/>
      <c r="X247" s="124"/>
      <c r="Y247" s="124"/>
      <c r="Z247" s="124"/>
      <c r="AA247" s="165"/>
      <c r="AB247" s="160"/>
    </row>
    <row r="248" spans="1:28" ht="15.75" customHeight="1" thickBot="1" x14ac:dyDescent="0.3">
      <c r="A248" s="152"/>
      <c r="B248" s="155"/>
      <c r="C248" s="95"/>
      <c r="D248" s="125"/>
      <c r="E248" s="125"/>
      <c r="F248" s="125"/>
      <c r="G248" s="166"/>
      <c r="H248" s="131"/>
      <c r="I248" s="116"/>
      <c r="J248" s="116"/>
      <c r="K248" s="116"/>
      <c r="L248" s="158"/>
      <c r="M248" s="95"/>
      <c r="N248" s="125"/>
      <c r="O248" s="125"/>
      <c r="P248" s="125"/>
      <c r="Q248" s="166"/>
      <c r="R248" s="95"/>
      <c r="S248" s="125"/>
      <c r="T248" s="125"/>
      <c r="U248" s="125"/>
      <c r="V248" s="166"/>
      <c r="W248" s="95"/>
      <c r="X248" s="125"/>
      <c r="Y248" s="125"/>
      <c r="Z248" s="125"/>
      <c r="AA248" s="166"/>
      <c r="AB248" s="161"/>
    </row>
    <row r="249" spans="1:28" ht="15.75" customHeight="1" thickTop="1" x14ac:dyDescent="0.25">
      <c r="A249" s="162">
        <f>ESCUADRAS!B54</f>
        <v>48</v>
      </c>
      <c r="B249" s="136">
        <f>ESCUADRAS!C52</f>
        <v>0</v>
      </c>
      <c r="C249" s="129"/>
      <c r="D249" s="114"/>
      <c r="E249" s="114"/>
      <c r="F249" s="114"/>
      <c r="G249" s="156"/>
      <c r="H249" s="93"/>
      <c r="I249" s="123"/>
      <c r="J249" s="123"/>
      <c r="K249" s="123"/>
      <c r="L249" s="164"/>
      <c r="M249" s="93"/>
      <c r="N249" s="123"/>
      <c r="O249" s="123"/>
      <c r="P249" s="123"/>
      <c r="Q249" s="164"/>
      <c r="R249" s="93"/>
      <c r="S249" s="123"/>
      <c r="T249" s="123"/>
      <c r="U249" s="123"/>
      <c r="V249" s="164"/>
      <c r="W249" s="93"/>
      <c r="X249" s="123"/>
      <c r="Y249" s="123"/>
      <c r="Z249" s="123"/>
      <c r="AA249" s="164"/>
      <c r="AB249" s="159"/>
    </row>
    <row r="250" spans="1:28" ht="15.75" customHeight="1" x14ac:dyDescent="0.25">
      <c r="A250" s="141"/>
      <c r="B250" s="137"/>
      <c r="C250" s="130"/>
      <c r="D250" s="115"/>
      <c r="E250" s="115"/>
      <c r="F250" s="115"/>
      <c r="G250" s="157"/>
      <c r="H250" s="94"/>
      <c r="I250" s="124"/>
      <c r="J250" s="124"/>
      <c r="K250" s="124"/>
      <c r="L250" s="165"/>
      <c r="M250" s="94"/>
      <c r="N250" s="124"/>
      <c r="O250" s="124"/>
      <c r="P250" s="124"/>
      <c r="Q250" s="165"/>
      <c r="R250" s="94"/>
      <c r="S250" s="124"/>
      <c r="T250" s="124"/>
      <c r="U250" s="124"/>
      <c r="V250" s="165"/>
      <c r="W250" s="94"/>
      <c r="X250" s="124"/>
      <c r="Y250" s="124"/>
      <c r="Z250" s="124"/>
      <c r="AA250" s="165"/>
      <c r="AB250" s="160"/>
    </row>
    <row r="251" spans="1:28" ht="15.75" customHeight="1" thickBot="1" x14ac:dyDescent="0.3">
      <c r="A251" s="142"/>
      <c r="B251" s="138"/>
      <c r="C251" s="131"/>
      <c r="D251" s="116"/>
      <c r="E251" s="116"/>
      <c r="F251" s="116"/>
      <c r="G251" s="158"/>
      <c r="H251" s="95"/>
      <c r="I251" s="125"/>
      <c r="J251" s="125"/>
      <c r="K251" s="125"/>
      <c r="L251" s="166"/>
      <c r="M251" s="95"/>
      <c r="N251" s="125"/>
      <c r="O251" s="125"/>
      <c r="P251" s="125"/>
      <c r="Q251" s="166"/>
      <c r="R251" s="95"/>
      <c r="S251" s="125"/>
      <c r="T251" s="125"/>
      <c r="U251" s="125"/>
      <c r="V251" s="166"/>
      <c r="W251" s="95"/>
      <c r="X251" s="125"/>
      <c r="Y251" s="125"/>
      <c r="Z251" s="125"/>
      <c r="AA251" s="166"/>
      <c r="AB251" s="161"/>
    </row>
    <row r="252" spans="1:28" ht="15" x14ac:dyDescent="0.25">
      <c r="A252" s="28"/>
    </row>
    <row r="253" spans="1:28" ht="15" x14ac:dyDescent="0.25">
      <c r="A253" s="28"/>
      <c r="B253" s="26" t="s">
        <v>35</v>
      </c>
      <c r="E253" s="21" t="s">
        <v>41</v>
      </c>
      <c r="I253" s="21" t="s">
        <v>42</v>
      </c>
      <c r="M253" s="21" t="s">
        <v>43</v>
      </c>
      <c r="Q253" s="21" t="s">
        <v>44</v>
      </c>
      <c r="U253" s="21" t="s">
        <v>45</v>
      </c>
      <c r="Y253" s="21" t="s">
        <v>46</v>
      </c>
    </row>
    <row r="254" spans="1:28" ht="15" x14ac:dyDescent="0.25">
      <c r="A254" s="28"/>
    </row>
    <row r="258" spans="1:32" ht="24.6" x14ac:dyDescent="0.25">
      <c r="A258" s="144" t="str">
        <f>'INSCRIPCION '!A$1</f>
        <v>TIRADA</v>
      </c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</row>
    <row r="259" spans="1:32" ht="19.5" customHeight="1" x14ac:dyDescent="0.4">
      <c r="A259" s="23"/>
      <c r="B259" s="23"/>
    </row>
    <row r="260" spans="1:32" ht="22.5" customHeight="1" x14ac:dyDescent="0.25">
      <c r="A260" s="132" t="str">
        <f>'INSCRIPCION '!A$2</f>
        <v>CAMPO DE TIRO LA ISLA</v>
      </c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</row>
    <row r="261" spans="1:32" ht="19.5" customHeight="1" x14ac:dyDescent="0.25">
      <c r="A261" s="143" t="str">
        <f>'INSCRIPCION '!A$3</f>
        <v>XXX PLATOS</v>
      </c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</row>
    <row r="262" spans="1:32" ht="22.8" x14ac:dyDescent="0.4">
      <c r="A262" s="24"/>
      <c r="B262" s="24"/>
    </row>
    <row r="263" spans="1:32" ht="17.399999999999999" x14ac:dyDescent="0.3">
      <c r="A263" s="25" t="s">
        <v>17</v>
      </c>
      <c r="B263" s="25"/>
      <c r="J263" s="9" t="s">
        <v>6</v>
      </c>
      <c r="K263" s="9"/>
      <c r="L263" s="9"/>
      <c r="M263" s="9"/>
      <c r="N263" s="9"/>
      <c r="O263" s="22">
        <v>3</v>
      </c>
      <c r="P263" s="22"/>
      <c r="Q263" s="8"/>
      <c r="R263" s="8"/>
      <c r="S263" s="7"/>
      <c r="T263" s="8"/>
      <c r="U263" s="8"/>
      <c r="V263" s="9" t="s">
        <v>7</v>
      </c>
      <c r="W263" s="9"/>
      <c r="X263" s="9"/>
      <c r="Y263" s="9"/>
      <c r="Z263" s="22">
        <v>3</v>
      </c>
      <c r="AA263" s="22"/>
    </row>
    <row r="264" spans="1:32" ht="13.8" thickBot="1" x14ac:dyDescent="0.3"/>
    <row r="265" spans="1:32" ht="15.6" thickBot="1" x14ac:dyDescent="0.3">
      <c r="A265" s="27" t="s">
        <v>0</v>
      </c>
      <c r="B265" s="27" t="s">
        <v>8</v>
      </c>
      <c r="C265" s="47">
        <v>1</v>
      </c>
      <c r="D265" s="48">
        <v>2</v>
      </c>
      <c r="E265" s="48">
        <v>3</v>
      </c>
      <c r="F265" s="48">
        <v>4</v>
      </c>
      <c r="G265" s="49">
        <v>5</v>
      </c>
      <c r="H265" s="47">
        <v>6</v>
      </c>
      <c r="I265" s="48">
        <v>7</v>
      </c>
      <c r="J265" s="48">
        <v>8</v>
      </c>
      <c r="K265" s="48">
        <v>9</v>
      </c>
      <c r="L265" s="49">
        <v>10</v>
      </c>
      <c r="M265" s="47">
        <v>11</v>
      </c>
      <c r="N265" s="48">
        <v>12</v>
      </c>
      <c r="O265" s="48">
        <v>13</v>
      </c>
      <c r="P265" s="48">
        <v>14</v>
      </c>
      <c r="Q265" s="49">
        <v>15</v>
      </c>
      <c r="R265" s="47">
        <v>16</v>
      </c>
      <c r="S265" s="48">
        <v>17</v>
      </c>
      <c r="T265" s="48">
        <v>18</v>
      </c>
      <c r="U265" s="48">
        <v>19</v>
      </c>
      <c r="V265" s="49">
        <v>20</v>
      </c>
      <c r="W265" s="47">
        <v>21</v>
      </c>
      <c r="X265" s="48">
        <v>22</v>
      </c>
      <c r="Y265" s="48">
        <v>23</v>
      </c>
      <c r="Z265" s="48">
        <v>24</v>
      </c>
      <c r="AA265" s="49">
        <v>25</v>
      </c>
      <c r="AB265" s="30" t="s">
        <v>1</v>
      </c>
    </row>
    <row r="266" spans="1:32" ht="15.75" customHeight="1" thickTop="1" x14ac:dyDescent="0.25">
      <c r="A266" s="150">
        <f>ESCUADRAS!B55</f>
        <v>49</v>
      </c>
      <c r="B266" s="153">
        <f>ESCUADRAS!C59</f>
        <v>0</v>
      </c>
      <c r="C266" s="129"/>
      <c r="D266" s="114"/>
      <c r="E266" s="114"/>
      <c r="F266" s="114"/>
      <c r="G266" s="156"/>
      <c r="H266" s="129"/>
      <c r="I266" s="114"/>
      <c r="J266" s="114"/>
      <c r="K266" s="114"/>
      <c r="L266" s="156"/>
      <c r="M266" s="129"/>
      <c r="N266" s="114"/>
      <c r="O266" s="114"/>
      <c r="P266" s="114"/>
      <c r="Q266" s="156"/>
      <c r="R266" s="129"/>
      <c r="S266" s="114"/>
      <c r="T266" s="114"/>
      <c r="U266" s="114"/>
      <c r="V266" s="156"/>
      <c r="W266" s="129"/>
      <c r="X266" s="114"/>
      <c r="Y266" s="114"/>
      <c r="Z266" s="114"/>
      <c r="AA266" s="156"/>
      <c r="AB266" s="159"/>
    </row>
    <row r="267" spans="1:32" ht="15.75" customHeight="1" x14ac:dyDescent="0.25">
      <c r="A267" s="151"/>
      <c r="B267" s="154"/>
      <c r="C267" s="130"/>
      <c r="D267" s="115"/>
      <c r="E267" s="115"/>
      <c r="F267" s="115"/>
      <c r="G267" s="157"/>
      <c r="H267" s="130"/>
      <c r="I267" s="115"/>
      <c r="J267" s="115"/>
      <c r="K267" s="115"/>
      <c r="L267" s="157"/>
      <c r="M267" s="130"/>
      <c r="N267" s="115"/>
      <c r="O267" s="115"/>
      <c r="P267" s="115"/>
      <c r="Q267" s="157"/>
      <c r="R267" s="130"/>
      <c r="S267" s="115"/>
      <c r="T267" s="115"/>
      <c r="U267" s="115"/>
      <c r="V267" s="157"/>
      <c r="W267" s="130"/>
      <c r="X267" s="115"/>
      <c r="Y267" s="115"/>
      <c r="Z267" s="115"/>
      <c r="AA267" s="157"/>
      <c r="AB267" s="160"/>
    </row>
    <row r="268" spans="1:32" ht="15.75" customHeight="1" thickBot="1" x14ac:dyDescent="0.3">
      <c r="A268" s="152"/>
      <c r="B268" s="155"/>
      <c r="C268" s="131"/>
      <c r="D268" s="116"/>
      <c r="E268" s="116"/>
      <c r="F268" s="116"/>
      <c r="G268" s="158"/>
      <c r="H268" s="131"/>
      <c r="I268" s="116"/>
      <c r="J268" s="116"/>
      <c r="K268" s="116"/>
      <c r="L268" s="158"/>
      <c r="M268" s="131"/>
      <c r="N268" s="116"/>
      <c r="O268" s="116"/>
      <c r="P268" s="116"/>
      <c r="Q268" s="158"/>
      <c r="R268" s="131"/>
      <c r="S268" s="116"/>
      <c r="T268" s="116"/>
      <c r="U268" s="116"/>
      <c r="V268" s="158"/>
      <c r="W268" s="131"/>
      <c r="X268" s="116"/>
      <c r="Y268" s="116"/>
      <c r="Z268" s="116"/>
      <c r="AA268" s="158"/>
      <c r="AB268" s="161"/>
    </row>
    <row r="269" spans="1:32" ht="15.75" customHeight="1" thickTop="1" x14ac:dyDescent="0.25">
      <c r="A269" s="162">
        <f>ESCUADRAS!B56</f>
        <v>50</v>
      </c>
      <c r="B269" s="136">
        <f>ESCUADRAS!C60</f>
        <v>0</v>
      </c>
      <c r="C269" s="93"/>
      <c r="D269" s="123"/>
      <c r="E269" s="123"/>
      <c r="F269" s="123"/>
      <c r="G269" s="164"/>
      <c r="H269" s="93"/>
      <c r="I269" s="123"/>
      <c r="J269" s="123"/>
      <c r="K269" s="123"/>
      <c r="L269" s="164"/>
      <c r="M269" s="93"/>
      <c r="N269" s="123"/>
      <c r="O269" s="123"/>
      <c r="P269" s="123"/>
      <c r="Q269" s="164"/>
      <c r="R269" s="93"/>
      <c r="S269" s="123"/>
      <c r="T269" s="123"/>
      <c r="U269" s="123"/>
      <c r="V269" s="164"/>
      <c r="W269" s="129"/>
      <c r="X269" s="114"/>
      <c r="Y269" s="114"/>
      <c r="Z269" s="114"/>
      <c r="AA269" s="156"/>
      <c r="AB269" s="159"/>
    </row>
    <row r="270" spans="1:32" ht="15.75" customHeight="1" x14ac:dyDescent="0.25">
      <c r="A270" s="141"/>
      <c r="B270" s="137"/>
      <c r="C270" s="94"/>
      <c r="D270" s="124"/>
      <c r="E270" s="124"/>
      <c r="F270" s="124"/>
      <c r="G270" s="165"/>
      <c r="H270" s="94"/>
      <c r="I270" s="124"/>
      <c r="J270" s="124"/>
      <c r="K270" s="124"/>
      <c r="L270" s="165"/>
      <c r="M270" s="94"/>
      <c r="N270" s="124"/>
      <c r="O270" s="124"/>
      <c r="P270" s="124"/>
      <c r="Q270" s="165"/>
      <c r="R270" s="94"/>
      <c r="S270" s="124"/>
      <c r="T270" s="124"/>
      <c r="U270" s="124"/>
      <c r="V270" s="165"/>
      <c r="W270" s="130"/>
      <c r="X270" s="115"/>
      <c r="Y270" s="115"/>
      <c r="Z270" s="115"/>
      <c r="AA270" s="157"/>
      <c r="AB270" s="160"/>
    </row>
    <row r="271" spans="1:32" ht="15.75" customHeight="1" thickBot="1" x14ac:dyDescent="0.3">
      <c r="A271" s="163"/>
      <c r="B271" s="138"/>
      <c r="C271" s="95"/>
      <c r="D271" s="125"/>
      <c r="E271" s="125"/>
      <c r="F271" s="125"/>
      <c r="G271" s="166"/>
      <c r="H271" s="95"/>
      <c r="I271" s="125"/>
      <c r="J271" s="125"/>
      <c r="K271" s="125"/>
      <c r="L271" s="166"/>
      <c r="M271" s="95"/>
      <c r="N271" s="125"/>
      <c r="O271" s="125"/>
      <c r="P271" s="125"/>
      <c r="Q271" s="166"/>
      <c r="R271" s="95"/>
      <c r="S271" s="125"/>
      <c r="T271" s="125"/>
      <c r="U271" s="125"/>
      <c r="V271" s="166"/>
      <c r="W271" s="131"/>
      <c r="X271" s="116"/>
      <c r="Y271" s="116"/>
      <c r="Z271" s="116"/>
      <c r="AA271" s="158"/>
      <c r="AB271" s="161"/>
    </row>
    <row r="272" spans="1:32" ht="15.75" customHeight="1" thickTop="1" x14ac:dyDescent="0.25">
      <c r="A272" s="150">
        <f>ESCUADRAS!B57</f>
        <v>51</v>
      </c>
      <c r="B272" s="153">
        <f>ESCUADRAS!C55</f>
        <v>0</v>
      </c>
      <c r="C272" s="93"/>
      <c r="D272" s="123"/>
      <c r="E272" s="123"/>
      <c r="F272" s="123"/>
      <c r="G272" s="164"/>
      <c r="H272" s="93"/>
      <c r="I272" s="123"/>
      <c r="J272" s="123"/>
      <c r="K272" s="123"/>
      <c r="L272" s="164"/>
      <c r="M272" s="93"/>
      <c r="N272" s="123"/>
      <c r="O272" s="123"/>
      <c r="P272" s="123"/>
      <c r="Q272" s="164"/>
      <c r="R272" s="129"/>
      <c r="S272" s="114"/>
      <c r="T272" s="114"/>
      <c r="U272" s="114"/>
      <c r="V272" s="156"/>
      <c r="W272" s="93"/>
      <c r="X272" s="123"/>
      <c r="Y272" s="123"/>
      <c r="Z272" s="123"/>
      <c r="AA272" s="164"/>
      <c r="AB272" s="159"/>
    </row>
    <row r="273" spans="1:28" ht="15.75" customHeight="1" x14ac:dyDescent="0.25">
      <c r="A273" s="151"/>
      <c r="B273" s="154"/>
      <c r="C273" s="94"/>
      <c r="D273" s="124"/>
      <c r="E273" s="124"/>
      <c r="F273" s="124"/>
      <c r="G273" s="165"/>
      <c r="H273" s="94"/>
      <c r="I273" s="124"/>
      <c r="J273" s="124"/>
      <c r="K273" s="124"/>
      <c r="L273" s="165"/>
      <c r="M273" s="94"/>
      <c r="N273" s="124"/>
      <c r="O273" s="124"/>
      <c r="P273" s="124"/>
      <c r="Q273" s="165"/>
      <c r="R273" s="130"/>
      <c r="S273" s="115"/>
      <c r="T273" s="115"/>
      <c r="U273" s="115"/>
      <c r="V273" s="157"/>
      <c r="W273" s="94"/>
      <c r="X273" s="124"/>
      <c r="Y273" s="124"/>
      <c r="Z273" s="124"/>
      <c r="AA273" s="165"/>
      <c r="AB273" s="160"/>
    </row>
    <row r="274" spans="1:28" ht="15.75" customHeight="1" thickBot="1" x14ac:dyDescent="0.3">
      <c r="A274" s="152"/>
      <c r="B274" s="155"/>
      <c r="C274" s="95"/>
      <c r="D274" s="125"/>
      <c r="E274" s="125"/>
      <c r="F274" s="125"/>
      <c r="G274" s="166"/>
      <c r="H274" s="95"/>
      <c r="I274" s="125"/>
      <c r="J274" s="125"/>
      <c r="K274" s="125"/>
      <c r="L274" s="166"/>
      <c r="M274" s="95"/>
      <c r="N274" s="125"/>
      <c r="O274" s="125"/>
      <c r="P274" s="125"/>
      <c r="Q274" s="166"/>
      <c r="R274" s="131"/>
      <c r="S274" s="116"/>
      <c r="T274" s="116"/>
      <c r="U274" s="116"/>
      <c r="V274" s="158"/>
      <c r="W274" s="95"/>
      <c r="X274" s="125"/>
      <c r="Y274" s="125"/>
      <c r="Z274" s="125"/>
      <c r="AA274" s="166"/>
      <c r="AB274" s="161"/>
    </row>
    <row r="275" spans="1:28" ht="15.75" customHeight="1" thickTop="1" x14ac:dyDescent="0.25">
      <c r="A275" s="162">
        <f>ESCUADRAS!B58</f>
        <v>52</v>
      </c>
      <c r="B275" s="136">
        <f>ESCUADRAS!C56</f>
        <v>0</v>
      </c>
      <c r="C275" s="93"/>
      <c r="D275" s="123"/>
      <c r="E275" s="123"/>
      <c r="F275" s="123"/>
      <c r="G275" s="164"/>
      <c r="H275" s="93"/>
      <c r="I275" s="123"/>
      <c r="J275" s="123"/>
      <c r="K275" s="123"/>
      <c r="L275" s="164"/>
      <c r="M275" s="129"/>
      <c r="N275" s="114"/>
      <c r="O275" s="114"/>
      <c r="P275" s="114"/>
      <c r="Q275" s="156"/>
      <c r="R275" s="93"/>
      <c r="S275" s="123"/>
      <c r="T275" s="123"/>
      <c r="U275" s="123"/>
      <c r="V275" s="164"/>
      <c r="W275" s="93"/>
      <c r="X275" s="123"/>
      <c r="Y275" s="123"/>
      <c r="Z275" s="123"/>
      <c r="AA275" s="164"/>
      <c r="AB275" s="159"/>
    </row>
    <row r="276" spans="1:28" ht="15.75" customHeight="1" x14ac:dyDescent="0.25">
      <c r="A276" s="141"/>
      <c r="B276" s="137"/>
      <c r="C276" s="94"/>
      <c r="D276" s="124"/>
      <c r="E276" s="124"/>
      <c r="F276" s="124"/>
      <c r="G276" s="165"/>
      <c r="H276" s="94"/>
      <c r="I276" s="124"/>
      <c r="J276" s="124"/>
      <c r="K276" s="124"/>
      <c r="L276" s="165"/>
      <c r="M276" s="130"/>
      <c r="N276" s="115"/>
      <c r="O276" s="115"/>
      <c r="P276" s="115"/>
      <c r="Q276" s="157"/>
      <c r="R276" s="94"/>
      <c r="S276" s="124"/>
      <c r="T276" s="124"/>
      <c r="U276" s="124"/>
      <c r="V276" s="165"/>
      <c r="W276" s="94"/>
      <c r="X276" s="124"/>
      <c r="Y276" s="124"/>
      <c r="Z276" s="124"/>
      <c r="AA276" s="165"/>
      <c r="AB276" s="160"/>
    </row>
    <row r="277" spans="1:28" ht="15.75" customHeight="1" thickBot="1" x14ac:dyDescent="0.3">
      <c r="A277" s="163"/>
      <c r="B277" s="138"/>
      <c r="C277" s="95"/>
      <c r="D277" s="125"/>
      <c r="E277" s="125"/>
      <c r="F277" s="125"/>
      <c r="G277" s="166"/>
      <c r="H277" s="95"/>
      <c r="I277" s="125"/>
      <c r="J277" s="125"/>
      <c r="K277" s="125"/>
      <c r="L277" s="166"/>
      <c r="M277" s="131"/>
      <c r="N277" s="116"/>
      <c r="O277" s="116"/>
      <c r="P277" s="116"/>
      <c r="Q277" s="158"/>
      <c r="R277" s="95"/>
      <c r="S277" s="125"/>
      <c r="T277" s="125"/>
      <c r="U277" s="125"/>
      <c r="V277" s="166"/>
      <c r="W277" s="95"/>
      <c r="X277" s="125"/>
      <c r="Y277" s="125"/>
      <c r="Z277" s="125"/>
      <c r="AA277" s="166"/>
      <c r="AB277" s="161"/>
    </row>
    <row r="278" spans="1:28" ht="15.75" customHeight="1" thickTop="1" x14ac:dyDescent="0.25">
      <c r="A278" s="150">
        <f>ESCUADRAS!B59</f>
        <v>53</v>
      </c>
      <c r="B278" s="153">
        <f>ESCUADRAS!C57</f>
        <v>0</v>
      </c>
      <c r="C278" s="93"/>
      <c r="D278" s="123"/>
      <c r="E278" s="123"/>
      <c r="F278" s="123"/>
      <c r="G278" s="164"/>
      <c r="H278" s="129"/>
      <c r="I278" s="114"/>
      <c r="J278" s="114"/>
      <c r="K278" s="114"/>
      <c r="L278" s="156"/>
      <c r="M278" s="93"/>
      <c r="N278" s="123"/>
      <c r="O278" s="123"/>
      <c r="P278" s="123"/>
      <c r="Q278" s="164"/>
      <c r="R278" s="93"/>
      <c r="S278" s="123"/>
      <c r="T278" s="123"/>
      <c r="U278" s="123"/>
      <c r="V278" s="164"/>
      <c r="W278" s="93"/>
      <c r="X278" s="123"/>
      <c r="Y278" s="123"/>
      <c r="Z278" s="123"/>
      <c r="AA278" s="164"/>
      <c r="AB278" s="159"/>
    </row>
    <row r="279" spans="1:28" ht="15.75" customHeight="1" x14ac:dyDescent="0.25">
      <c r="A279" s="151"/>
      <c r="B279" s="154"/>
      <c r="C279" s="94"/>
      <c r="D279" s="124"/>
      <c r="E279" s="124"/>
      <c r="F279" s="124"/>
      <c r="G279" s="165"/>
      <c r="H279" s="130"/>
      <c r="I279" s="115"/>
      <c r="J279" s="115"/>
      <c r="K279" s="115"/>
      <c r="L279" s="157"/>
      <c r="M279" s="94"/>
      <c r="N279" s="124"/>
      <c r="O279" s="124"/>
      <c r="P279" s="124"/>
      <c r="Q279" s="165"/>
      <c r="R279" s="94"/>
      <c r="S279" s="124"/>
      <c r="T279" s="124"/>
      <c r="U279" s="124"/>
      <c r="V279" s="165"/>
      <c r="W279" s="94"/>
      <c r="X279" s="124"/>
      <c r="Y279" s="124"/>
      <c r="Z279" s="124"/>
      <c r="AA279" s="165"/>
      <c r="AB279" s="160"/>
    </row>
    <row r="280" spans="1:28" ht="15.75" customHeight="1" thickBot="1" x14ac:dyDescent="0.3">
      <c r="A280" s="152"/>
      <c r="B280" s="155"/>
      <c r="C280" s="95"/>
      <c r="D280" s="125"/>
      <c r="E280" s="125"/>
      <c r="F280" s="125"/>
      <c r="G280" s="166"/>
      <c r="H280" s="131"/>
      <c r="I280" s="116"/>
      <c r="J280" s="116"/>
      <c r="K280" s="116"/>
      <c r="L280" s="158"/>
      <c r="M280" s="95"/>
      <c r="N280" s="125"/>
      <c r="O280" s="125"/>
      <c r="P280" s="125"/>
      <c r="Q280" s="166"/>
      <c r="R280" s="95"/>
      <c r="S280" s="125"/>
      <c r="T280" s="125"/>
      <c r="U280" s="125"/>
      <c r="V280" s="166"/>
      <c r="W280" s="95"/>
      <c r="X280" s="125"/>
      <c r="Y280" s="125"/>
      <c r="Z280" s="125"/>
      <c r="AA280" s="166"/>
      <c r="AB280" s="161"/>
    </row>
    <row r="281" spans="1:28" ht="15.75" customHeight="1" thickTop="1" x14ac:dyDescent="0.25">
      <c r="A281" s="162">
        <f>ESCUADRAS!B60</f>
        <v>54</v>
      </c>
      <c r="B281" s="136">
        <f>ESCUADRAS!C58</f>
        <v>0</v>
      </c>
      <c r="C281" s="129"/>
      <c r="D281" s="114"/>
      <c r="E281" s="114"/>
      <c r="F281" s="114"/>
      <c r="G281" s="156"/>
      <c r="H281" s="93"/>
      <c r="I281" s="123"/>
      <c r="J281" s="123"/>
      <c r="K281" s="123"/>
      <c r="L281" s="164"/>
      <c r="M281" s="93"/>
      <c r="N281" s="123"/>
      <c r="O281" s="123"/>
      <c r="P281" s="123"/>
      <c r="Q281" s="164"/>
      <c r="R281" s="93"/>
      <c r="S281" s="123"/>
      <c r="T281" s="123"/>
      <c r="U281" s="123"/>
      <c r="V281" s="164"/>
      <c r="W281" s="93"/>
      <c r="X281" s="123"/>
      <c r="Y281" s="123"/>
      <c r="Z281" s="123"/>
      <c r="AA281" s="164"/>
      <c r="AB281" s="159"/>
    </row>
    <row r="282" spans="1:28" ht="15.75" customHeight="1" x14ac:dyDescent="0.25">
      <c r="A282" s="141"/>
      <c r="B282" s="137"/>
      <c r="C282" s="130"/>
      <c r="D282" s="115"/>
      <c r="E282" s="115"/>
      <c r="F282" s="115"/>
      <c r="G282" s="157"/>
      <c r="H282" s="94"/>
      <c r="I282" s="124"/>
      <c r="J282" s="124"/>
      <c r="K282" s="124"/>
      <c r="L282" s="165"/>
      <c r="M282" s="94"/>
      <c r="N282" s="124"/>
      <c r="O282" s="124"/>
      <c r="P282" s="124"/>
      <c r="Q282" s="165"/>
      <c r="R282" s="94"/>
      <c r="S282" s="124"/>
      <c r="T282" s="124"/>
      <c r="U282" s="124"/>
      <c r="V282" s="165"/>
      <c r="W282" s="94"/>
      <c r="X282" s="124"/>
      <c r="Y282" s="124"/>
      <c r="Z282" s="124"/>
      <c r="AA282" s="165"/>
      <c r="AB282" s="160"/>
    </row>
    <row r="283" spans="1:28" ht="15.75" customHeight="1" thickBot="1" x14ac:dyDescent="0.3">
      <c r="A283" s="142"/>
      <c r="B283" s="138"/>
      <c r="C283" s="131"/>
      <c r="D283" s="116"/>
      <c r="E283" s="116"/>
      <c r="F283" s="116"/>
      <c r="G283" s="158"/>
      <c r="H283" s="95"/>
      <c r="I283" s="125"/>
      <c r="J283" s="125"/>
      <c r="K283" s="125"/>
      <c r="L283" s="166"/>
      <c r="M283" s="95"/>
      <c r="N283" s="125"/>
      <c r="O283" s="125"/>
      <c r="P283" s="125"/>
      <c r="Q283" s="166"/>
      <c r="R283" s="95"/>
      <c r="S283" s="125"/>
      <c r="T283" s="125"/>
      <c r="U283" s="125"/>
      <c r="V283" s="166"/>
      <c r="W283" s="95"/>
      <c r="X283" s="125"/>
      <c r="Y283" s="125"/>
      <c r="Z283" s="125"/>
      <c r="AA283" s="166"/>
      <c r="AB283" s="161"/>
    </row>
    <row r="284" spans="1:28" ht="15" x14ac:dyDescent="0.25">
      <c r="A284" s="28"/>
    </row>
    <row r="285" spans="1:28" ht="15" x14ac:dyDescent="0.25">
      <c r="A285" s="28"/>
      <c r="B285" s="26" t="s">
        <v>35</v>
      </c>
      <c r="E285" s="21" t="s">
        <v>41</v>
      </c>
      <c r="I285" s="21" t="s">
        <v>42</v>
      </c>
      <c r="M285" s="21" t="s">
        <v>43</v>
      </c>
      <c r="Q285" s="21" t="s">
        <v>44</v>
      </c>
      <c r="U285" s="21" t="s">
        <v>45</v>
      </c>
      <c r="Y285" s="21" t="s">
        <v>46</v>
      </c>
    </row>
    <row r="286" spans="1:28" ht="15" x14ac:dyDescent="0.25">
      <c r="A286" s="28"/>
    </row>
    <row r="290" spans="1:32" ht="24.6" x14ac:dyDescent="0.25">
      <c r="A290" s="144" t="str">
        <f>'INSCRIPCION '!A$1</f>
        <v>TIRADA</v>
      </c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</row>
    <row r="291" spans="1:32" ht="19.5" customHeight="1" x14ac:dyDescent="0.4">
      <c r="A291" s="23"/>
      <c r="B291" s="23"/>
    </row>
    <row r="292" spans="1:32" ht="22.5" customHeight="1" x14ac:dyDescent="0.25">
      <c r="A292" s="132" t="str">
        <f>'INSCRIPCION '!A$2</f>
        <v>CAMPO DE TIRO LA ISLA</v>
      </c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</row>
    <row r="293" spans="1:32" ht="19.5" customHeight="1" x14ac:dyDescent="0.25">
      <c r="A293" s="143" t="str">
        <f>'INSCRIPCION '!A$3</f>
        <v>XXX PLATOS</v>
      </c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</row>
    <row r="294" spans="1:32" ht="22.8" x14ac:dyDescent="0.4">
      <c r="A294" s="24"/>
      <c r="B294" s="24"/>
    </row>
    <row r="295" spans="1:32" ht="17.399999999999999" x14ac:dyDescent="0.3">
      <c r="A295" s="25" t="s">
        <v>18</v>
      </c>
      <c r="B295" s="25"/>
      <c r="J295" s="9" t="s">
        <v>6</v>
      </c>
      <c r="K295" s="9"/>
      <c r="L295" s="9"/>
      <c r="M295" s="9"/>
      <c r="N295" s="9"/>
      <c r="O295" s="22">
        <v>4</v>
      </c>
      <c r="P295" s="22"/>
      <c r="Q295" s="8"/>
      <c r="R295" s="8"/>
      <c r="S295" s="7"/>
      <c r="T295" s="8"/>
      <c r="U295" s="8"/>
      <c r="V295" s="9" t="s">
        <v>7</v>
      </c>
      <c r="W295" s="9"/>
      <c r="X295" s="9"/>
      <c r="Y295" s="9"/>
      <c r="Z295" s="22">
        <v>3</v>
      </c>
      <c r="AA295" s="22"/>
    </row>
    <row r="296" spans="1:32" ht="13.8" thickBot="1" x14ac:dyDescent="0.3"/>
    <row r="297" spans="1:32" ht="15.6" thickBot="1" x14ac:dyDescent="0.3">
      <c r="A297" s="27" t="s">
        <v>0</v>
      </c>
      <c r="B297" s="27" t="s">
        <v>8</v>
      </c>
      <c r="C297" s="47">
        <v>1</v>
      </c>
      <c r="D297" s="48">
        <v>2</v>
      </c>
      <c r="E297" s="48">
        <v>3</v>
      </c>
      <c r="F297" s="48">
        <v>4</v>
      </c>
      <c r="G297" s="49">
        <v>5</v>
      </c>
      <c r="H297" s="47">
        <v>6</v>
      </c>
      <c r="I297" s="48">
        <v>7</v>
      </c>
      <c r="J297" s="48">
        <v>8</v>
      </c>
      <c r="K297" s="48">
        <v>9</v>
      </c>
      <c r="L297" s="49">
        <v>10</v>
      </c>
      <c r="M297" s="47">
        <v>11</v>
      </c>
      <c r="N297" s="48">
        <v>12</v>
      </c>
      <c r="O297" s="48">
        <v>13</v>
      </c>
      <c r="P297" s="48">
        <v>14</v>
      </c>
      <c r="Q297" s="49">
        <v>15</v>
      </c>
      <c r="R297" s="47">
        <v>16</v>
      </c>
      <c r="S297" s="48">
        <v>17</v>
      </c>
      <c r="T297" s="48">
        <v>18</v>
      </c>
      <c r="U297" s="48">
        <v>19</v>
      </c>
      <c r="V297" s="49">
        <v>20</v>
      </c>
      <c r="W297" s="47">
        <v>21</v>
      </c>
      <c r="X297" s="48">
        <v>22</v>
      </c>
      <c r="Y297" s="48">
        <v>23</v>
      </c>
      <c r="Z297" s="48">
        <v>24</v>
      </c>
      <c r="AA297" s="49">
        <v>25</v>
      </c>
      <c r="AB297" s="30" t="s">
        <v>1</v>
      </c>
    </row>
    <row r="298" spans="1:32" ht="15.75" customHeight="1" thickTop="1" x14ac:dyDescent="0.25">
      <c r="A298" s="150">
        <f>ESCUADRAS!B61</f>
        <v>55</v>
      </c>
      <c r="B298" s="153">
        <f>ESCUADRAS!C65</f>
        <v>0</v>
      </c>
      <c r="C298" s="129"/>
      <c r="D298" s="114"/>
      <c r="E298" s="114"/>
      <c r="F298" s="114"/>
      <c r="G298" s="156"/>
      <c r="H298" s="129"/>
      <c r="I298" s="114"/>
      <c r="J298" s="114"/>
      <c r="K298" s="114"/>
      <c r="L298" s="156"/>
      <c r="M298" s="129"/>
      <c r="N298" s="114"/>
      <c r="O298" s="114"/>
      <c r="P298" s="114"/>
      <c r="Q298" s="156"/>
      <c r="R298" s="129"/>
      <c r="S298" s="114"/>
      <c r="T298" s="114"/>
      <c r="U298" s="114"/>
      <c r="V298" s="156"/>
      <c r="W298" s="129"/>
      <c r="X298" s="114"/>
      <c r="Y298" s="114"/>
      <c r="Z298" s="114"/>
      <c r="AA298" s="156"/>
      <c r="AB298" s="159"/>
    </row>
    <row r="299" spans="1:32" ht="15.75" customHeight="1" x14ac:dyDescent="0.25">
      <c r="A299" s="151"/>
      <c r="B299" s="154"/>
      <c r="C299" s="130"/>
      <c r="D299" s="115"/>
      <c r="E299" s="115"/>
      <c r="F299" s="115"/>
      <c r="G299" s="157"/>
      <c r="H299" s="130"/>
      <c r="I299" s="115"/>
      <c r="J299" s="115"/>
      <c r="K299" s="115"/>
      <c r="L299" s="157"/>
      <c r="M299" s="130"/>
      <c r="N299" s="115"/>
      <c r="O299" s="115"/>
      <c r="P299" s="115"/>
      <c r="Q299" s="157"/>
      <c r="R299" s="130"/>
      <c r="S299" s="115"/>
      <c r="T299" s="115"/>
      <c r="U299" s="115"/>
      <c r="V299" s="157"/>
      <c r="W299" s="130"/>
      <c r="X299" s="115"/>
      <c r="Y299" s="115"/>
      <c r="Z299" s="115"/>
      <c r="AA299" s="157"/>
      <c r="AB299" s="160"/>
    </row>
    <row r="300" spans="1:32" ht="15.75" customHeight="1" thickBot="1" x14ac:dyDescent="0.3">
      <c r="A300" s="152"/>
      <c r="B300" s="155"/>
      <c r="C300" s="131"/>
      <c r="D300" s="116"/>
      <c r="E300" s="116"/>
      <c r="F300" s="116"/>
      <c r="G300" s="158"/>
      <c r="H300" s="131"/>
      <c r="I300" s="116"/>
      <c r="J300" s="116"/>
      <c r="K300" s="116"/>
      <c r="L300" s="158"/>
      <c r="M300" s="131"/>
      <c r="N300" s="116"/>
      <c r="O300" s="116"/>
      <c r="P300" s="116"/>
      <c r="Q300" s="158"/>
      <c r="R300" s="131"/>
      <c r="S300" s="116"/>
      <c r="T300" s="116"/>
      <c r="U300" s="116"/>
      <c r="V300" s="158"/>
      <c r="W300" s="131"/>
      <c r="X300" s="116"/>
      <c r="Y300" s="116"/>
      <c r="Z300" s="116"/>
      <c r="AA300" s="158"/>
      <c r="AB300" s="161"/>
    </row>
    <row r="301" spans="1:32" ht="15.75" customHeight="1" thickTop="1" x14ac:dyDescent="0.25">
      <c r="A301" s="162">
        <f>ESCUADRAS!B62</f>
        <v>56</v>
      </c>
      <c r="B301" s="136">
        <f>ESCUADRAS!C66</f>
        <v>0</v>
      </c>
      <c r="C301" s="93"/>
      <c r="D301" s="123"/>
      <c r="E301" s="123"/>
      <c r="F301" s="123"/>
      <c r="G301" s="164"/>
      <c r="H301" s="93"/>
      <c r="I301" s="123"/>
      <c r="J301" s="123"/>
      <c r="K301" s="123"/>
      <c r="L301" s="164"/>
      <c r="M301" s="93"/>
      <c r="N301" s="123"/>
      <c r="O301" s="123"/>
      <c r="P301" s="123"/>
      <c r="Q301" s="164"/>
      <c r="R301" s="93"/>
      <c r="S301" s="123"/>
      <c r="T301" s="123"/>
      <c r="U301" s="123"/>
      <c r="V301" s="164"/>
      <c r="W301" s="129"/>
      <c r="X301" s="114"/>
      <c r="Y301" s="114"/>
      <c r="Z301" s="114"/>
      <c r="AA301" s="156"/>
      <c r="AB301" s="159"/>
    </row>
    <row r="302" spans="1:32" ht="15.75" customHeight="1" x14ac:dyDescent="0.25">
      <c r="A302" s="141"/>
      <c r="B302" s="137"/>
      <c r="C302" s="94"/>
      <c r="D302" s="124"/>
      <c r="E302" s="124"/>
      <c r="F302" s="124"/>
      <c r="G302" s="165"/>
      <c r="H302" s="94"/>
      <c r="I302" s="124"/>
      <c r="J302" s="124"/>
      <c r="K302" s="124"/>
      <c r="L302" s="165"/>
      <c r="M302" s="94"/>
      <c r="N302" s="124"/>
      <c r="O302" s="124"/>
      <c r="P302" s="124"/>
      <c r="Q302" s="165"/>
      <c r="R302" s="94"/>
      <c r="S302" s="124"/>
      <c r="T302" s="124"/>
      <c r="U302" s="124"/>
      <c r="V302" s="165"/>
      <c r="W302" s="130"/>
      <c r="X302" s="115"/>
      <c r="Y302" s="115"/>
      <c r="Z302" s="115"/>
      <c r="AA302" s="157"/>
      <c r="AB302" s="160"/>
    </row>
    <row r="303" spans="1:32" ht="15.75" customHeight="1" thickBot="1" x14ac:dyDescent="0.3">
      <c r="A303" s="163"/>
      <c r="B303" s="138"/>
      <c r="C303" s="95"/>
      <c r="D303" s="125"/>
      <c r="E303" s="125"/>
      <c r="F303" s="125"/>
      <c r="G303" s="166"/>
      <c r="H303" s="95"/>
      <c r="I303" s="125"/>
      <c r="J303" s="125"/>
      <c r="K303" s="125"/>
      <c r="L303" s="166"/>
      <c r="M303" s="95"/>
      <c r="N303" s="125"/>
      <c r="O303" s="125"/>
      <c r="P303" s="125"/>
      <c r="Q303" s="166"/>
      <c r="R303" s="95"/>
      <c r="S303" s="125"/>
      <c r="T303" s="125"/>
      <c r="U303" s="125"/>
      <c r="V303" s="166"/>
      <c r="W303" s="131"/>
      <c r="X303" s="116"/>
      <c r="Y303" s="116"/>
      <c r="Z303" s="116"/>
      <c r="AA303" s="158"/>
      <c r="AB303" s="161"/>
    </row>
    <row r="304" spans="1:32" ht="15.75" customHeight="1" thickTop="1" x14ac:dyDescent="0.25">
      <c r="A304" s="150">
        <f>ESCUADRAS!B63</f>
        <v>57</v>
      </c>
      <c r="B304" s="153">
        <f>ESCUADRAS!C61</f>
        <v>0</v>
      </c>
      <c r="C304" s="93"/>
      <c r="D304" s="123"/>
      <c r="E304" s="123"/>
      <c r="F304" s="123"/>
      <c r="G304" s="164"/>
      <c r="H304" s="93"/>
      <c r="I304" s="123"/>
      <c r="J304" s="123"/>
      <c r="K304" s="123"/>
      <c r="L304" s="164"/>
      <c r="M304" s="93"/>
      <c r="N304" s="123"/>
      <c r="O304" s="123"/>
      <c r="P304" s="123"/>
      <c r="Q304" s="164"/>
      <c r="R304" s="129"/>
      <c r="S304" s="114"/>
      <c r="T304" s="114"/>
      <c r="U304" s="114"/>
      <c r="V304" s="156"/>
      <c r="W304" s="93"/>
      <c r="X304" s="123"/>
      <c r="Y304" s="123"/>
      <c r="Z304" s="123"/>
      <c r="AA304" s="164"/>
      <c r="AB304" s="159"/>
    </row>
    <row r="305" spans="1:28" ht="15.75" customHeight="1" x14ac:dyDescent="0.25">
      <c r="A305" s="151"/>
      <c r="B305" s="154"/>
      <c r="C305" s="94"/>
      <c r="D305" s="124"/>
      <c r="E305" s="124"/>
      <c r="F305" s="124"/>
      <c r="G305" s="165"/>
      <c r="H305" s="94"/>
      <c r="I305" s="124"/>
      <c r="J305" s="124"/>
      <c r="K305" s="124"/>
      <c r="L305" s="165"/>
      <c r="M305" s="94"/>
      <c r="N305" s="124"/>
      <c r="O305" s="124"/>
      <c r="P305" s="124"/>
      <c r="Q305" s="165"/>
      <c r="R305" s="130"/>
      <c r="S305" s="115"/>
      <c r="T305" s="115"/>
      <c r="U305" s="115"/>
      <c r="V305" s="157"/>
      <c r="W305" s="94"/>
      <c r="X305" s="124"/>
      <c r="Y305" s="124"/>
      <c r="Z305" s="124"/>
      <c r="AA305" s="165"/>
      <c r="AB305" s="160"/>
    </row>
    <row r="306" spans="1:28" ht="15.75" customHeight="1" thickBot="1" x14ac:dyDescent="0.3">
      <c r="A306" s="152"/>
      <c r="B306" s="155"/>
      <c r="C306" s="95"/>
      <c r="D306" s="125"/>
      <c r="E306" s="125"/>
      <c r="F306" s="125"/>
      <c r="G306" s="166"/>
      <c r="H306" s="95"/>
      <c r="I306" s="125"/>
      <c r="J306" s="125"/>
      <c r="K306" s="125"/>
      <c r="L306" s="166"/>
      <c r="M306" s="95"/>
      <c r="N306" s="125"/>
      <c r="O306" s="125"/>
      <c r="P306" s="125"/>
      <c r="Q306" s="166"/>
      <c r="R306" s="131"/>
      <c r="S306" s="116"/>
      <c r="T306" s="116"/>
      <c r="U306" s="116"/>
      <c r="V306" s="158"/>
      <c r="W306" s="95"/>
      <c r="X306" s="125"/>
      <c r="Y306" s="125"/>
      <c r="Z306" s="125"/>
      <c r="AA306" s="166"/>
      <c r="AB306" s="161"/>
    </row>
    <row r="307" spans="1:28" ht="15.75" customHeight="1" thickTop="1" x14ac:dyDescent="0.25">
      <c r="A307" s="162">
        <f>ESCUADRAS!B64</f>
        <v>58</v>
      </c>
      <c r="B307" s="136">
        <f>ESCUADRAS!C62</f>
        <v>0</v>
      </c>
      <c r="C307" s="93"/>
      <c r="D307" s="123"/>
      <c r="E307" s="123"/>
      <c r="F307" s="123"/>
      <c r="G307" s="164"/>
      <c r="H307" s="93"/>
      <c r="I307" s="123"/>
      <c r="J307" s="123"/>
      <c r="K307" s="123"/>
      <c r="L307" s="164"/>
      <c r="M307" s="129"/>
      <c r="N307" s="114"/>
      <c r="O307" s="114"/>
      <c r="P307" s="114"/>
      <c r="Q307" s="156"/>
      <c r="R307" s="93"/>
      <c r="S307" s="123"/>
      <c r="T307" s="123"/>
      <c r="U307" s="123"/>
      <c r="V307" s="164"/>
      <c r="W307" s="93"/>
      <c r="X307" s="123"/>
      <c r="Y307" s="123"/>
      <c r="Z307" s="123"/>
      <c r="AA307" s="164"/>
      <c r="AB307" s="159"/>
    </row>
    <row r="308" spans="1:28" ht="15.75" customHeight="1" x14ac:dyDescent="0.25">
      <c r="A308" s="141"/>
      <c r="B308" s="137"/>
      <c r="C308" s="94"/>
      <c r="D308" s="124"/>
      <c r="E308" s="124"/>
      <c r="F308" s="124"/>
      <c r="G308" s="165"/>
      <c r="H308" s="94"/>
      <c r="I308" s="124"/>
      <c r="J308" s="124"/>
      <c r="K308" s="124"/>
      <c r="L308" s="165"/>
      <c r="M308" s="130"/>
      <c r="N308" s="115"/>
      <c r="O308" s="115"/>
      <c r="P308" s="115"/>
      <c r="Q308" s="157"/>
      <c r="R308" s="94"/>
      <c r="S308" s="124"/>
      <c r="T308" s="124"/>
      <c r="U308" s="124"/>
      <c r="V308" s="165"/>
      <c r="W308" s="94"/>
      <c r="X308" s="124"/>
      <c r="Y308" s="124"/>
      <c r="Z308" s="124"/>
      <c r="AA308" s="165"/>
      <c r="AB308" s="160"/>
    </row>
    <row r="309" spans="1:28" ht="15.75" customHeight="1" thickBot="1" x14ac:dyDescent="0.3">
      <c r="A309" s="163"/>
      <c r="B309" s="138"/>
      <c r="C309" s="95"/>
      <c r="D309" s="125"/>
      <c r="E309" s="125"/>
      <c r="F309" s="125"/>
      <c r="G309" s="166"/>
      <c r="H309" s="95"/>
      <c r="I309" s="125"/>
      <c r="J309" s="125"/>
      <c r="K309" s="125"/>
      <c r="L309" s="166"/>
      <c r="M309" s="131"/>
      <c r="N309" s="116"/>
      <c r="O309" s="116"/>
      <c r="P309" s="116"/>
      <c r="Q309" s="158"/>
      <c r="R309" s="95"/>
      <c r="S309" s="125"/>
      <c r="T309" s="125"/>
      <c r="U309" s="125"/>
      <c r="V309" s="166"/>
      <c r="W309" s="95"/>
      <c r="X309" s="125"/>
      <c r="Y309" s="125"/>
      <c r="Z309" s="125"/>
      <c r="AA309" s="166"/>
      <c r="AB309" s="161"/>
    </row>
    <row r="310" spans="1:28" ht="15.75" customHeight="1" thickTop="1" x14ac:dyDescent="0.25">
      <c r="A310" s="150">
        <f>ESCUADRAS!B65</f>
        <v>59</v>
      </c>
      <c r="B310" s="153">
        <f>ESCUADRAS!C63</f>
        <v>0</v>
      </c>
      <c r="C310" s="93"/>
      <c r="D310" s="123"/>
      <c r="E310" s="123"/>
      <c r="F310" s="123"/>
      <c r="G310" s="164"/>
      <c r="H310" s="129"/>
      <c r="I310" s="114"/>
      <c r="J310" s="114"/>
      <c r="K310" s="114"/>
      <c r="L310" s="156"/>
      <c r="M310" s="93"/>
      <c r="N310" s="123"/>
      <c r="O310" s="123"/>
      <c r="P310" s="123"/>
      <c r="Q310" s="164"/>
      <c r="R310" s="93"/>
      <c r="S310" s="123"/>
      <c r="T310" s="123"/>
      <c r="U310" s="123"/>
      <c r="V310" s="164"/>
      <c r="W310" s="93"/>
      <c r="X310" s="123"/>
      <c r="Y310" s="123"/>
      <c r="Z310" s="123"/>
      <c r="AA310" s="164"/>
      <c r="AB310" s="159"/>
    </row>
    <row r="311" spans="1:28" ht="15.75" customHeight="1" x14ac:dyDescent="0.25">
      <c r="A311" s="151"/>
      <c r="B311" s="154"/>
      <c r="C311" s="94"/>
      <c r="D311" s="124"/>
      <c r="E311" s="124"/>
      <c r="F311" s="124"/>
      <c r="G311" s="165"/>
      <c r="H311" s="130"/>
      <c r="I311" s="115"/>
      <c r="J311" s="115"/>
      <c r="K311" s="115"/>
      <c r="L311" s="157"/>
      <c r="M311" s="94"/>
      <c r="N311" s="124"/>
      <c r="O311" s="124"/>
      <c r="P311" s="124"/>
      <c r="Q311" s="165"/>
      <c r="R311" s="94"/>
      <c r="S311" s="124"/>
      <c r="T311" s="124"/>
      <c r="U311" s="124"/>
      <c r="V311" s="165"/>
      <c r="W311" s="94"/>
      <c r="X311" s="124"/>
      <c r="Y311" s="124"/>
      <c r="Z311" s="124"/>
      <c r="AA311" s="165"/>
      <c r="AB311" s="160"/>
    </row>
    <row r="312" spans="1:28" ht="15.75" customHeight="1" thickBot="1" x14ac:dyDescent="0.3">
      <c r="A312" s="152"/>
      <c r="B312" s="155"/>
      <c r="C312" s="95"/>
      <c r="D312" s="125"/>
      <c r="E312" s="125"/>
      <c r="F312" s="125"/>
      <c r="G312" s="166"/>
      <c r="H312" s="131"/>
      <c r="I312" s="116"/>
      <c r="J312" s="116"/>
      <c r="K312" s="116"/>
      <c r="L312" s="158"/>
      <c r="M312" s="95"/>
      <c r="N312" s="125"/>
      <c r="O312" s="125"/>
      <c r="P312" s="125"/>
      <c r="Q312" s="166"/>
      <c r="R312" s="95"/>
      <c r="S312" s="125"/>
      <c r="T312" s="125"/>
      <c r="U312" s="125"/>
      <c r="V312" s="166"/>
      <c r="W312" s="95"/>
      <c r="X312" s="125"/>
      <c r="Y312" s="125"/>
      <c r="Z312" s="125"/>
      <c r="AA312" s="166"/>
      <c r="AB312" s="161"/>
    </row>
    <row r="313" spans="1:28" ht="15.75" customHeight="1" thickTop="1" x14ac:dyDescent="0.25">
      <c r="A313" s="162">
        <f>ESCUADRAS!B66</f>
        <v>60</v>
      </c>
      <c r="B313" s="136">
        <f>ESCUADRAS!C64</f>
        <v>0</v>
      </c>
      <c r="C313" s="129"/>
      <c r="D313" s="114"/>
      <c r="E313" s="114"/>
      <c r="F313" s="114"/>
      <c r="G313" s="156"/>
      <c r="H313" s="93"/>
      <c r="I313" s="123"/>
      <c r="J313" s="123"/>
      <c r="K313" s="123"/>
      <c r="L313" s="164"/>
      <c r="M313" s="93"/>
      <c r="N313" s="123"/>
      <c r="O313" s="123"/>
      <c r="P313" s="123"/>
      <c r="Q313" s="164"/>
      <c r="R313" s="93"/>
      <c r="S313" s="123"/>
      <c r="T313" s="123"/>
      <c r="U313" s="123"/>
      <c r="V313" s="164"/>
      <c r="W313" s="93"/>
      <c r="X313" s="123"/>
      <c r="Y313" s="123"/>
      <c r="Z313" s="123"/>
      <c r="AA313" s="164"/>
      <c r="AB313" s="159"/>
    </row>
    <row r="314" spans="1:28" ht="15.75" customHeight="1" x14ac:dyDescent="0.25">
      <c r="A314" s="141"/>
      <c r="B314" s="137"/>
      <c r="C314" s="130"/>
      <c r="D314" s="115"/>
      <c r="E314" s="115"/>
      <c r="F314" s="115"/>
      <c r="G314" s="157"/>
      <c r="H314" s="94"/>
      <c r="I314" s="124"/>
      <c r="J314" s="124"/>
      <c r="K314" s="124"/>
      <c r="L314" s="165"/>
      <c r="M314" s="94"/>
      <c r="N314" s="124"/>
      <c r="O314" s="124"/>
      <c r="P314" s="124"/>
      <c r="Q314" s="165"/>
      <c r="R314" s="94"/>
      <c r="S314" s="124"/>
      <c r="T314" s="124"/>
      <c r="U314" s="124"/>
      <c r="V314" s="165"/>
      <c r="W314" s="94"/>
      <c r="X314" s="124"/>
      <c r="Y314" s="124"/>
      <c r="Z314" s="124"/>
      <c r="AA314" s="165"/>
      <c r="AB314" s="160"/>
    </row>
    <row r="315" spans="1:28" ht="15.75" customHeight="1" thickBot="1" x14ac:dyDescent="0.3">
      <c r="A315" s="142"/>
      <c r="B315" s="138"/>
      <c r="C315" s="131"/>
      <c r="D315" s="116"/>
      <c r="E315" s="116"/>
      <c r="F315" s="116"/>
      <c r="G315" s="158"/>
      <c r="H315" s="95"/>
      <c r="I315" s="125"/>
      <c r="J315" s="125"/>
      <c r="K315" s="125"/>
      <c r="L315" s="166"/>
      <c r="M315" s="95"/>
      <c r="N315" s="125"/>
      <c r="O315" s="125"/>
      <c r="P315" s="125"/>
      <c r="Q315" s="166"/>
      <c r="R315" s="95"/>
      <c r="S315" s="125"/>
      <c r="T315" s="125"/>
      <c r="U315" s="125"/>
      <c r="V315" s="166"/>
      <c r="W315" s="95"/>
      <c r="X315" s="125"/>
      <c r="Y315" s="125"/>
      <c r="Z315" s="125"/>
      <c r="AA315" s="166"/>
      <c r="AB315" s="161"/>
    </row>
    <row r="316" spans="1:28" ht="15" x14ac:dyDescent="0.25">
      <c r="A316" s="28"/>
    </row>
    <row r="317" spans="1:28" ht="15" x14ac:dyDescent="0.25">
      <c r="A317" s="28"/>
      <c r="B317" s="26" t="s">
        <v>35</v>
      </c>
      <c r="E317" s="21" t="s">
        <v>41</v>
      </c>
      <c r="I317" s="21" t="s">
        <v>42</v>
      </c>
      <c r="M317" s="21" t="s">
        <v>43</v>
      </c>
      <c r="Q317" s="21" t="s">
        <v>44</v>
      </c>
      <c r="U317" s="21" t="s">
        <v>45</v>
      </c>
      <c r="Y317" s="21" t="s">
        <v>46</v>
      </c>
    </row>
    <row r="318" spans="1:28" ht="15" x14ac:dyDescent="0.25">
      <c r="A318" s="28"/>
    </row>
    <row r="322" spans="1:32" ht="24.6" x14ac:dyDescent="0.25">
      <c r="A322" s="144" t="str">
        <f>'INSCRIPCION '!A$1</f>
        <v>TIRADA</v>
      </c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</row>
    <row r="323" spans="1:32" ht="19.5" customHeight="1" x14ac:dyDescent="0.4">
      <c r="A323" s="23"/>
      <c r="B323" s="23"/>
    </row>
    <row r="324" spans="1:32" ht="22.5" customHeight="1" x14ac:dyDescent="0.25">
      <c r="A324" s="132" t="str">
        <f>'INSCRIPCION '!A$2</f>
        <v>CAMPO DE TIRO LA ISLA</v>
      </c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</row>
    <row r="325" spans="1:32" ht="19.5" customHeight="1" x14ac:dyDescent="0.25">
      <c r="A325" s="143" t="str">
        <f>'INSCRIPCION '!A$3</f>
        <v>XXX PLATOS</v>
      </c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</row>
    <row r="326" spans="1:32" ht="22.8" x14ac:dyDescent="0.4">
      <c r="A326" s="24"/>
      <c r="B326" s="24"/>
    </row>
    <row r="327" spans="1:32" ht="17.399999999999999" x14ac:dyDescent="0.3">
      <c r="A327" s="25" t="s">
        <v>19</v>
      </c>
      <c r="B327" s="25"/>
      <c r="J327" s="9" t="s">
        <v>6</v>
      </c>
      <c r="K327" s="9"/>
      <c r="L327" s="9"/>
      <c r="M327" s="9"/>
      <c r="N327" s="9"/>
      <c r="O327" s="22">
        <v>1</v>
      </c>
      <c r="P327" s="22"/>
      <c r="Q327" s="8"/>
      <c r="R327" s="8"/>
      <c r="S327" s="7"/>
      <c r="T327" s="8"/>
      <c r="U327" s="8"/>
      <c r="V327" s="9" t="s">
        <v>7</v>
      </c>
      <c r="W327" s="9"/>
      <c r="X327" s="9"/>
      <c r="Y327" s="9"/>
      <c r="Z327" s="22">
        <v>3</v>
      </c>
      <c r="AA327" s="22"/>
    </row>
    <row r="328" spans="1:32" ht="13.8" thickBot="1" x14ac:dyDescent="0.3"/>
    <row r="329" spans="1:32" ht="15.6" thickBot="1" x14ac:dyDescent="0.3">
      <c r="A329" s="27" t="s">
        <v>0</v>
      </c>
      <c r="B329" s="27" t="s">
        <v>8</v>
      </c>
      <c r="C329" s="47">
        <v>1</v>
      </c>
      <c r="D329" s="48">
        <v>2</v>
      </c>
      <c r="E329" s="48">
        <v>3</v>
      </c>
      <c r="F329" s="48">
        <v>4</v>
      </c>
      <c r="G329" s="49">
        <v>5</v>
      </c>
      <c r="H329" s="47">
        <v>6</v>
      </c>
      <c r="I329" s="48">
        <v>7</v>
      </c>
      <c r="J329" s="48">
        <v>8</v>
      </c>
      <c r="K329" s="48">
        <v>9</v>
      </c>
      <c r="L329" s="49">
        <v>10</v>
      </c>
      <c r="M329" s="47">
        <v>11</v>
      </c>
      <c r="N329" s="48">
        <v>12</v>
      </c>
      <c r="O329" s="48">
        <v>13</v>
      </c>
      <c r="P329" s="48">
        <v>14</v>
      </c>
      <c r="Q329" s="49">
        <v>15</v>
      </c>
      <c r="R329" s="47">
        <v>16</v>
      </c>
      <c r="S329" s="48">
        <v>17</v>
      </c>
      <c r="T329" s="48">
        <v>18</v>
      </c>
      <c r="U329" s="48">
        <v>19</v>
      </c>
      <c r="V329" s="49">
        <v>20</v>
      </c>
      <c r="W329" s="47">
        <v>21</v>
      </c>
      <c r="X329" s="48">
        <v>22</v>
      </c>
      <c r="Y329" s="48">
        <v>23</v>
      </c>
      <c r="Z329" s="48">
        <v>24</v>
      </c>
      <c r="AA329" s="49">
        <v>25</v>
      </c>
      <c r="AB329" s="30" t="s">
        <v>1</v>
      </c>
    </row>
    <row r="330" spans="1:32" ht="15.75" customHeight="1" thickTop="1" x14ac:dyDescent="0.25">
      <c r="A330" s="150">
        <f>ESCUADRAS!B67</f>
        <v>61</v>
      </c>
      <c r="B330" s="153">
        <f>ESCUADRAS!C71</f>
        <v>0</v>
      </c>
      <c r="C330" s="129"/>
      <c r="D330" s="114"/>
      <c r="E330" s="114"/>
      <c r="F330" s="114"/>
      <c r="G330" s="156"/>
      <c r="H330" s="129"/>
      <c r="I330" s="114"/>
      <c r="J330" s="114"/>
      <c r="K330" s="114"/>
      <c r="L330" s="156"/>
      <c r="M330" s="129"/>
      <c r="N330" s="114"/>
      <c r="O330" s="114"/>
      <c r="P330" s="114"/>
      <c r="Q330" s="156"/>
      <c r="R330" s="129"/>
      <c r="S330" s="114"/>
      <c r="T330" s="114"/>
      <c r="U330" s="114"/>
      <c r="V330" s="156"/>
      <c r="W330" s="129"/>
      <c r="X330" s="114"/>
      <c r="Y330" s="114"/>
      <c r="Z330" s="114"/>
      <c r="AA330" s="156"/>
      <c r="AB330" s="159"/>
    </row>
    <row r="331" spans="1:32" ht="15.75" customHeight="1" x14ac:dyDescent="0.25">
      <c r="A331" s="151"/>
      <c r="B331" s="154"/>
      <c r="C331" s="130"/>
      <c r="D331" s="115"/>
      <c r="E331" s="115"/>
      <c r="F331" s="115"/>
      <c r="G331" s="157"/>
      <c r="H331" s="130"/>
      <c r="I331" s="115"/>
      <c r="J331" s="115"/>
      <c r="K331" s="115"/>
      <c r="L331" s="157"/>
      <c r="M331" s="130"/>
      <c r="N331" s="115"/>
      <c r="O331" s="115"/>
      <c r="P331" s="115"/>
      <c r="Q331" s="157"/>
      <c r="R331" s="130"/>
      <c r="S331" s="115"/>
      <c r="T331" s="115"/>
      <c r="U331" s="115"/>
      <c r="V331" s="157"/>
      <c r="W331" s="130"/>
      <c r="X331" s="115"/>
      <c r="Y331" s="115"/>
      <c r="Z331" s="115"/>
      <c r="AA331" s="157"/>
      <c r="AB331" s="160"/>
    </row>
    <row r="332" spans="1:32" ht="15.75" customHeight="1" thickBot="1" x14ac:dyDescent="0.3">
      <c r="A332" s="152"/>
      <c r="B332" s="155"/>
      <c r="C332" s="131"/>
      <c r="D332" s="116"/>
      <c r="E332" s="116"/>
      <c r="F332" s="116"/>
      <c r="G332" s="158"/>
      <c r="H332" s="131"/>
      <c r="I332" s="116"/>
      <c r="J332" s="116"/>
      <c r="K332" s="116"/>
      <c r="L332" s="158"/>
      <c r="M332" s="131"/>
      <c r="N332" s="116"/>
      <c r="O332" s="116"/>
      <c r="P332" s="116"/>
      <c r="Q332" s="158"/>
      <c r="R332" s="131"/>
      <c r="S332" s="116"/>
      <c r="T332" s="116"/>
      <c r="U332" s="116"/>
      <c r="V332" s="158"/>
      <c r="W332" s="131"/>
      <c r="X332" s="116"/>
      <c r="Y332" s="116"/>
      <c r="Z332" s="116"/>
      <c r="AA332" s="158"/>
      <c r="AB332" s="161"/>
    </row>
    <row r="333" spans="1:32" ht="15.75" customHeight="1" thickTop="1" x14ac:dyDescent="0.25">
      <c r="A333" s="162">
        <f>ESCUADRAS!B68</f>
        <v>62</v>
      </c>
      <c r="B333" s="136">
        <f>ESCUADRAS!C72</f>
        <v>0</v>
      </c>
      <c r="C333" s="93"/>
      <c r="D333" s="123"/>
      <c r="E333" s="123"/>
      <c r="F333" s="123"/>
      <c r="G333" s="164"/>
      <c r="H333" s="93"/>
      <c r="I333" s="123"/>
      <c r="J333" s="123"/>
      <c r="K333" s="123"/>
      <c r="L333" s="164"/>
      <c r="M333" s="93"/>
      <c r="N333" s="123"/>
      <c r="O333" s="123"/>
      <c r="P333" s="123"/>
      <c r="Q333" s="164"/>
      <c r="R333" s="93"/>
      <c r="S333" s="123"/>
      <c r="T333" s="123"/>
      <c r="U333" s="123"/>
      <c r="V333" s="164"/>
      <c r="W333" s="129"/>
      <c r="X333" s="114"/>
      <c r="Y333" s="114"/>
      <c r="Z333" s="114"/>
      <c r="AA333" s="156"/>
      <c r="AB333" s="159"/>
    </row>
    <row r="334" spans="1:32" ht="15.75" customHeight="1" x14ac:dyDescent="0.25">
      <c r="A334" s="141"/>
      <c r="B334" s="137"/>
      <c r="C334" s="94"/>
      <c r="D334" s="124"/>
      <c r="E334" s="124"/>
      <c r="F334" s="124"/>
      <c r="G334" s="165"/>
      <c r="H334" s="94"/>
      <c r="I334" s="124"/>
      <c r="J334" s="124"/>
      <c r="K334" s="124"/>
      <c r="L334" s="165"/>
      <c r="M334" s="94"/>
      <c r="N334" s="124"/>
      <c r="O334" s="124"/>
      <c r="P334" s="124"/>
      <c r="Q334" s="165"/>
      <c r="R334" s="94"/>
      <c r="S334" s="124"/>
      <c r="T334" s="124"/>
      <c r="U334" s="124"/>
      <c r="V334" s="165"/>
      <c r="W334" s="130"/>
      <c r="X334" s="115"/>
      <c r="Y334" s="115"/>
      <c r="Z334" s="115"/>
      <c r="AA334" s="157"/>
      <c r="AB334" s="160"/>
    </row>
    <row r="335" spans="1:32" ht="15.75" customHeight="1" thickBot="1" x14ac:dyDescent="0.3">
      <c r="A335" s="163"/>
      <c r="B335" s="138"/>
      <c r="C335" s="95"/>
      <c r="D335" s="125"/>
      <c r="E335" s="125"/>
      <c r="F335" s="125"/>
      <c r="G335" s="166"/>
      <c r="H335" s="95"/>
      <c r="I335" s="125"/>
      <c r="J335" s="125"/>
      <c r="K335" s="125"/>
      <c r="L335" s="166"/>
      <c r="M335" s="95"/>
      <c r="N335" s="125"/>
      <c r="O335" s="125"/>
      <c r="P335" s="125"/>
      <c r="Q335" s="166"/>
      <c r="R335" s="95"/>
      <c r="S335" s="125"/>
      <c r="T335" s="125"/>
      <c r="U335" s="125"/>
      <c r="V335" s="166"/>
      <c r="W335" s="131"/>
      <c r="X335" s="116"/>
      <c r="Y335" s="116"/>
      <c r="Z335" s="116"/>
      <c r="AA335" s="158"/>
      <c r="AB335" s="161"/>
    </row>
    <row r="336" spans="1:32" ht="15.75" customHeight="1" thickTop="1" x14ac:dyDescent="0.25">
      <c r="A336" s="150">
        <f>ESCUADRAS!B69</f>
        <v>63</v>
      </c>
      <c r="B336" s="153">
        <f>ESCUADRAS!C67</f>
        <v>0</v>
      </c>
      <c r="C336" s="93"/>
      <c r="D336" s="123"/>
      <c r="E336" s="123"/>
      <c r="F336" s="123"/>
      <c r="G336" s="164"/>
      <c r="H336" s="93"/>
      <c r="I336" s="123"/>
      <c r="J336" s="123"/>
      <c r="K336" s="123"/>
      <c r="L336" s="164"/>
      <c r="M336" s="93"/>
      <c r="N336" s="123"/>
      <c r="O336" s="123"/>
      <c r="P336" s="123"/>
      <c r="Q336" s="164"/>
      <c r="R336" s="129"/>
      <c r="S336" s="114"/>
      <c r="T336" s="114"/>
      <c r="U336" s="114"/>
      <c r="V336" s="156"/>
      <c r="W336" s="93"/>
      <c r="X336" s="123"/>
      <c r="Y336" s="123"/>
      <c r="Z336" s="123"/>
      <c r="AA336" s="164"/>
      <c r="AB336" s="159"/>
    </row>
    <row r="337" spans="1:28" ht="15.75" customHeight="1" x14ac:dyDescent="0.25">
      <c r="A337" s="151"/>
      <c r="B337" s="154"/>
      <c r="C337" s="94"/>
      <c r="D337" s="124"/>
      <c r="E337" s="124"/>
      <c r="F337" s="124"/>
      <c r="G337" s="165"/>
      <c r="H337" s="94"/>
      <c r="I337" s="124"/>
      <c r="J337" s="124"/>
      <c r="K337" s="124"/>
      <c r="L337" s="165"/>
      <c r="M337" s="94"/>
      <c r="N337" s="124"/>
      <c r="O337" s="124"/>
      <c r="P337" s="124"/>
      <c r="Q337" s="165"/>
      <c r="R337" s="130"/>
      <c r="S337" s="115"/>
      <c r="T337" s="115"/>
      <c r="U337" s="115"/>
      <c r="V337" s="157"/>
      <c r="W337" s="94"/>
      <c r="X337" s="124"/>
      <c r="Y337" s="124"/>
      <c r="Z337" s="124"/>
      <c r="AA337" s="165"/>
      <c r="AB337" s="160"/>
    </row>
    <row r="338" spans="1:28" ht="15.75" customHeight="1" thickBot="1" x14ac:dyDescent="0.3">
      <c r="A338" s="152"/>
      <c r="B338" s="155"/>
      <c r="C338" s="95"/>
      <c r="D338" s="125"/>
      <c r="E338" s="125"/>
      <c r="F338" s="125"/>
      <c r="G338" s="166"/>
      <c r="H338" s="95"/>
      <c r="I338" s="125"/>
      <c r="J338" s="125"/>
      <c r="K338" s="125"/>
      <c r="L338" s="166"/>
      <c r="M338" s="95"/>
      <c r="N338" s="125"/>
      <c r="O338" s="125"/>
      <c r="P338" s="125"/>
      <c r="Q338" s="166"/>
      <c r="R338" s="131"/>
      <c r="S338" s="116"/>
      <c r="T338" s="116"/>
      <c r="U338" s="116"/>
      <c r="V338" s="158"/>
      <c r="W338" s="95"/>
      <c r="X338" s="125"/>
      <c r="Y338" s="125"/>
      <c r="Z338" s="125"/>
      <c r="AA338" s="166"/>
      <c r="AB338" s="161"/>
    </row>
    <row r="339" spans="1:28" ht="15.75" customHeight="1" thickTop="1" x14ac:dyDescent="0.25">
      <c r="A339" s="162">
        <f>ESCUADRAS!B70</f>
        <v>64</v>
      </c>
      <c r="B339" s="136">
        <f>ESCUADRAS!C68</f>
        <v>0</v>
      </c>
      <c r="C339" s="93"/>
      <c r="D339" s="123"/>
      <c r="E339" s="123"/>
      <c r="F339" s="123"/>
      <c r="G339" s="164"/>
      <c r="H339" s="93"/>
      <c r="I339" s="123"/>
      <c r="J339" s="123"/>
      <c r="K339" s="123"/>
      <c r="L339" s="164"/>
      <c r="M339" s="129"/>
      <c r="N339" s="114"/>
      <c r="O339" s="114"/>
      <c r="P339" s="114"/>
      <c r="Q339" s="156"/>
      <c r="R339" s="93"/>
      <c r="S339" s="123"/>
      <c r="T339" s="123"/>
      <c r="U339" s="123"/>
      <c r="V339" s="164"/>
      <c r="W339" s="93"/>
      <c r="X339" s="123"/>
      <c r="Y339" s="123"/>
      <c r="Z339" s="123"/>
      <c r="AA339" s="164"/>
      <c r="AB339" s="159"/>
    </row>
    <row r="340" spans="1:28" ht="15.75" customHeight="1" x14ac:dyDescent="0.25">
      <c r="A340" s="141"/>
      <c r="B340" s="137"/>
      <c r="C340" s="94"/>
      <c r="D340" s="124"/>
      <c r="E340" s="124"/>
      <c r="F340" s="124"/>
      <c r="G340" s="165"/>
      <c r="H340" s="94"/>
      <c r="I340" s="124"/>
      <c r="J340" s="124"/>
      <c r="K340" s="124"/>
      <c r="L340" s="165"/>
      <c r="M340" s="130"/>
      <c r="N340" s="115"/>
      <c r="O340" s="115"/>
      <c r="P340" s="115"/>
      <c r="Q340" s="157"/>
      <c r="R340" s="94"/>
      <c r="S340" s="124"/>
      <c r="T340" s="124"/>
      <c r="U340" s="124"/>
      <c r="V340" s="165"/>
      <c r="W340" s="94"/>
      <c r="X340" s="124"/>
      <c r="Y340" s="124"/>
      <c r="Z340" s="124"/>
      <c r="AA340" s="165"/>
      <c r="AB340" s="160"/>
    </row>
    <row r="341" spans="1:28" ht="15.75" customHeight="1" thickBot="1" x14ac:dyDescent="0.3">
      <c r="A341" s="163"/>
      <c r="B341" s="138"/>
      <c r="C341" s="95"/>
      <c r="D341" s="125"/>
      <c r="E341" s="125"/>
      <c r="F341" s="125"/>
      <c r="G341" s="166"/>
      <c r="H341" s="95"/>
      <c r="I341" s="125"/>
      <c r="J341" s="125"/>
      <c r="K341" s="125"/>
      <c r="L341" s="166"/>
      <c r="M341" s="131"/>
      <c r="N341" s="116"/>
      <c r="O341" s="116"/>
      <c r="P341" s="116"/>
      <c r="Q341" s="158"/>
      <c r="R341" s="95"/>
      <c r="S341" s="125"/>
      <c r="T341" s="125"/>
      <c r="U341" s="125"/>
      <c r="V341" s="166"/>
      <c r="W341" s="95"/>
      <c r="X341" s="125"/>
      <c r="Y341" s="125"/>
      <c r="Z341" s="125"/>
      <c r="AA341" s="166"/>
      <c r="AB341" s="161"/>
    </row>
    <row r="342" spans="1:28" ht="15.75" customHeight="1" thickTop="1" x14ac:dyDescent="0.25">
      <c r="A342" s="150">
        <f>ESCUADRAS!B71</f>
        <v>65</v>
      </c>
      <c r="B342" s="153">
        <f>ESCUADRAS!C69</f>
        <v>0</v>
      </c>
      <c r="C342" s="93"/>
      <c r="D342" s="123"/>
      <c r="E342" s="123"/>
      <c r="F342" s="123"/>
      <c r="G342" s="164"/>
      <c r="H342" s="129"/>
      <c r="I342" s="114"/>
      <c r="J342" s="114"/>
      <c r="K342" s="114"/>
      <c r="L342" s="156"/>
      <c r="M342" s="93"/>
      <c r="N342" s="123"/>
      <c r="O342" s="123"/>
      <c r="P342" s="123"/>
      <c r="Q342" s="164"/>
      <c r="R342" s="93"/>
      <c r="S342" s="123"/>
      <c r="T342" s="123"/>
      <c r="U342" s="123"/>
      <c r="V342" s="164"/>
      <c r="W342" s="93"/>
      <c r="X342" s="123"/>
      <c r="Y342" s="123"/>
      <c r="Z342" s="123"/>
      <c r="AA342" s="164"/>
      <c r="AB342" s="159"/>
    </row>
    <row r="343" spans="1:28" ht="15.75" customHeight="1" x14ac:dyDescent="0.25">
      <c r="A343" s="151"/>
      <c r="B343" s="154"/>
      <c r="C343" s="94"/>
      <c r="D343" s="124"/>
      <c r="E343" s="124"/>
      <c r="F343" s="124"/>
      <c r="G343" s="165"/>
      <c r="H343" s="130"/>
      <c r="I343" s="115"/>
      <c r="J343" s="115"/>
      <c r="K343" s="115"/>
      <c r="L343" s="157"/>
      <c r="M343" s="94"/>
      <c r="N343" s="124"/>
      <c r="O343" s="124"/>
      <c r="P343" s="124"/>
      <c r="Q343" s="165"/>
      <c r="R343" s="94"/>
      <c r="S343" s="124"/>
      <c r="T343" s="124"/>
      <c r="U343" s="124"/>
      <c r="V343" s="165"/>
      <c r="W343" s="94"/>
      <c r="X343" s="124"/>
      <c r="Y343" s="124"/>
      <c r="Z343" s="124"/>
      <c r="AA343" s="165"/>
      <c r="AB343" s="160"/>
    </row>
    <row r="344" spans="1:28" ht="15.75" customHeight="1" thickBot="1" x14ac:dyDescent="0.3">
      <c r="A344" s="152"/>
      <c r="B344" s="155"/>
      <c r="C344" s="95"/>
      <c r="D344" s="125"/>
      <c r="E344" s="125"/>
      <c r="F344" s="125"/>
      <c r="G344" s="166"/>
      <c r="H344" s="131"/>
      <c r="I344" s="116"/>
      <c r="J344" s="116"/>
      <c r="K344" s="116"/>
      <c r="L344" s="158"/>
      <c r="M344" s="95"/>
      <c r="N344" s="125"/>
      <c r="O344" s="125"/>
      <c r="P344" s="125"/>
      <c r="Q344" s="166"/>
      <c r="R344" s="95"/>
      <c r="S344" s="125"/>
      <c r="T344" s="125"/>
      <c r="U344" s="125"/>
      <c r="V344" s="166"/>
      <c r="W344" s="95"/>
      <c r="X344" s="125"/>
      <c r="Y344" s="125"/>
      <c r="Z344" s="125"/>
      <c r="AA344" s="166"/>
      <c r="AB344" s="161"/>
    </row>
    <row r="345" spans="1:28" ht="15.75" customHeight="1" thickTop="1" x14ac:dyDescent="0.25">
      <c r="A345" s="162">
        <f>ESCUADRAS!B72</f>
        <v>66</v>
      </c>
      <c r="B345" s="136">
        <f>ESCUADRAS!C70</f>
        <v>0</v>
      </c>
      <c r="C345" s="129"/>
      <c r="D345" s="114"/>
      <c r="E345" s="114"/>
      <c r="F345" s="114"/>
      <c r="G345" s="156"/>
      <c r="H345" s="93"/>
      <c r="I345" s="123"/>
      <c r="J345" s="123"/>
      <c r="K345" s="123"/>
      <c r="L345" s="164"/>
      <c r="M345" s="93"/>
      <c r="N345" s="123"/>
      <c r="O345" s="123"/>
      <c r="P345" s="123"/>
      <c r="Q345" s="164"/>
      <c r="R345" s="93"/>
      <c r="S345" s="123"/>
      <c r="T345" s="123"/>
      <c r="U345" s="123"/>
      <c r="V345" s="164"/>
      <c r="W345" s="93"/>
      <c r="X345" s="123"/>
      <c r="Y345" s="123"/>
      <c r="Z345" s="123"/>
      <c r="AA345" s="164"/>
      <c r="AB345" s="159"/>
    </row>
    <row r="346" spans="1:28" ht="15.75" customHeight="1" x14ac:dyDescent="0.25">
      <c r="A346" s="141"/>
      <c r="B346" s="137"/>
      <c r="C346" s="130"/>
      <c r="D346" s="115"/>
      <c r="E346" s="115"/>
      <c r="F346" s="115"/>
      <c r="G346" s="157"/>
      <c r="H346" s="94"/>
      <c r="I346" s="124"/>
      <c r="J346" s="124"/>
      <c r="K346" s="124"/>
      <c r="L346" s="165"/>
      <c r="M346" s="94"/>
      <c r="N346" s="124"/>
      <c r="O346" s="124"/>
      <c r="P346" s="124"/>
      <c r="Q346" s="165"/>
      <c r="R346" s="94"/>
      <c r="S346" s="124"/>
      <c r="T346" s="124"/>
      <c r="U346" s="124"/>
      <c r="V346" s="165"/>
      <c r="W346" s="94"/>
      <c r="X346" s="124"/>
      <c r="Y346" s="124"/>
      <c r="Z346" s="124"/>
      <c r="AA346" s="165"/>
      <c r="AB346" s="160"/>
    </row>
    <row r="347" spans="1:28" ht="15.75" customHeight="1" thickBot="1" x14ac:dyDescent="0.3">
      <c r="A347" s="142"/>
      <c r="B347" s="138"/>
      <c r="C347" s="131"/>
      <c r="D347" s="116"/>
      <c r="E347" s="116"/>
      <c r="F347" s="116"/>
      <c r="G347" s="158"/>
      <c r="H347" s="95"/>
      <c r="I347" s="125"/>
      <c r="J347" s="125"/>
      <c r="K347" s="125"/>
      <c r="L347" s="166"/>
      <c r="M347" s="95"/>
      <c r="N347" s="125"/>
      <c r="O347" s="125"/>
      <c r="P347" s="125"/>
      <c r="Q347" s="166"/>
      <c r="R347" s="95"/>
      <c r="S347" s="125"/>
      <c r="T347" s="125"/>
      <c r="U347" s="125"/>
      <c r="V347" s="166"/>
      <c r="W347" s="95"/>
      <c r="X347" s="125"/>
      <c r="Y347" s="125"/>
      <c r="Z347" s="125"/>
      <c r="AA347" s="166"/>
      <c r="AB347" s="161"/>
    </row>
    <row r="348" spans="1:28" ht="15" x14ac:dyDescent="0.25">
      <c r="A348" s="28"/>
    </row>
    <row r="349" spans="1:28" ht="15" x14ac:dyDescent="0.25">
      <c r="A349" s="28"/>
      <c r="B349" s="26" t="s">
        <v>35</v>
      </c>
      <c r="E349" s="21" t="s">
        <v>41</v>
      </c>
      <c r="I349" s="21" t="s">
        <v>42</v>
      </c>
      <c r="M349" s="21" t="s">
        <v>43</v>
      </c>
      <c r="Q349" s="21" t="s">
        <v>44</v>
      </c>
      <c r="U349" s="21" t="s">
        <v>45</v>
      </c>
      <c r="Y349" s="21" t="s">
        <v>46</v>
      </c>
    </row>
    <row r="350" spans="1:28" ht="15" x14ac:dyDescent="0.25">
      <c r="A350" s="28"/>
    </row>
    <row r="354" spans="1:32" ht="24.6" x14ac:dyDescent="0.25">
      <c r="A354" s="144" t="str">
        <f>'INSCRIPCION '!A$1</f>
        <v>TIRADA</v>
      </c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</row>
    <row r="355" spans="1:32" ht="19.5" customHeight="1" x14ac:dyDescent="0.4">
      <c r="A355" s="23"/>
      <c r="B355" s="23"/>
    </row>
    <row r="356" spans="1:32" ht="21.75" customHeight="1" x14ac:dyDescent="0.25">
      <c r="A356" s="132" t="str">
        <f>'INSCRIPCION '!A$2</f>
        <v>CAMPO DE TIRO LA ISLA</v>
      </c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</row>
    <row r="357" spans="1:32" ht="19.5" customHeight="1" x14ac:dyDescent="0.25">
      <c r="A357" s="143" t="str">
        <f>'INSCRIPCION '!A$3</f>
        <v>XXX PLATOS</v>
      </c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</row>
    <row r="358" spans="1:32" ht="22.8" x14ac:dyDescent="0.4">
      <c r="A358" s="24"/>
      <c r="B358" s="24"/>
    </row>
    <row r="359" spans="1:32" ht="17.399999999999999" x14ac:dyDescent="0.3">
      <c r="A359" s="25" t="s">
        <v>20</v>
      </c>
      <c r="B359" s="25"/>
      <c r="J359" s="9" t="s">
        <v>6</v>
      </c>
      <c r="K359" s="9"/>
      <c r="L359" s="9"/>
      <c r="M359" s="9"/>
      <c r="N359" s="9"/>
      <c r="O359" s="22">
        <v>2</v>
      </c>
      <c r="P359" s="22"/>
      <c r="Q359" s="8"/>
      <c r="R359" s="8"/>
      <c r="S359" s="7"/>
      <c r="T359" s="8"/>
      <c r="U359" s="8"/>
      <c r="V359" s="9" t="s">
        <v>7</v>
      </c>
      <c r="W359" s="9"/>
      <c r="X359" s="9"/>
      <c r="Y359" s="9"/>
      <c r="Z359" s="22">
        <v>3</v>
      </c>
      <c r="AA359" s="22"/>
    </row>
    <row r="360" spans="1:32" ht="13.8" thickBot="1" x14ac:dyDescent="0.3"/>
    <row r="361" spans="1:32" ht="15.6" thickBot="1" x14ac:dyDescent="0.3">
      <c r="A361" s="27" t="s">
        <v>0</v>
      </c>
      <c r="B361" s="27" t="s">
        <v>8</v>
      </c>
      <c r="C361" s="47">
        <v>1</v>
      </c>
      <c r="D361" s="48">
        <v>2</v>
      </c>
      <c r="E361" s="48">
        <v>3</v>
      </c>
      <c r="F361" s="48">
        <v>4</v>
      </c>
      <c r="G361" s="49">
        <v>5</v>
      </c>
      <c r="H361" s="47">
        <v>6</v>
      </c>
      <c r="I361" s="48">
        <v>7</v>
      </c>
      <c r="J361" s="48">
        <v>8</v>
      </c>
      <c r="K361" s="48">
        <v>9</v>
      </c>
      <c r="L361" s="49">
        <v>10</v>
      </c>
      <c r="M361" s="47">
        <v>11</v>
      </c>
      <c r="N361" s="48">
        <v>12</v>
      </c>
      <c r="O361" s="48">
        <v>13</v>
      </c>
      <c r="P361" s="48">
        <v>14</v>
      </c>
      <c r="Q361" s="49">
        <v>15</v>
      </c>
      <c r="R361" s="47">
        <v>16</v>
      </c>
      <c r="S361" s="48">
        <v>17</v>
      </c>
      <c r="T361" s="48">
        <v>18</v>
      </c>
      <c r="U361" s="48">
        <v>19</v>
      </c>
      <c r="V361" s="49">
        <v>20</v>
      </c>
      <c r="W361" s="47">
        <v>21</v>
      </c>
      <c r="X361" s="48">
        <v>22</v>
      </c>
      <c r="Y361" s="48">
        <v>23</v>
      </c>
      <c r="Z361" s="48">
        <v>24</v>
      </c>
      <c r="AA361" s="49">
        <v>25</v>
      </c>
      <c r="AB361" s="30" t="s">
        <v>1</v>
      </c>
    </row>
    <row r="362" spans="1:32" ht="15.75" customHeight="1" x14ac:dyDescent="0.25">
      <c r="A362" s="153">
        <f>ESCUADRAS!B77</f>
        <v>71</v>
      </c>
      <c r="B362" s="153">
        <f>ESCUADRAS!C77</f>
        <v>0</v>
      </c>
      <c r="C362" s="129"/>
      <c r="D362" s="114"/>
      <c r="E362" s="114"/>
      <c r="F362" s="114"/>
      <c r="G362" s="156"/>
      <c r="H362" s="129"/>
      <c r="I362" s="114"/>
      <c r="J362" s="114"/>
      <c r="K362" s="114"/>
      <c r="L362" s="156"/>
      <c r="M362" s="129"/>
      <c r="N362" s="114"/>
      <c r="O362" s="114"/>
      <c r="P362" s="114"/>
      <c r="Q362" s="156"/>
      <c r="R362" s="129"/>
      <c r="S362" s="114"/>
      <c r="T362" s="114"/>
      <c r="U362" s="114"/>
      <c r="V362" s="156"/>
      <c r="W362" s="129"/>
      <c r="X362" s="114"/>
      <c r="Y362" s="114"/>
      <c r="Z362" s="114"/>
      <c r="AA362" s="156"/>
      <c r="AB362" s="159"/>
    </row>
    <row r="363" spans="1:32" ht="15.75" customHeight="1" x14ac:dyDescent="0.25">
      <c r="A363" s="154"/>
      <c r="B363" s="154"/>
      <c r="C363" s="130"/>
      <c r="D363" s="115"/>
      <c r="E363" s="115"/>
      <c r="F363" s="115"/>
      <c r="G363" s="157"/>
      <c r="H363" s="130"/>
      <c r="I363" s="115"/>
      <c r="J363" s="115"/>
      <c r="K363" s="115"/>
      <c r="L363" s="157"/>
      <c r="M363" s="130"/>
      <c r="N363" s="115"/>
      <c r="O363" s="115"/>
      <c r="P363" s="115"/>
      <c r="Q363" s="157"/>
      <c r="R363" s="130"/>
      <c r="S363" s="115"/>
      <c r="T363" s="115"/>
      <c r="U363" s="115"/>
      <c r="V363" s="157"/>
      <c r="W363" s="130"/>
      <c r="X363" s="115"/>
      <c r="Y363" s="115"/>
      <c r="Z363" s="115"/>
      <c r="AA363" s="157"/>
      <c r="AB363" s="160"/>
    </row>
    <row r="364" spans="1:32" ht="15.75" customHeight="1" thickBot="1" x14ac:dyDescent="0.3">
      <c r="A364" s="155"/>
      <c r="B364" s="155"/>
      <c r="C364" s="131"/>
      <c r="D364" s="116"/>
      <c r="E364" s="116"/>
      <c r="F364" s="116"/>
      <c r="G364" s="158"/>
      <c r="H364" s="131"/>
      <c r="I364" s="116"/>
      <c r="J364" s="116"/>
      <c r="K364" s="116"/>
      <c r="L364" s="158"/>
      <c r="M364" s="131"/>
      <c r="N364" s="116"/>
      <c r="O364" s="116"/>
      <c r="P364" s="116"/>
      <c r="Q364" s="158"/>
      <c r="R364" s="131"/>
      <c r="S364" s="116"/>
      <c r="T364" s="116"/>
      <c r="U364" s="116"/>
      <c r="V364" s="158"/>
      <c r="W364" s="131"/>
      <c r="X364" s="116"/>
      <c r="Y364" s="116"/>
      <c r="Z364" s="116"/>
      <c r="AA364" s="158"/>
      <c r="AB364" s="161"/>
    </row>
    <row r="365" spans="1:32" ht="15.75" customHeight="1" x14ac:dyDescent="0.25">
      <c r="A365" s="136">
        <f>ESCUADRAS!B78</f>
        <v>72</v>
      </c>
      <c r="B365" s="136">
        <f>ESCUADRAS!C78</f>
        <v>0</v>
      </c>
      <c r="C365" s="93"/>
      <c r="D365" s="123"/>
      <c r="E365" s="123"/>
      <c r="F365" s="123"/>
      <c r="G365" s="164"/>
      <c r="H365" s="93"/>
      <c r="I365" s="123"/>
      <c r="J365" s="123"/>
      <c r="K365" s="123"/>
      <c r="L365" s="164"/>
      <c r="M365" s="93"/>
      <c r="N365" s="123"/>
      <c r="O365" s="123"/>
      <c r="P365" s="123"/>
      <c r="Q365" s="164"/>
      <c r="R365" s="93"/>
      <c r="S365" s="123"/>
      <c r="T365" s="123"/>
      <c r="U365" s="123"/>
      <c r="V365" s="164"/>
      <c r="W365" s="129"/>
      <c r="X365" s="114"/>
      <c r="Y365" s="114"/>
      <c r="Z365" s="114"/>
      <c r="AA365" s="156"/>
      <c r="AB365" s="159"/>
    </row>
    <row r="366" spans="1:32" ht="15.75" customHeight="1" x14ac:dyDescent="0.25">
      <c r="A366" s="137"/>
      <c r="B366" s="137"/>
      <c r="C366" s="94"/>
      <c r="D366" s="124"/>
      <c r="E366" s="124"/>
      <c r="F366" s="124"/>
      <c r="G366" s="165"/>
      <c r="H366" s="94"/>
      <c r="I366" s="124"/>
      <c r="J366" s="124"/>
      <c r="K366" s="124"/>
      <c r="L366" s="165"/>
      <c r="M366" s="94"/>
      <c r="N366" s="124"/>
      <c r="O366" s="124"/>
      <c r="P366" s="124"/>
      <c r="Q366" s="165"/>
      <c r="R366" s="94"/>
      <c r="S366" s="124"/>
      <c r="T366" s="124"/>
      <c r="U366" s="124"/>
      <c r="V366" s="165"/>
      <c r="W366" s="130"/>
      <c r="X366" s="115"/>
      <c r="Y366" s="115"/>
      <c r="Z366" s="115"/>
      <c r="AA366" s="157"/>
      <c r="AB366" s="160"/>
    </row>
    <row r="367" spans="1:32" ht="15.75" customHeight="1" thickBot="1" x14ac:dyDescent="0.3">
      <c r="A367" s="138"/>
      <c r="B367" s="138"/>
      <c r="C367" s="95"/>
      <c r="D367" s="125"/>
      <c r="E367" s="125"/>
      <c r="F367" s="125"/>
      <c r="G367" s="166"/>
      <c r="H367" s="95"/>
      <c r="I367" s="125"/>
      <c r="J367" s="125"/>
      <c r="K367" s="125"/>
      <c r="L367" s="166"/>
      <c r="M367" s="95"/>
      <c r="N367" s="125"/>
      <c r="O367" s="125"/>
      <c r="P367" s="125"/>
      <c r="Q367" s="166"/>
      <c r="R367" s="95"/>
      <c r="S367" s="125"/>
      <c r="T367" s="125"/>
      <c r="U367" s="125"/>
      <c r="V367" s="166"/>
      <c r="W367" s="131"/>
      <c r="X367" s="116"/>
      <c r="Y367" s="116"/>
      <c r="Z367" s="116"/>
      <c r="AA367" s="158"/>
      <c r="AB367" s="161"/>
    </row>
    <row r="368" spans="1:32" ht="15.75" customHeight="1" x14ac:dyDescent="0.25">
      <c r="A368" s="153">
        <f>ESCUADRAS!B73</f>
        <v>67</v>
      </c>
      <c r="B368" s="153">
        <f>ESCUADRAS!C73</f>
        <v>0</v>
      </c>
      <c r="C368" s="93"/>
      <c r="D368" s="123"/>
      <c r="E368" s="123"/>
      <c r="F368" s="123"/>
      <c r="G368" s="164"/>
      <c r="H368" s="93"/>
      <c r="I368" s="123"/>
      <c r="J368" s="123"/>
      <c r="K368" s="123"/>
      <c r="L368" s="164"/>
      <c r="M368" s="93"/>
      <c r="N368" s="123"/>
      <c r="O368" s="123"/>
      <c r="P368" s="123"/>
      <c r="Q368" s="164"/>
      <c r="R368" s="129"/>
      <c r="S368" s="114"/>
      <c r="T368" s="114"/>
      <c r="U368" s="114"/>
      <c r="V368" s="156"/>
      <c r="W368" s="93"/>
      <c r="X368" s="123"/>
      <c r="Y368" s="123"/>
      <c r="Z368" s="123"/>
      <c r="AA368" s="164"/>
      <c r="AB368" s="159"/>
    </row>
    <row r="369" spans="1:28" ht="15.75" customHeight="1" x14ac:dyDescent="0.25">
      <c r="A369" s="154"/>
      <c r="B369" s="154"/>
      <c r="C369" s="94"/>
      <c r="D369" s="124"/>
      <c r="E369" s="124"/>
      <c r="F369" s="124"/>
      <c r="G369" s="165"/>
      <c r="H369" s="94"/>
      <c r="I369" s="124"/>
      <c r="J369" s="124"/>
      <c r="K369" s="124"/>
      <c r="L369" s="165"/>
      <c r="M369" s="94"/>
      <c r="N369" s="124"/>
      <c r="O369" s="124"/>
      <c r="P369" s="124"/>
      <c r="Q369" s="165"/>
      <c r="R369" s="130"/>
      <c r="S369" s="115"/>
      <c r="T369" s="115"/>
      <c r="U369" s="115"/>
      <c r="V369" s="157"/>
      <c r="W369" s="94"/>
      <c r="X369" s="124"/>
      <c r="Y369" s="124"/>
      <c r="Z369" s="124"/>
      <c r="AA369" s="165"/>
      <c r="AB369" s="160"/>
    </row>
    <row r="370" spans="1:28" ht="15.75" customHeight="1" thickBot="1" x14ac:dyDescent="0.3">
      <c r="A370" s="155"/>
      <c r="B370" s="155"/>
      <c r="C370" s="95"/>
      <c r="D370" s="125"/>
      <c r="E370" s="125"/>
      <c r="F370" s="125"/>
      <c r="G370" s="166"/>
      <c r="H370" s="95"/>
      <c r="I370" s="125"/>
      <c r="J370" s="125"/>
      <c r="K370" s="125"/>
      <c r="L370" s="166"/>
      <c r="M370" s="95"/>
      <c r="N370" s="125"/>
      <c r="O370" s="125"/>
      <c r="P370" s="125"/>
      <c r="Q370" s="166"/>
      <c r="R370" s="131"/>
      <c r="S370" s="116"/>
      <c r="T370" s="116"/>
      <c r="U370" s="116"/>
      <c r="V370" s="158"/>
      <c r="W370" s="95"/>
      <c r="X370" s="125"/>
      <c r="Y370" s="125"/>
      <c r="Z370" s="125"/>
      <c r="AA370" s="166"/>
      <c r="AB370" s="161"/>
    </row>
    <row r="371" spans="1:28" ht="15.75" customHeight="1" x14ac:dyDescent="0.25">
      <c r="A371" s="136">
        <f>ESCUADRAS!B74</f>
        <v>68</v>
      </c>
      <c r="B371" s="136">
        <f>ESCUADRAS!C74</f>
        <v>0</v>
      </c>
      <c r="C371" s="93"/>
      <c r="D371" s="123"/>
      <c r="E371" s="123"/>
      <c r="F371" s="123"/>
      <c r="G371" s="164"/>
      <c r="H371" s="93"/>
      <c r="I371" s="123"/>
      <c r="J371" s="123"/>
      <c r="K371" s="123"/>
      <c r="L371" s="164"/>
      <c r="M371" s="129"/>
      <c r="N371" s="114"/>
      <c r="O371" s="114"/>
      <c r="P371" s="114"/>
      <c r="Q371" s="156"/>
      <c r="R371" s="93"/>
      <c r="S371" s="123"/>
      <c r="T371" s="123"/>
      <c r="U371" s="123"/>
      <c r="V371" s="164"/>
      <c r="W371" s="93"/>
      <c r="X371" s="123"/>
      <c r="Y371" s="123"/>
      <c r="Z371" s="123"/>
      <c r="AA371" s="164"/>
      <c r="AB371" s="159"/>
    </row>
    <row r="372" spans="1:28" ht="15.75" customHeight="1" x14ac:dyDescent="0.25">
      <c r="A372" s="137"/>
      <c r="B372" s="137"/>
      <c r="C372" s="94"/>
      <c r="D372" s="124"/>
      <c r="E372" s="124"/>
      <c r="F372" s="124"/>
      <c r="G372" s="165"/>
      <c r="H372" s="94"/>
      <c r="I372" s="124"/>
      <c r="J372" s="124"/>
      <c r="K372" s="124"/>
      <c r="L372" s="165"/>
      <c r="M372" s="130"/>
      <c r="N372" s="115"/>
      <c r="O372" s="115"/>
      <c r="P372" s="115"/>
      <c r="Q372" s="157"/>
      <c r="R372" s="94"/>
      <c r="S372" s="124"/>
      <c r="T372" s="124"/>
      <c r="U372" s="124"/>
      <c r="V372" s="165"/>
      <c r="W372" s="94"/>
      <c r="X372" s="124"/>
      <c r="Y372" s="124"/>
      <c r="Z372" s="124"/>
      <c r="AA372" s="165"/>
      <c r="AB372" s="160"/>
    </row>
    <row r="373" spans="1:28" ht="15.75" customHeight="1" thickBot="1" x14ac:dyDescent="0.3">
      <c r="A373" s="138"/>
      <c r="B373" s="138"/>
      <c r="C373" s="95"/>
      <c r="D373" s="125"/>
      <c r="E373" s="125"/>
      <c r="F373" s="125"/>
      <c r="G373" s="166"/>
      <c r="H373" s="95"/>
      <c r="I373" s="125"/>
      <c r="J373" s="125"/>
      <c r="K373" s="125"/>
      <c r="L373" s="166"/>
      <c r="M373" s="131"/>
      <c r="N373" s="116"/>
      <c r="O373" s="116"/>
      <c r="P373" s="116"/>
      <c r="Q373" s="158"/>
      <c r="R373" s="95"/>
      <c r="S373" s="125"/>
      <c r="T373" s="125"/>
      <c r="U373" s="125"/>
      <c r="V373" s="166"/>
      <c r="W373" s="95"/>
      <c r="X373" s="125"/>
      <c r="Y373" s="125"/>
      <c r="Z373" s="125"/>
      <c r="AA373" s="166"/>
      <c r="AB373" s="161"/>
    </row>
    <row r="374" spans="1:28" ht="15.75" customHeight="1" x14ac:dyDescent="0.25">
      <c r="A374" s="153">
        <f>ESCUADRAS!B75</f>
        <v>69</v>
      </c>
      <c r="B374" s="153">
        <f>ESCUADRAS!C75</f>
        <v>0</v>
      </c>
      <c r="C374" s="93"/>
      <c r="D374" s="123"/>
      <c r="E374" s="123"/>
      <c r="F374" s="123"/>
      <c r="G374" s="164"/>
      <c r="H374" s="129"/>
      <c r="I374" s="114"/>
      <c r="J374" s="114"/>
      <c r="K374" s="114"/>
      <c r="L374" s="156"/>
      <c r="M374" s="93"/>
      <c r="N374" s="123"/>
      <c r="O374" s="123"/>
      <c r="P374" s="123"/>
      <c r="Q374" s="164"/>
      <c r="R374" s="93"/>
      <c r="S374" s="123"/>
      <c r="T374" s="123"/>
      <c r="U374" s="123"/>
      <c r="V374" s="164"/>
      <c r="W374" s="93"/>
      <c r="X374" s="123"/>
      <c r="Y374" s="123"/>
      <c r="Z374" s="123"/>
      <c r="AA374" s="164"/>
      <c r="AB374" s="159"/>
    </row>
    <row r="375" spans="1:28" ht="15.75" customHeight="1" x14ac:dyDescent="0.25">
      <c r="A375" s="154"/>
      <c r="B375" s="154"/>
      <c r="C375" s="94"/>
      <c r="D375" s="124"/>
      <c r="E375" s="124"/>
      <c r="F375" s="124"/>
      <c r="G375" s="165"/>
      <c r="H375" s="130"/>
      <c r="I375" s="115"/>
      <c r="J375" s="115"/>
      <c r="K375" s="115"/>
      <c r="L375" s="157"/>
      <c r="M375" s="94"/>
      <c r="N375" s="124"/>
      <c r="O375" s="124"/>
      <c r="P375" s="124"/>
      <c r="Q375" s="165"/>
      <c r="R375" s="94"/>
      <c r="S375" s="124"/>
      <c r="T375" s="124"/>
      <c r="U375" s="124"/>
      <c r="V375" s="165"/>
      <c r="W375" s="94"/>
      <c r="X375" s="124"/>
      <c r="Y375" s="124"/>
      <c r="Z375" s="124"/>
      <c r="AA375" s="165"/>
      <c r="AB375" s="160"/>
    </row>
    <row r="376" spans="1:28" ht="15.75" customHeight="1" thickBot="1" x14ac:dyDescent="0.3">
      <c r="A376" s="155"/>
      <c r="B376" s="155"/>
      <c r="C376" s="95"/>
      <c r="D376" s="125"/>
      <c r="E376" s="125"/>
      <c r="F376" s="125"/>
      <c r="G376" s="166"/>
      <c r="H376" s="131"/>
      <c r="I376" s="116"/>
      <c r="J376" s="116"/>
      <c r="K376" s="116"/>
      <c r="L376" s="158"/>
      <c r="M376" s="95"/>
      <c r="N376" s="125"/>
      <c r="O376" s="125"/>
      <c r="P376" s="125"/>
      <c r="Q376" s="166"/>
      <c r="R376" s="95"/>
      <c r="S376" s="125"/>
      <c r="T376" s="125"/>
      <c r="U376" s="125"/>
      <c r="V376" s="166"/>
      <c r="W376" s="95"/>
      <c r="X376" s="125"/>
      <c r="Y376" s="125"/>
      <c r="Z376" s="125"/>
      <c r="AA376" s="166"/>
      <c r="AB376" s="161"/>
    </row>
    <row r="377" spans="1:28" ht="15.75" customHeight="1" x14ac:dyDescent="0.25">
      <c r="A377" s="136">
        <f>ESCUADRAS!B76</f>
        <v>70</v>
      </c>
      <c r="B377" s="136">
        <f>ESCUADRAS!C76</f>
        <v>0</v>
      </c>
      <c r="C377" s="129"/>
      <c r="D377" s="114"/>
      <c r="E377" s="114"/>
      <c r="F377" s="114"/>
      <c r="G377" s="156"/>
      <c r="H377" s="93"/>
      <c r="I377" s="123"/>
      <c r="J377" s="123"/>
      <c r="K377" s="123"/>
      <c r="L377" s="164"/>
      <c r="M377" s="93"/>
      <c r="N377" s="123"/>
      <c r="O377" s="123"/>
      <c r="P377" s="123"/>
      <c r="Q377" s="164"/>
      <c r="R377" s="93"/>
      <c r="S377" s="123"/>
      <c r="T377" s="123"/>
      <c r="U377" s="123"/>
      <c r="V377" s="164"/>
      <c r="W377" s="93"/>
      <c r="X377" s="123"/>
      <c r="Y377" s="123"/>
      <c r="Z377" s="123"/>
      <c r="AA377" s="164"/>
      <c r="AB377" s="159"/>
    </row>
    <row r="378" spans="1:28" ht="15.75" customHeight="1" x14ac:dyDescent="0.25">
      <c r="A378" s="137"/>
      <c r="B378" s="137"/>
      <c r="C378" s="130"/>
      <c r="D378" s="115"/>
      <c r="E378" s="115"/>
      <c r="F378" s="115"/>
      <c r="G378" s="157"/>
      <c r="H378" s="94"/>
      <c r="I378" s="124"/>
      <c r="J378" s="124"/>
      <c r="K378" s="124"/>
      <c r="L378" s="165"/>
      <c r="M378" s="94"/>
      <c r="N378" s="124"/>
      <c r="O378" s="124"/>
      <c r="P378" s="124"/>
      <c r="Q378" s="165"/>
      <c r="R378" s="94"/>
      <c r="S378" s="124"/>
      <c r="T378" s="124"/>
      <c r="U378" s="124"/>
      <c r="V378" s="165"/>
      <c r="W378" s="94"/>
      <c r="X378" s="124"/>
      <c r="Y378" s="124"/>
      <c r="Z378" s="124"/>
      <c r="AA378" s="165"/>
      <c r="AB378" s="160"/>
    </row>
    <row r="379" spans="1:28" ht="15.75" customHeight="1" thickBot="1" x14ac:dyDescent="0.3">
      <c r="A379" s="138"/>
      <c r="B379" s="138"/>
      <c r="C379" s="131"/>
      <c r="D379" s="116"/>
      <c r="E379" s="116"/>
      <c r="F379" s="116"/>
      <c r="G379" s="158"/>
      <c r="H379" s="95"/>
      <c r="I379" s="125"/>
      <c r="J379" s="125"/>
      <c r="K379" s="125"/>
      <c r="L379" s="166"/>
      <c r="M379" s="95"/>
      <c r="N379" s="125"/>
      <c r="O379" s="125"/>
      <c r="P379" s="125"/>
      <c r="Q379" s="166"/>
      <c r="R379" s="95"/>
      <c r="S379" s="125"/>
      <c r="T379" s="125"/>
      <c r="U379" s="125"/>
      <c r="V379" s="166"/>
      <c r="W379" s="95"/>
      <c r="X379" s="125"/>
      <c r="Y379" s="125"/>
      <c r="Z379" s="125"/>
      <c r="AA379" s="166"/>
      <c r="AB379" s="161"/>
    </row>
    <row r="380" spans="1:28" ht="15" x14ac:dyDescent="0.25">
      <c r="A380" s="28"/>
    </row>
    <row r="381" spans="1:28" ht="15" x14ac:dyDescent="0.25">
      <c r="A381" s="28"/>
      <c r="B381" s="26" t="s">
        <v>35</v>
      </c>
      <c r="E381" s="21" t="s">
        <v>41</v>
      </c>
      <c r="I381" s="21" t="s">
        <v>42</v>
      </c>
      <c r="M381" s="21" t="s">
        <v>43</v>
      </c>
      <c r="Q381" s="21" t="s">
        <v>44</v>
      </c>
      <c r="U381" s="21" t="s">
        <v>45</v>
      </c>
      <c r="Y381" s="21" t="s">
        <v>46</v>
      </c>
    </row>
    <row r="382" spans="1:28" ht="15" x14ac:dyDescent="0.25">
      <c r="A382" s="28"/>
    </row>
    <row r="386" spans="1:32" ht="24.6" x14ac:dyDescent="0.25">
      <c r="A386" s="144" t="str">
        <f>'INSCRIPCION '!A$1</f>
        <v>TIRADA</v>
      </c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</row>
    <row r="387" spans="1:32" ht="19.5" customHeight="1" x14ac:dyDescent="0.4">
      <c r="A387" s="23"/>
      <c r="B387" s="23"/>
    </row>
    <row r="388" spans="1:32" ht="21.75" customHeight="1" x14ac:dyDescent="0.25">
      <c r="A388" s="132" t="str">
        <f>'INSCRIPCION '!A$2</f>
        <v>CAMPO DE TIRO LA ISLA</v>
      </c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</row>
    <row r="389" spans="1:32" ht="19.5" customHeight="1" x14ac:dyDescent="0.25">
      <c r="A389" s="143" t="str">
        <f>'INSCRIPCION '!A$3</f>
        <v>XXX PLATOS</v>
      </c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</row>
    <row r="390" spans="1:32" ht="22.8" x14ac:dyDescent="0.4">
      <c r="A390" s="24"/>
      <c r="B390" s="24"/>
    </row>
    <row r="391" spans="1:32" ht="17.399999999999999" x14ac:dyDescent="0.3">
      <c r="A391" s="25" t="s">
        <v>21</v>
      </c>
      <c r="B391" s="25"/>
      <c r="J391" s="9" t="s">
        <v>6</v>
      </c>
      <c r="K391" s="9"/>
      <c r="L391" s="9"/>
      <c r="M391" s="9"/>
      <c r="N391" s="9"/>
      <c r="O391" s="22">
        <v>3</v>
      </c>
      <c r="P391" s="22"/>
      <c r="Q391" s="8"/>
      <c r="R391" s="8"/>
      <c r="S391" s="7"/>
      <c r="T391" s="8"/>
      <c r="U391" s="8"/>
      <c r="V391" s="9" t="s">
        <v>7</v>
      </c>
      <c r="W391" s="9"/>
      <c r="X391" s="9"/>
      <c r="Y391" s="9"/>
      <c r="Z391" s="22">
        <v>3</v>
      </c>
      <c r="AA391" s="22"/>
    </row>
    <row r="392" spans="1:32" ht="13.8" thickBot="1" x14ac:dyDescent="0.3"/>
    <row r="393" spans="1:32" ht="15.6" thickBot="1" x14ac:dyDescent="0.3">
      <c r="A393" s="27" t="s">
        <v>0</v>
      </c>
      <c r="B393" s="27" t="s">
        <v>8</v>
      </c>
      <c r="C393" s="47">
        <v>1</v>
      </c>
      <c r="D393" s="48">
        <v>2</v>
      </c>
      <c r="E393" s="48">
        <v>3</v>
      </c>
      <c r="F393" s="48">
        <v>4</v>
      </c>
      <c r="G393" s="49">
        <v>5</v>
      </c>
      <c r="H393" s="47">
        <v>6</v>
      </c>
      <c r="I393" s="48">
        <v>7</v>
      </c>
      <c r="J393" s="48">
        <v>8</v>
      </c>
      <c r="K393" s="48">
        <v>9</v>
      </c>
      <c r="L393" s="49">
        <v>10</v>
      </c>
      <c r="M393" s="47">
        <v>11</v>
      </c>
      <c r="N393" s="48">
        <v>12</v>
      </c>
      <c r="O393" s="48">
        <v>13</v>
      </c>
      <c r="P393" s="48">
        <v>14</v>
      </c>
      <c r="Q393" s="49">
        <v>15</v>
      </c>
      <c r="R393" s="47">
        <v>16</v>
      </c>
      <c r="S393" s="48">
        <v>17</v>
      </c>
      <c r="T393" s="48">
        <v>18</v>
      </c>
      <c r="U393" s="48">
        <v>19</v>
      </c>
      <c r="V393" s="49">
        <v>20</v>
      </c>
      <c r="W393" s="47">
        <v>21</v>
      </c>
      <c r="X393" s="48">
        <v>22</v>
      </c>
      <c r="Y393" s="48">
        <v>23</v>
      </c>
      <c r="Z393" s="48">
        <v>24</v>
      </c>
      <c r="AA393" s="49">
        <v>25</v>
      </c>
      <c r="AB393" s="30" t="s">
        <v>1</v>
      </c>
    </row>
    <row r="394" spans="1:32" ht="15.75" customHeight="1" thickTop="1" x14ac:dyDescent="0.25">
      <c r="A394" s="150">
        <f>ESCUADRAS!B79</f>
        <v>73</v>
      </c>
      <c r="B394" s="153">
        <f>ESCUADRAS!C83</f>
        <v>0</v>
      </c>
      <c r="C394" s="129"/>
      <c r="D394" s="114"/>
      <c r="E394" s="114"/>
      <c r="F394" s="114"/>
      <c r="G394" s="156"/>
      <c r="H394" s="129"/>
      <c r="I394" s="114"/>
      <c r="J394" s="114"/>
      <c r="K394" s="114"/>
      <c r="L394" s="156"/>
      <c r="M394" s="129"/>
      <c r="N394" s="114"/>
      <c r="O394" s="114"/>
      <c r="P394" s="114"/>
      <c r="Q394" s="156"/>
      <c r="R394" s="129"/>
      <c r="S394" s="114"/>
      <c r="T394" s="114"/>
      <c r="U394" s="114"/>
      <c r="V394" s="156"/>
      <c r="W394" s="129"/>
      <c r="X394" s="114"/>
      <c r="Y394" s="114"/>
      <c r="Z394" s="114"/>
      <c r="AA394" s="156"/>
      <c r="AB394" s="159"/>
    </row>
    <row r="395" spans="1:32" ht="15.75" customHeight="1" x14ac:dyDescent="0.25">
      <c r="A395" s="151"/>
      <c r="B395" s="154"/>
      <c r="C395" s="130"/>
      <c r="D395" s="115"/>
      <c r="E395" s="115"/>
      <c r="F395" s="115"/>
      <c r="G395" s="157"/>
      <c r="H395" s="130"/>
      <c r="I395" s="115"/>
      <c r="J395" s="115"/>
      <c r="K395" s="115"/>
      <c r="L395" s="157"/>
      <c r="M395" s="130"/>
      <c r="N395" s="115"/>
      <c r="O395" s="115"/>
      <c r="P395" s="115"/>
      <c r="Q395" s="157"/>
      <c r="R395" s="130"/>
      <c r="S395" s="115"/>
      <c r="T395" s="115"/>
      <c r="U395" s="115"/>
      <c r="V395" s="157"/>
      <c r="W395" s="130"/>
      <c r="X395" s="115"/>
      <c r="Y395" s="115"/>
      <c r="Z395" s="115"/>
      <c r="AA395" s="157"/>
      <c r="AB395" s="160"/>
    </row>
    <row r="396" spans="1:32" ht="15.75" customHeight="1" thickBot="1" x14ac:dyDescent="0.3">
      <c r="A396" s="152"/>
      <c r="B396" s="155"/>
      <c r="C396" s="131"/>
      <c r="D396" s="116"/>
      <c r="E396" s="116"/>
      <c r="F396" s="116"/>
      <c r="G396" s="158"/>
      <c r="H396" s="131"/>
      <c r="I396" s="116"/>
      <c r="J396" s="116"/>
      <c r="K396" s="116"/>
      <c r="L396" s="158"/>
      <c r="M396" s="131"/>
      <c r="N396" s="116"/>
      <c r="O396" s="116"/>
      <c r="P396" s="116"/>
      <c r="Q396" s="158"/>
      <c r="R396" s="131"/>
      <c r="S396" s="116"/>
      <c r="T396" s="116"/>
      <c r="U396" s="116"/>
      <c r="V396" s="158"/>
      <c r="W396" s="131"/>
      <c r="X396" s="116"/>
      <c r="Y396" s="116"/>
      <c r="Z396" s="116"/>
      <c r="AA396" s="158"/>
      <c r="AB396" s="161"/>
    </row>
    <row r="397" spans="1:32" ht="15.75" customHeight="1" thickTop="1" x14ac:dyDescent="0.25">
      <c r="A397" s="162">
        <f>ESCUADRAS!B80</f>
        <v>74</v>
      </c>
      <c r="B397" s="136">
        <f>ESCUADRAS!C84</f>
        <v>0</v>
      </c>
      <c r="C397" s="93"/>
      <c r="D397" s="123"/>
      <c r="E397" s="123"/>
      <c r="F397" s="123"/>
      <c r="G397" s="164"/>
      <c r="H397" s="93"/>
      <c r="I397" s="123"/>
      <c r="J397" s="123"/>
      <c r="K397" s="123"/>
      <c r="L397" s="164"/>
      <c r="M397" s="93"/>
      <c r="N397" s="123"/>
      <c r="O397" s="123"/>
      <c r="P397" s="123"/>
      <c r="Q397" s="164"/>
      <c r="R397" s="93"/>
      <c r="S397" s="123"/>
      <c r="T397" s="123"/>
      <c r="U397" s="123"/>
      <c r="V397" s="164"/>
      <c r="W397" s="129"/>
      <c r="X397" s="114"/>
      <c r="Y397" s="114"/>
      <c r="Z397" s="114"/>
      <c r="AA397" s="156"/>
      <c r="AB397" s="159"/>
    </row>
    <row r="398" spans="1:32" ht="15.75" customHeight="1" x14ac:dyDescent="0.25">
      <c r="A398" s="141"/>
      <c r="B398" s="137"/>
      <c r="C398" s="94"/>
      <c r="D398" s="124"/>
      <c r="E398" s="124"/>
      <c r="F398" s="124"/>
      <c r="G398" s="165"/>
      <c r="H398" s="94"/>
      <c r="I398" s="124"/>
      <c r="J398" s="124"/>
      <c r="K398" s="124"/>
      <c r="L398" s="165"/>
      <c r="M398" s="94"/>
      <c r="N398" s="124"/>
      <c r="O398" s="124"/>
      <c r="P398" s="124"/>
      <c r="Q398" s="165"/>
      <c r="R398" s="94"/>
      <c r="S398" s="124"/>
      <c r="T398" s="124"/>
      <c r="U398" s="124"/>
      <c r="V398" s="165"/>
      <c r="W398" s="130"/>
      <c r="X398" s="115"/>
      <c r="Y398" s="115"/>
      <c r="Z398" s="115"/>
      <c r="AA398" s="157"/>
      <c r="AB398" s="160"/>
    </row>
    <row r="399" spans="1:32" ht="15.75" customHeight="1" thickBot="1" x14ac:dyDescent="0.3">
      <c r="A399" s="163"/>
      <c r="B399" s="138"/>
      <c r="C399" s="95"/>
      <c r="D399" s="125"/>
      <c r="E399" s="125"/>
      <c r="F399" s="125"/>
      <c r="G399" s="166"/>
      <c r="H399" s="95"/>
      <c r="I399" s="125"/>
      <c r="J399" s="125"/>
      <c r="K399" s="125"/>
      <c r="L399" s="166"/>
      <c r="M399" s="95"/>
      <c r="N399" s="125"/>
      <c r="O399" s="125"/>
      <c r="P399" s="125"/>
      <c r="Q399" s="166"/>
      <c r="R399" s="95"/>
      <c r="S399" s="125"/>
      <c r="T399" s="125"/>
      <c r="U399" s="125"/>
      <c r="V399" s="166"/>
      <c r="W399" s="131"/>
      <c r="X399" s="116"/>
      <c r="Y399" s="116"/>
      <c r="Z399" s="116"/>
      <c r="AA399" s="158"/>
      <c r="AB399" s="161"/>
    </row>
    <row r="400" spans="1:32" ht="15.75" customHeight="1" thickTop="1" x14ac:dyDescent="0.25">
      <c r="A400" s="150">
        <f>ESCUADRAS!B81</f>
        <v>75</v>
      </c>
      <c r="B400" s="153">
        <f>ESCUADRAS!C79</f>
        <v>0</v>
      </c>
      <c r="C400" s="93"/>
      <c r="D400" s="123"/>
      <c r="E400" s="123"/>
      <c r="F400" s="123"/>
      <c r="G400" s="164"/>
      <c r="H400" s="93"/>
      <c r="I400" s="123"/>
      <c r="J400" s="123"/>
      <c r="K400" s="123"/>
      <c r="L400" s="164"/>
      <c r="M400" s="93"/>
      <c r="N400" s="123"/>
      <c r="O400" s="123"/>
      <c r="P400" s="123"/>
      <c r="Q400" s="164"/>
      <c r="R400" s="129"/>
      <c r="S400" s="114"/>
      <c r="T400" s="114"/>
      <c r="U400" s="114"/>
      <c r="V400" s="156"/>
      <c r="W400" s="93"/>
      <c r="X400" s="123"/>
      <c r="Y400" s="123"/>
      <c r="Z400" s="123"/>
      <c r="AA400" s="164"/>
      <c r="AB400" s="159"/>
    </row>
    <row r="401" spans="1:28" ht="15.75" customHeight="1" x14ac:dyDescent="0.25">
      <c r="A401" s="151"/>
      <c r="B401" s="154"/>
      <c r="C401" s="94"/>
      <c r="D401" s="124"/>
      <c r="E401" s="124"/>
      <c r="F401" s="124"/>
      <c r="G401" s="165"/>
      <c r="H401" s="94"/>
      <c r="I401" s="124"/>
      <c r="J401" s="124"/>
      <c r="K401" s="124"/>
      <c r="L401" s="165"/>
      <c r="M401" s="94"/>
      <c r="N401" s="124"/>
      <c r="O401" s="124"/>
      <c r="P401" s="124"/>
      <c r="Q401" s="165"/>
      <c r="R401" s="130"/>
      <c r="S401" s="115"/>
      <c r="T401" s="115"/>
      <c r="U401" s="115"/>
      <c r="V401" s="157"/>
      <c r="W401" s="94"/>
      <c r="X401" s="124"/>
      <c r="Y401" s="124"/>
      <c r="Z401" s="124"/>
      <c r="AA401" s="165"/>
      <c r="AB401" s="160"/>
    </row>
    <row r="402" spans="1:28" ht="15.75" customHeight="1" thickBot="1" x14ac:dyDescent="0.3">
      <c r="A402" s="152"/>
      <c r="B402" s="155"/>
      <c r="C402" s="95"/>
      <c r="D402" s="125"/>
      <c r="E402" s="125"/>
      <c r="F402" s="125"/>
      <c r="G402" s="166"/>
      <c r="H402" s="95"/>
      <c r="I402" s="125"/>
      <c r="J402" s="125"/>
      <c r="K402" s="125"/>
      <c r="L402" s="166"/>
      <c r="M402" s="95"/>
      <c r="N402" s="125"/>
      <c r="O402" s="125"/>
      <c r="P402" s="125"/>
      <c r="Q402" s="166"/>
      <c r="R402" s="131"/>
      <c r="S402" s="116"/>
      <c r="T402" s="116"/>
      <c r="U402" s="116"/>
      <c r="V402" s="158"/>
      <c r="W402" s="95"/>
      <c r="X402" s="125"/>
      <c r="Y402" s="125"/>
      <c r="Z402" s="125"/>
      <c r="AA402" s="166"/>
      <c r="AB402" s="161"/>
    </row>
    <row r="403" spans="1:28" ht="15.75" customHeight="1" thickTop="1" x14ac:dyDescent="0.25">
      <c r="A403" s="162">
        <f>ESCUADRAS!B82</f>
        <v>76</v>
      </c>
      <c r="B403" s="136">
        <f>ESCUADRAS!C80</f>
        <v>0</v>
      </c>
      <c r="C403" s="93"/>
      <c r="D403" s="123"/>
      <c r="E403" s="123"/>
      <c r="F403" s="123"/>
      <c r="G403" s="164"/>
      <c r="H403" s="93"/>
      <c r="I403" s="123"/>
      <c r="J403" s="123"/>
      <c r="K403" s="123"/>
      <c r="L403" s="164"/>
      <c r="M403" s="129"/>
      <c r="N403" s="114"/>
      <c r="O403" s="114"/>
      <c r="P403" s="114"/>
      <c r="Q403" s="156"/>
      <c r="R403" s="93"/>
      <c r="S403" s="123"/>
      <c r="T403" s="123"/>
      <c r="U403" s="123"/>
      <c r="V403" s="164"/>
      <c r="W403" s="93"/>
      <c r="X403" s="123"/>
      <c r="Y403" s="123"/>
      <c r="Z403" s="123"/>
      <c r="AA403" s="164"/>
      <c r="AB403" s="159"/>
    </row>
    <row r="404" spans="1:28" ht="15.75" customHeight="1" x14ac:dyDescent="0.25">
      <c r="A404" s="141"/>
      <c r="B404" s="137"/>
      <c r="C404" s="94"/>
      <c r="D404" s="124"/>
      <c r="E404" s="124"/>
      <c r="F404" s="124"/>
      <c r="G404" s="165"/>
      <c r="H404" s="94"/>
      <c r="I404" s="124"/>
      <c r="J404" s="124"/>
      <c r="K404" s="124"/>
      <c r="L404" s="165"/>
      <c r="M404" s="130"/>
      <c r="N404" s="115"/>
      <c r="O404" s="115"/>
      <c r="P404" s="115"/>
      <c r="Q404" s="157"/>
      <c r="R404" s="94"/>
      <c r="S404" s="124"/>
      <c r="T404" s="124"/>
      <c r="U404" s="124"/>
      <c r="V404" s="165"/>
      <c r="W404" s="94"/>
      <c r="X404" s="124"/>
      <c r="Y404" s="124"/>
      <c r="Z404" s="124"/>
      <c r="AA404" s="165"/>
      <c r="AB404" s="160"/>
    </row>
    <row r="405" spans="1:28" ht="15.75" customHeight="1" thickBot="1" x14ac:dyDescent="0.3">
      <c r="A405" s="163"/>
      <c r="B405" s="138"/>
      <c r="C405" s="95"/>
      <c r="D405" s="125"/>
      <c r="E405" s="125"/>
      <c r="F405" s="125"/>
      <c r="G405" s="166"/>
      <c r="H405" s="95"/>
      <c r="I405" s="125"/>
      <c r="J405" s="125"/>
      <c r="K405" s="125"/>
      <c r="L405" s="166"/>
      <c r="M405" s="131"/>
      <c r="N405" s="116"/>
      <c r="O405" s="116"/>
      <c r="P405" s="116"/>
      <c r="Q405" s="158"/>
      <c r="R405" s="95"/>
      <c r="S405" s="125"/>
      <c r="T405" s="125"/>
      <c r="U405" s="125"/>
      <c r="V405" s="166"/>
      <c r="W405" s="95"/>
      <c r="X405" s="125"/>
      <c r="Y405" s="125"/>
      <c r="Z405" s="125"/>
      <c r="AA405" s="166"/>
      <c r="AB405" s="161"/>
    </row>
    <row r="406" spans="1:28" ht="15.75" customHeight="1" thickTop="1" x14ac:dyDescent="0.25">
      <c r="A406" s="150">
        <f>ESCUADRAS!B83</f>
        <v>77</v>
      </c>
      <c r="B406" s="153">
        <f>ESCUADRAS!C81</f>
        <v>0</v>
      </c>
      <c r="C406" s="93"/>
      <c r="D406" s="123"/>
      <c r="E406" s="123"/>
      <c r="F406" s="123"/>
      <c r="G406" s="164"/>
      <c r="H406" s="129"/>
      <c r="I406" s="114"/>
      <c r="J406" s="114"/>
      <c r="K406" s="114"/>
      <c r="L406" s="156"/>
      <c r="M406" s="93"/>
      <c r="N406" s="123"/>
      <c r="O406" s="123"/>
      <c r="P406" s="123"/>
      <c r="Q406" s="164"/>
      <c r="R406" s="93"/>
      <c r="S406" s="123"/>
      <c r="T406" s="123"/>
      <c r="U406" s="123"/>
      <c r="V406" s="164"/>
      <c r="W406" s="93"/>
      <c r="X406" s="123"/>
      <c r="Y406" s="123"/>
      <c r="Z406" s="123"/>
      <c r="AA406" s="164"/>
      <c r="AB406" s="159"/>
    </row>
    <row r="407" spans="1:28" ht="15.75" customHeight="1" x14ac:dyDescent="0.25">
      <c r="A407" s="151"/>
      <c r="B407" s="154"/>
      <c r="C407" s="94"/>
      <c r="D407" s="124"/>
      <c r="E407" s="124"/>
      <c r="F407" s="124"/>
      <c r="G407" s="165"/>
      <c r="H407" s="130"/>
      <c r="I407" s="115"/>
      <c r="J407" s="115"/>
      <c r="K407" s="115"/>
      <c r="L407" s="157"/>
      <c r="M407" s="94"/>
      <c r="N407" s="124"/>
      <c r="O407" s="124"/>
      <c r="P407" s="124"/>
      <c r="Q407" s="165"/>
      <c r="R407" s="94"/>
      <c r="S407" s="124"/>
      <c r="T407" s="124"/>
      <c r="U407" s="124"/>
      <c r="V407" s="165"/>
      <c r="W407" s="94"/>
      <c r="X407" s="124"/>
      <c r="Y407" s="124"/>
      <c r="Z407" s="124"/>
      <c r="AA407" s="165"/>
      <c r="AB407" s="160"/>
    </row>
    <row r="408" spans="1:28" ht="15.75" customHeight="1" thickBot="1" x14ac:dyDescent="0.3">
      <c r="A408" s="152"/>
      <c r="B408" s="155"/>
      <c r="C408" s="95"/>
      <c r="D408" s="125"/>
      <c r="E408" s="125"/>
      <c r="F408" s="125"/>
      <c r="G408" s="166"/>
      <c r="H408" s="131"/>
      <c r="I408" s="116"/>
      <c r="J408" s="116"/>
      <c r="K408" s="116"/>
      <c r="L408" s="158"/>
      <c r="M408" s="95"/>
      <c r="N408" s="125"/>
      <c r="O408" s="125"/>
      <c r="P408" s="125"/>
      <c r="Q408" s="166"/>
      <c r="R408" s="95"/>
      <c r="S408" s="125"/>
      <c r="T408" s="125"/>
      <c r="U408" s="125"/>
      <c r="V408" s="166"/>
      <c r="W408" s="95"/>
      <c r="X408" s="125"/>
      <c r="Y408" s="125"/>
      <c r="Z408" s="125"/>
      <c r="AA408" s="166"/>
      <c r="AB408" s="161"/>
    </row>
    <row r="409" spans="1:28" ht="15.75" customHeight="1" thickTop="1" x14ac:dyDescent="0.25">
      <c r="A409" s="162">
        <f>ESCUADRAS!B84</f>
        <v>78</v>
      </c>
      <c r="B409" s="136">
        <f>ESCUADRAS!C82</f>
        <v>0</v>
      </c>
      <c r="C409" s="129"/>
      <c r="D409" s="114"/>
      <c r="E409" s="114"/>
      <c r="F409" s="114"/>
      <c r="G409" s="156"/>
      <c r="H409" s="93"/>
      <c r="I409" s="123"/>
      <c r="J409" s="123"/>
      <c r="K409" s="123"/>
      <c r="L409" s="164"/>
      <c r="M409" s="93"/>
      <c r="N409" s="123"/>
      <c r="O409" s="123"/>
      <c r="P409" s="123"/>
      <c r="Q409" s="164"/>
      <c r="R409" s="93"/>
      <c r="S409" s="123"/>
      <c r="T409" s="123"/>
      <c r="U409" s="123"/>
      <c r="V409" s="164"/>
      <c r="W409" s="93"/>
      <c r="X409" s="123"/>
      <c r="Y409" s="123"/>
      <c r="Z409" s="123"/>
      <c r="AA409" s="164"/>
      <c r="AB409" s="159"/>
    </row>
    <row r="410" spans="1:28" ht="15.75" customHeight="1" x14ac:dyDescent="0.25">
      <c r="A410" s="141"/>
      <c r="B410" s="137"/>
      <c r="C410" s="130"/>
      <c r="D410" s="115"/>
      <c r="E410" s="115"/>
      <c r="F410" s="115"/>
      <c r="G410" s="157"/>
      <c r="H410" s="94"/>
      <c r="I410" s="124"/>
      <c r="J410" s="124"/>
      <c r="K410" s="124"/>
      <c r="L410" s="165"/>
      <c r="M410" s="94"/>
      <c r="N410" s="124"/>
      <c r="O410" s="124"/>
      <c r="P410" s="124"/>
      <c r="Q410" s="165"/>
      <c r="R410" s="94"/>
      <c r="S410" s="124"/>
      <c r="T410" s="124"/>
      <c r="U410" s="124"/>
      <c r="V410" s="165"/>
      <c r="W410" s="94"/>
      <c r="X410" s="124"/>
      <c r="Y410" s="124"/>
      <c r="Z410" s="124"/>
      <c r="AA410" s="165"/>
      <c r="AB410" s="160"/>
    </row>
    <row r="411" spans="1:28" ht="15.75" customHeight="1" thickBot="1" x14ac:dyDescent="0.3">
      <c r="A411" s="142"/>
      <c r="B411" s="138"/>
      <c r="C411" s="131"/>
      <c r="D411" s="116"/>
      <c r="E411" s="116"/>
      <c r="F411" s="116"/>
      <c r="G411" s="158"/>
      <c r="H411" s="95"/>
      <c r="I411" s="125"/>
      <c r="J411" s="125"/>
      <c r="K411" s="125"/>
      <c r="L411" s="166"/>
      <c r="M411" s="95"/>
      <c r="N411" s="125"/>
      <c r="O411" s="125"/>
      <c r="P411" s="125"/>
      <c r="Q411" s="166"/>
      <c r="R411" s="95"/>
      <c r="S411" s="125"/>
      <c r="T411" s="125"/>
      <c r="U411" s="125"/>
      <c r="V411" s="166"/>
      <c r="W411" s="95"/>
      <c r="X411" s="125"/>
      <c r="Y411" s="125"/>
      <c r="Z411" s="125"/>
      <c r="AA411" s="166"/>
      <c r="AB411" s="161"/>
    </row>
    <row r="412" spans="1:28" ht="15" x14ac:dyDescent="0.25">
      <c r="A412" s="28"/>
    </row>
    <row r="413" spans="1:28" ht="15" x14ac:dyDescent="0.25">
      <c r="A413" s="28"/>
      <c r="B413" s="26" t="s">
        <v>35</v>
      </c>
      <c r="E413" s="21" t="s">
        <v>41</v>
      </c>
      <c r="I413" s="21" t="s">
        <v>42</v>
      </c>
      <c r="M413" s="21" t="s">
        <v>43</v>
      </c>
      <c r="Q413" s="21" t="s">
        <v>44</v>
      </c>
      <c r="U413" s="21" t="s">
        <v>45</v>
      </c>
      <c r="Y413" s="21" t="s">
        <v>46</v>
      </c>
    </row>
    <row r="414" spans="1:28" ht="15" x14ac:dyDescent="0.25">
      <c r="A414" s="28"/>
    </row>
    <row r="418" spans="1:32" ht="24.6" x14ac:dyDescent="0.25">
      <c r="A418" s="144" t="str">
        <f>'INSCRIPCION '!A$1</f>
        <v>TIRADA</v>
      </c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</row>
    <row r="419" spans="1:32" ht="19.5" customHeight="1" x14ac:dyDescent="0.4">
      <c r="A419" s="23"/>
      <c r="B419" s="23"/>
    </row>
    <row r="420" spans="1:32" ht="22.5" customHeight="1" x14ac:dyDescent="0.25">
      <c r="A420" s="132" t="str">
        <f>'INSCRIPCION '!A$2</f>
        <v>CAMPO DE TIRO LA ISLA</v>
      </c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</row>
    <row r="421" spans="1:32" ht="19.5" customHeight="1" x14ac:dyDescent="0.25">
      <c r="A421" s="143" t="str">
        <f>'INSCRIPCION '!A$3</f>
        <v>XXX PLATOS</v>
      </c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</row>
    <row r="422" spans="1:32" ht="22.8" x14ac:dyDescent="0.4">
      <c r="A422" s="24"/>
      <c r="B422" s="24"/>
    </row>
    <row r="423" spans="1:32" ht="17.399999999999999" x14ac:dyDescent="0.3">
      <c r="A423" s="25" t="s">
        <v>22</v>
      </c>
      <c r="B423" s="25"/>
      <c r="J423" s="9" t="s">
        <v>6</v>
      </c>
      <c r="K423" s="9"/>
      <c r="L423" s="9"/>
      <c r="M423" s="9"/>
      <c r="N423" s="9"/>
      <c r="O423" s="22">
        <v>4</v>
      </c>
      <c r="P423" s="22"/>
      <c r="Q423" s="8"/>
      <c r="R423" s="8"/>
      <c r="S423" s="7"/>
      <c r="T423" s="8"/>
      <c r="U423" s="8"/>
      <c r="V423" s="9" t="s">
        <v>7</v>
      </c>
      <c r="W423" s="9"/>
      <c r="X423" s="9"/>
      <c r="Y423" s="9"/>
      <c r="Z423" s="22">
        <v>3</v>
      </c>
      <c r="AA423" s="22"/>
    </row>
    <row r="424" spans="1:32" ht="13.8" thickBot="1" x14ac:dyDescent="0.3"/>
    <row r="425" spans="1:32" ht="15.6" thickBot="1" x14ac:dyDescent="0.3">
      <c r="A425" s="27" t="s">
        <v>0</v>
      </c>
      <c r="B425" s="27" t="s">
        <v>8</v>
      </c>
      <c r="C425" s="47">
        <v>1</v>
      </c>
      <c r="D425" s="48">
        <v>2</v>
      </c>
      <c r="E425" s="48">
        <v>3</v>
      </c>
      <c r="F425" s="48">
        <v>4</v>
      </c>
      <c r="G425" s="49">
        <v>5</v>
      </c>
      <c r="H425" s="47">
        <v>6</v>
      </c>
      <c r="I425" s="48">
        <v>7</v>
      </c>
      <c r="J425" s="48">
        <v>8</v>
      </c>
      <c r="K425" s="48">
        <v>9</v>
      </c>
      <c r="L425" s="49">
        <v>10</v>
      </c>
      <c r="M425" s="47">
        <v>11</v>
      </c>
      <c r="N425" s="48">
        <v>12</v>
      </c>
      <c r="O425" s="48">
        <v>13</v>
      </c>
      <c r="P425" s="48">
        <v>14</v>
      </c>
      <c r="Q425" s="49">
        <v>15</v>
      </c>
      <c r="R425" s="47">
        <v>16</v>
      </c>
      <c r="S425" s="48">
        <v>17</v>
      </c>
      <c r="T425" s="48">
        <v>18</v>
      </c>
      <c r="U425" s="48">
        <v>19</v>
      </c>
      <c r="V425" s="49">
        <v>20</v>
      </c>
      <c r="W425" s="47">
        <v>21</v>
      </c>
      <c r="X425" s="48">
        <v>22</v>
      </c>
      <c r="Y425" s="48">
        <v>23</v>
      </c>
      <c r="Z425" s="48">
        <v>24</v>
      </c>
      <c r="AA425" s="49">
        <v>25</v>
      </c>
      <c r="AB425" s="30" t="s">
        <v>1</v>
      </c>
    </row>
    <row r="426" spans="1:32" ht="15.75" customHeight="1" thickTop="1" x14ac:dyDescent="0.25">
      <c r="A426" s="150">
        <f>ESCUADRAS!B85</f>
        <v>79</v>
      </c>
      <c r="B426" s="153">
        <f>ESCUADRAS!C89</f>
        <v>0</v>
      </c>
      <c r="C426" s="129"/>
      <c r="D426" s="114"/>
      <c r="E426" s="114"/>
      <c r="F426" s="114"/>
      <c r="G426" s="156"/>
      <c r="H426" s="129"/>
      <c r="I426" s="114"/>
      <c r="J426" s="114"/>
      <c r="K426" s="114"/>
      <c r="L426" s="156"/>
      <c r="M426" s="129"/>
      <c r="N426" s="114"/>
      <c r="O426" s="114"/>
      <c r="P426" s="114"/>
      <c r="Q426" s="156"/>
      <c r="R426" s="129"/>
      <c r="S426" s="114"/>
      <c r="T426" s="114"/>
      <c r="U426" s="114"/>
      <c r="V426" s="156"/>
      <c r="W426" s="129"/>
      <c r="X426" s="114"/>
      <c r="Y426" s="114"/>
      <c r="Z426" s="114"/>
      <c r="AA426" s="156"/>
      <c r="AB426" s="159"/>
    </row>
    <row r="427" spans="1:32" ht="15.75" customHeight="1" x14ac:dyDescent="0.25">
      <c r="A427" s="151"/>
      <c r="B427" s="154"/>
      <c r="C427" s="130"/>
      <c r="D427" s="115"/>
      <c r="E427" s="115"/>
      <c r="F427" s="115"/>
      <c r="G427" s="157"/>
      <c r="H427" s="130"/>
      <c r="I427" s="115"/>
      <c r="J427" s="115"/>
      <c r="K427" s="115"/>
      <c r="L427" s="157"/>
      <c r="M427" s="130"/>
      <c r="N427" s="115"/>
      <c r="O427" s="115"/>
      <c r="P427" s="115"/>
      <c r="Q427" s="157"/>
      <c r="R427" s="130"/>
      <c r="S427" s="115"/>
      <c r="T427" s="115"/>
      <c r="U427" s="115"/>
      <c r="V427" s="157"/>
      <c r="W427" s="130"/>
      <c r="X427" s="115"/>
      <c r="Y427" s="115"/>
      <c r="Z427" s="115"/>
      <c r="AA427" s="157"/>
      <c r="AB427" s="160"/>
    </row>
    <row r="428" spans="1:32" ht="15.75" customHeight="1" thickBot="1" x14ac:dyDescent="0.3">
      <c r="A428" s="152"/>
      <c r="B428" s="155"/>
      <c r="C428" s="131"/>
      <c r="D428" s="116"/>
      <c r="E428" s="116"/>
      <c r="F428" s="116"/>
      <c r="G428" s="158"/>
      <c r="H428" s="131"/>
      <c r="I428" s="116"/>
      <c r="J428" s="116"/>
      <c r="K428" s="116"/>
      <c r="L428" s="158"/>
      <c r="M428" s="131"/>
      <c r="N428" s="116"/>
      <c r="O428" s="116"/>
      <c r="P428" s="116"/>
      <c r="Q428" s="158"/>
      <c r="R428" s="131"/>
      <c r="S428" s="116"/>
      <c r="T428" s="116"/>
      <c r="U428" s="116"/>
      <c r="V428" s="158"/>
      <c r="W428" s="131"/>
      <c r="X428" s="116"/>
      <c r="Y428" s="116"/>
      <c r="Z428" s="116"/>
      <c r="AA428" s="158"/>
      <c r="AB428" s="161"/>
    </row>
    <row r="429" spans="1:32" ht="15.75" customHeight="1" thickTop="1" x14ac:dyDescent="0.25">
      <c r="A429" s="162">
        <f>ESCUADRAS!B86</f>
        <v>80</v>
      </c>
      <c r="B429" s="136">
        <f>ESCUADRAS!C90</f>
        <v>0</v>
      </c>
      <c r="C429" s="93"/>
      <c r="D429" s="123"/>
      <c r="E429" s="123"/>
      <c r="F429" s="123"/>
      <c r="G429" s="164"/>
      <c r="H429" s="93"/>
      <c r="I429" s="123"/>
      <c r="J429" s="123"/>
      <c r="K429" s="123"/>
      <c r="L429" s="164"/>
      <c r="M429" s="93"/>
      <c r="N429" s="123"/>
      <c r="O429" s="123"/>
      <c r="P429" s="123"/>
      <c r="Q429" s="164"/>
      <c r="R429" s="93"/>
      <c r="S429" s="123"/>
      <c r="T429" s="123"/>
      <c r="U429" s="123"/>
      <c r="V429" s="164"/>
      <c r="W429" s="129"/>
      <c r="X429" s="114"/>
      <c r="Y429" s="114"/>
      <c r="Z429" s="114"/>
      <c r="AA429" s="156"/>
      <c r="AB429" s="159"/>
    </row>
    <row r="430" spans="1:32" ht="15.75" customHeight="1" x14ac:dyDescent="0.25">
      <c r="A430" s="141"/>
      <c r="B430" s="137"/>
      <c r="C430" s="94"/>
      <c r="D430" s="124"/>
      <c r="E430" s="124"/>
      <c r="F430" s="124"/>
      <c r="G430" s="165"/>
      <c r="H430" s="94"/>
      <c r="I430" s="124"/>
      <c r="J430" s="124"/>
      <c r="K430" s="124"/>
      <c r="L430" s="165"/>
      <c r="M430" s="94"/>
      <c r="N430" s="124"/>
      <c r="O430" s="124"/>
      <c r="P430" s="124"/>
      <c r="Q430" s="165"/>
      <c r="R430" s="94"/>
      <c r="S430" s="124"/>
      <c r="T430" s="124"/>
      <c r="U430" s="124"/>
      <c r="V430" s="165"/>
      <c r="W430" s="130"/>
      <c r="X430" s="115"/>
      <c r="Y430" s="115"/>
      <c r="Z430" s="115"/>
      <c r="AA430" s="157"/>
      <c r="AB430" s="160"/>
    </row>
    <row r="431" spans="1:32" ht="15.75" customHeight="1" thickBot="1" x14ac:dyDescent="0.3">
      <c r="A431" s="163"/>
      <c r="B431" s="138"/>
      <c r="C431" s="95"/>
      <c r="D431" s="125"/>
      <c r="E431" s="125"/>
      <c r="F431" s="125"/>
      <c r="G431" s="166"/>
      <c r="H431" s="95"/>
      <c r="I431" s="125"/>
      <c r="J431" s="125"/>
      <c r="K431" s="125"/>
      <c r="L431" s="166"/>
      <c r="M431" s="95"/>
      <c r="N431" s="125"/>
      <c r="O431" s="125"/>
      <c r="P431" s="125"/>
      <c r="Q431" s="166"/>
      <c r="R431" s="95"/>
      <c r="S431" s="125"/>
      <c r="T431" s="125"/>
      <c r="U431" s="125"/>
      <c r="V431" s="166"/>
      <c r="W431" s="131"/>
      <c r="X431" s="116"/>
      <c r="Y431" s="116"/>
      <c r="Z431" s="116"/>
      <c r="AA431" s="158"/>
      <c r="AB431" s="161"/>
    </row>
    <row r="432" spans="1:32" ht="15.75" customHeight="1" thickTop="1" x14ac:dyDescent="0.25">
      <c r="A432" s="150">
        <f>ESCUADRAS!B87</f>
        <v>81</v>
      </c>
      <c r="B432" s="153">
        <f>ESCUADRAS!C85</f>
        <v>0</v>
      </c>
      <c r="C432" s="93"/>
      <c r="D432" s="123"/>
      <c r="E432" s="123"/>
      <c r="F432" s="123"/>
      <c r="G432" s="164"/>
      <c r="H432" s="93"/>
      <c r="I432" s="123"/>
      <c r="J432" s="123"/>
      <c r="K432" s="123"/>
      <c r="L432" s="164"/>
      <c r="M432" s="93"/>
      <c r="N432" s="123"/>
      <c r="O432" s="123"/>
      <c r="P432" s="123"/>
      <c r="Q432" s="164"/>
      <c r="R432" s="129"/>
      <c r="S432" s="114"/>
      <c r="T432" s="114"/>
      <c r="U432" s="114"/>
      <c r="V432" s="156"/>
      <c r="W432" s="93"/>
      <c r="X432" s="123"/>
      <c r="Y432" s="123"/>
      <c r="Z432" s="123"/>
      <c r="AA432" s="164"/>
      <c r="AB432" s="159"/>
    </row>
    <row r="433" spans="1:28" ht="15.75" customHeight="1" x14ac:dyDescent="0.25">
      <c r="A433" s="151"/>
      <c r="B433" s="154"/>
      <c r="C433" s="94"/>
      <c r="D433" s="124"/>
      <c r="E433" s="124"/>
      <c r="F433" s="124"/>
      <c r="G433" s="165"/>
      <c r="H433" s="94"/>
      <c r="I433" s="124"/>
      <c r="J433" s="124"/>
      <c r="K433" s="124"/>
      <c r="L433" s="165"/>
      <c r="M433" s="94"/>
      <c r="N433" s="124"/>
      <c r="O433" s="124"/>
      <c r="P433" s="124"/>
      <c r="Q433" s="165"/>
      <c r="R433" s="130"/>
      <c r="S433" s="115"/>
      <c r="T433" s="115"/>
      <c r="U433" s="115"/>
      <c r="V433" s="157"/>
      <c r="W433" s="94"/>
      <c r="X433" s="124"/>
      <c r="Y433" s="124"/>
      <c r="Z433" s="124"/>
      <c r="AA433" s="165"/>
      <c r="AB433" s="160"/>
    </row>
    <row r="434" spans="1:28" ht="15.75" customHeight="1" thickBot="1" x14ac:dyDescent="0.3">
      <c r="A434" s="152"/>
      <c r="B434" s="155"/>
      <c r="C434" s="95"/>
      <c r="D434" s="125"/>
      <c r="E434" s="125"/>
      <c r="F434" s="125"/>
      <c r="G434" s="166"/>
      <c r="H434" s="95"/>
      <c r="I434" s="125"/>
      <c r="J434" s="125"/>
      <c r="K434" s="125"/>
      <c r="L434" s="166"/>
      <c r="M434" s="95"/>
      <c r="N434" s="125"/>
      <c r="O434" s="125"/>
      <c r="P434" s="125"/>
      <c r="Q434" s="166"/>
      <c r="R434" s="131"/>
      <c r="S434" s="116"/>
      <c r="T434" s="116"/>
      <c r="U434" s="116"/>
      <c r="V434" s="158"/>
      <c r="W434" s="95"/>
      <c r="X434" s="125"/>
      <c r="Y434" s="125"/>
      <c r="Z434" s="125"/>
      <c r="AA434" s="166"/>
      <c r="AB434" s="161"/>
    </row>
    <row r="435" spans="1:28" ht="15.75" customHeight="1" thickTop="1" x14ac:dyDescent="0.25">
      <c r="A435" s="162">
        <f>ESCUADRAS!B88</f>
        <v>82</v>
      </c>
      <c r="B435" s="136">
        <f>ESCUADRAS!C86</f>
        <v>0</v>
      </c>
      <c r="C435" s="93"/>
      <c r="D435" s="123"/>
      <c r="E435" s="123"/>
      <c r="F435" s="123"/>
      <c r="G435" s="164"/>
      <c r="H435" s="93"/>
      <c r="I435" s="123"/>
      <c r="J435" s="123"/>
      <c r="K435" s="123"/>
      <c r="L435" s="164"/>
      <c r="M435" s="129"/>
      <c r="N435" s="114"/>
      <c r="O435" s="114"/>
      <c r="P435" s="114"/>
      <c r="Q435" s="156"/>
      <c r="R435" s="93"/>
      <c r="S435" s="123"/>
      <c r="T435" s="123"/>
      <c r="U435" s="123"/>
      <c r="V435" s="164"/>
      <c r="W435" s="93"/>
      <c r="X435" s="123"/>
      <c r="Y435" s="123"/>
      <c r="Z435" s="123"/>
      <c r="AA435" s="164"/>
      <c r="AB435" s="159"/>
    </row>
    <row r="436" spans="1:28" ht="15.75" customHeight="1" x14ac:dyDescent="0.25">
      <c r="A436" s="141"/>
      <c r="B436" s="137"/>
      <c r="C436" s="94"/>
      <c r="D436" s="124"/>
      <c r="E436" s="124"/>
      <c r="F436" s="124"/>
      <c r="G436" s="165"/>
      <c r="H436" s="94"/>
      <c r="I436" s="124"/>
      <c r="J436" s="124"/>
      <c r="K436" s="124"/>
      <c r="L436" s="165"/>
      <c r="M436" s="130"/>
      <c r="N436" s="115"/>
      <c r="O436" s="115"/>
      <c r="P436" s="115"/>
      <c r="Q436" s="157"/>
      <c r="R436" s="94"/>
      <c r="S436" s="124"/>
      <c r="T436" s="124"/>
      <c r="U436" s="124"/>
      <c r="V436" s="165"/>
      <c r="W436" s="94"/>
      <c r="X436" s="124"/>
      <c r="Y436" s="124"/>
      <c r="Z436" s="124"/>
      <c r="AA436" s="165"/>
      <c r="AB436" s="160"/>
    </row>
    <row r="437" spans="1:28" ht="15.75" customHeight="1" thickBot="1" x14ac:dyDescent="0.3">
      <c r="A437" s="163"/>
      <c r="B437" s="138"/>
      <c r="C437" s="95"/>
      <c r="D437" s="125"/>
      <c r="E437" s="125"/>
      <c r="F437" s="125"/>
      <c r="G437" s="166"/>
      <c r="H437" s="95"/>
      <c r="I437" s="125"/>
      <c r="J437" s="125"/>
      <c r="K437" s="125"/>
      <c r="L437" s="166"/>
      <c r="M437" s="131"/>
      <c r="N437" s="116"/>
      <c r="O437" s="116"/>
      <c r="P437" s="116"/>
      <c r="Q437" s="158"/>
      <c r="R437" s="95"/>
      <c r="S437" s="125"/>
      <c r="T437" s="125"/>
      <c r="U437" s="125"/>
      <c r="V437" s="166"/>
      <c r="W437" s="95"/>
      <c r="X437" s="125"/>
      <c r="Y437" s="125"/>
      <c r="Z437" s="125"/>
      <c r="AA437" s="166"/>
      <c r="AB437" s="161"/>
    </row>
    <row r="438" spans="1:28" ht="15.75" customHeight="1" thickTop="1" x14ac:dyDescent="0.25">
      <c r="A438" s="150">
        <f>ESCUADRAS!B89</f>
        <v>83</v>
      </c>
      <c r="B438" s="153">
        <f>ESCUADRAS!C87</f>
        <v>0</v>
      </c>
      <c r="C438" s="93"/>
      <c r="D438" s="123"/>
      <c r="E438" s="123"/>
      <c r="F438" s="123"/>
      <c r="G438" s="164"/>
      <c r="H438" s="129"/>
      <c r="I438" s="114"/>
      <c r="J438" s="114"/>
      <c r="K438" s="114"/>
      <c r="L438" s="156"/>
      <c r="M438" s="93"/>
      <c r="N438" s="123"/>
      <c r="O438" s="123"/>
      <c r="P438" s="123"/>
      <c r="Q438" s="164"/>
      <c r="R438" s="93"/>
      <c r="S438" s="123"/>
      <c r="T438" s="123"/>
      <c r="U438" s="123"/>
      <c r="V438" s="164"/>
      <c r="W438" s="93"/>
      <c r="X438" s="123"/>
      <c r="Y438" s="123"/>
      <c r="Z438" s="123"/>
      <c r="AA438" s="164"/>
      <c r="AB438" s="159"/>
    </row>
    <row r="439" spans="1:28" ht="15.75" customHeight="1" x14ac:dyDescent="0.25">
      <c r="A439" s="151"/>
      <c r="B439" s="154"/>
      <c r="C439" s="94"/>
      <c r="D439" s="124"/>
      <c r="E439" s="124"/>
      <c r="F439" s="124"/>
      <c r="G439" s="165"/>
      <c r="H439" s="130"/>
      <c r="I439" s="115"/>
      <c r="J439" s="115"/>
      <c r="K439" s="115"/>
      <c r="L439" s="157"/>
      <c r="M439" s="94"/>
      <c r="N439" s="124"/>
      <c r="O439" s="124"/>
      <c r="P439" s="124"/>
      <c r="Q439" s="165"/>
      <c r="R439" s="94"/>
      <c r="S439" s="124"/>
      <c r="T439" s="124"/>
      <c r="U439" s="124"/>
      <c r="V439" s="165"/>
      <c r="W439" s="94"/>
      <c r="X439" s="124"/>
      <c r="Y439" s="124"/>
      <c r="Z439" s="124"/>
      <c r="AA439" s="165"/>
      <c r="AB439" s="160"/>
    </row>
    <row r="440" spans="1:28" ht="15.75" customHeight="1" thickBot="1" x14ac:dyDescent="0.3">
      <c r="A440" s="152"/>
      <c r="B440" s="155"/>
      <c r="C440" s="95"/>
      <c r="D440" s="125"/>
      <c r="E440" s="125"/>
      <c r="F440" s="125"/>
      <c r="G440" s="166"/>
      <c r="H440" s="131"/>
      <c r="I440" s="116"/>
      <c r="J440" s="116"/>
      <c r="K440" s="116"/>
      <c r="L440" s="158"/>
      <c r="M440" s="95"/>
      <c r="N440" s="125"/>
      <c r="O440" s="125"/>
      <c r="P440" s="125"/>
      <c r="Q440" s="166"/>
      <c r="R440" s="95"/>
      <c r="S440" s="125"/>
      <c r="T440" s="125"/>
      <c r="U440" s="125"/>
      <c r="V440" s="166"/>
      <c r="W440" s="95"/>
      <c r="X440" s="125"/>
      <c r="Y440" s="125"/>
      <c r="Z440" s="125"/>
      <c r="AA440" s="166"/>
      <c r="AB440" s="161"/>
    </row>
    <row r="441" spans="1:28" ht="15.75" customHeight="1" thickTop="1" x14ac:dyDescent="0.25">
      <c r="A441" s="162">
        <f>ESCUADRAS!B90</f>
        <v>84</v>
      </c>
      <c r="B441" s="136">
        <f>ESCUADRAS!C88</f>
        <v>0</v>
      </c>
      <c r="C441" s="129"/>
      <c r="D441" s="114"/>
      <c r="E441" s="114"/>
      <c r="F441" s="114"/>
      <c r="G441" s="156"/>
      <c r="H441" s="93"/>
      <c r="I441" s="123"/>
      <c r="J441" s="123"/>
      <c r="K441" s="123"/>
      <c r="L441" s="164"/>
      <c r="M441" s="93"/>
      <c r="N441" s="123"/>
      <c r="O441" s="123"/>
      <c r="P441" s="123"/>
      <c r="Q441" s="164"/>
      <c r="R441" s="93"/>
      <c r="S441" s="123"/>
      <c r="T441" s="123"/>
      <c r="U441" s="123"/>
      <c r="V441" s="164"/>
      <c r="W441" s="93"/>
      <c r="X441" s="123"/>
      <c r="Y441" s="123"/>
      <c r="Z441" s="123"/>
      <c r="AA441" s="164"/>
      <c r="AB441" s="159"/>
    </row>
    <row r="442" spans="1:28" ht="15.75" customHeight="1" x14ac:dyDescent="0.25">
      <c r="A442" s="141"/>
      <c r="B442" s="137"/>
      <c r="C442" s="130"/>
      <c r="D442" s="115"/>
      <c r="E442" s="115"/>
      <c r="F442" s="115"/>
      <c r="G442" s="157"/>
      <c r="H442" s="94"/>
      <c r="I442" s="124"/>
      <c r="J442" s="124"/>
      <c r="K442" s="124"/>
      <c r="L442" s="165"/>
      <c r="M442" s="94"/>
      <c r="N442" s="124"/>
      <c r="O442" s="124"/>
      <c r="P442" s="124"/>
      <c r="Q442" s="165"/>
      <c r="R442" s="94"/>
      <c r="S442" s="124"/>
      <c r="T442" s="124"/>
      <c r="U442" s="124"/>
      <c r="V442" s="165"/>
      <c r="W442" s="94"/>
      <c r="X442" s="124"/>
      <c r="Y442" s="124"/>
      <c r="Z442" s="124"/>
      <c r="AA442" s="165"/>
      <c r="AB442" s="160"/>
    </row>
    <row r="443" spans="1:28" ht="15.75" customHeight="1" thickBot="1" x14ac:dyDescent="0.3">
      <c r="A443" s="142"/>
      <c r="B443" s="138"/>
      <c r="C443" s="131"/>
      <c r="D443" s="116"/>
      <c r="E443" s="116"/>
      <c r="F443" s="116"/>
      <c r="G443" s="158"/>
      <c r="H443" s="95"/>
      <c r="I443" s="125"/>
      <c r="J443" s="125"/>
      <c r="K443" s="125"/>
      <c r="L443" s="166"/>
      <c r="M443" s="95"/>
      <c r="N443" s="125"/>
      <c r="O443" s="125"/>
      <c r="P443" s="125"/>
      <c r="Q443" s="166"/>
      <c r="R443" s="95"/>
      <c r="S443" s="125"/>
      <c r="T443" s="125"/>
      <c r="U443" s="125"/>
      <c r="V443" s="166"/>
      <c r="W443" s="95"/>
      <c r="X443" s="125"/>
      <c r="Y443" s="125"/>
      <c r="Z443" s="125"/>
      <c r="AA443" s="166"/>
      <c r="AB443" s="161"/>
    </row>
    <row r="444" spans="1:28" ht="15" x14ac:dyDescent="0.25">
      <c r="A444" s="28"/>
    </row>
    <row r="445" spans="1:28" ht="15" x14ac:dyDescent="0.25">
      <c r="A445" s="28"/>
      <c r="B445" s="26" t="s">
        <v>35</v>
      </c>
      <c r="E445" s="21" t="s">
        <v>41</v>
      </c>
      <c r="I445" s="21" t="s">
        <v>42</v>
      </c>
      <c r="M445" s="21" t="s">
        <v>43</v>
      </c>
      <c r="Q445" s="21" t="s">
        <v>44</v>
      </c>
      <c r="U445" s="21" t="s">
        <v>45</v>
      </c>
      <c r="Y445" s="21" t="s">
        <v>46</v>
      </c>
    </row>
    <row r="450" spans="1:32" ht="24.6" x14ac:dyDescent="0.25">
      <c r="A450" s="144" t="str">
        <f>'INSCRIPCION '!A$1</f>
        <v>TIRADA</v>
      </c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</row>
    <row r="451" spans="1:32" ht="19.5" customHeight="1" x14ac:dyDescent="0.4">
      <c r="A451" s="23"/>
      <c r="B451" s="23"/>
    </row>
    <row r="452" spans="1:32" ht="22.5" customHeight="1" x14ac:dyDescent="0.25">
      <c r="A452" s="132" t="str">
        <f>'INSCRIPCION '!A$2</f>
        <v>CAMPO DE TIRO LA ISLA</v>
      </c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</row>
    <row r="453" spans="1:32" ht="19.5" customHeight="1" x14ac:dyDescent="0.25">
      <c r="A453" s="143" t="str">
        <f>'INSCRIPCION '!A$3</f>
        <v>XXX PLATOS</v>
      </c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</row>
    <row r="454" spans="1:32" ht="22.8" x14ac:dyDescent="0.4">
      <c r="A454" s="24"/>
      <c r="B454" s="24"/>
    </row>
    <row r="455" spans="1:32" ht="17.399999999999999" x14ac:dyDescent="0.3">
      <c r="A455" s="25" t="s">
        <v>24</v>
      </c>
      <c r="B455" s="25"/>
      <c r="J455" s="9" t="s">
        <v>6</v>
      </c>
      <c r="K455" s="9"/>
      <c r="L455" s="9"/>
      <c r="M455" s="9"/>
      <c r="N455" s="9"/>
      <c r="O455" s="22">
        <v>1</v>
      </c>
      <c r="P455" s="22"/>
      <c r="Q455" s="8"/>
      <c r="R455" s="8"/>
      <c r="S455" s="7"/>
      <c r="T455" s="8"/>
      <c r="U455" s="8"/>
      <c r="V455" s="9" t="s">
        <v>7</v>
      </c>
      <c r="W455" s="9"/>
      <c r="X455" s="9"/>
      <c r="Y455" s="9"/>
      <c r="Z455" s="22">
        <v>3</v>
      </c>
      <c r="AA455" s="22"/>
    </row>
    <row r="456" spans="1:32" ht="13.8" thickBot="1" x14ac:dyDescent="0.3"/>
    <row r="457" spans="1:32" ht="15.6" thickBot="1" x14ac:dyDescent="0.3">
      <c r="A457" s="27" t="s">
        <v>0</v>
      </c>
      <c r="B457" s="27" t="s">
        <v>8</v>
      </c>
      <c r="C457" s="47">
        <v>1</v>
      </c>
      <c r="D457" s="48">
        <v>2</v>
      </c>
      <c r="E457" s="48">
        <v>3</v>
      </c>
      <c r="F457" s="48">
        <v>4</v>
      </c>
      <c r="G457" s="49">
        <v>5</v>
      </c>
      <c r="H457" s="47">
        <v>6</v>
      </c>
      <c r="I457" s="48">
        <v>7</v>
      </c>
      <c r="J457" s="48">
        <v>8</v>
      </c>
      <c r="K457" s="48">
        <v>9</v>
      </c>
      <c r="L457" s="49">
        <v>10</v>
      </c>
      <c r="M457" s="47">
        <v>11</v>
      </c>
      <c r="N457" s="48">
        <v>12</v>
      </c>
      <c r="O457" s="48">
        <v>13</v>
      </c>
      <c r="P457" s="48">
        <v>14</v>
      </c>
      <c r="Q457" s="49">
        <v>15</v>
      </c>
      <c r="R457" s="47">
        <v>16</v>
      </c>
      <c r="S457" s="48">
        <v>17</v>
      </c>
      <c r="T457" s="48">
        <v>18</v>
      </c>
      <c r="U457" s="48">
        <v>19</v>
      </c>
      <c r="V457" s="49">
        <v>20</v>
      </c>
      <c r="W457" s="47">
        <v>21</v>
      </c>
      <c r="X457" s="48">
        <v>22</v>
      </c>
      <c r="Y457" s="48">
        <v>23</v>
      </c>
      <c r="Z457" s="48">
        <v>24</v>
      </c>
      <c r="AA457" s="49">
        <v>25</v>
      </c>
      <c r="AB457" s="30" t="s">
        <v>1</v>
      </c>
    </row>
    <row r="458" spans="1:32" ht="15.75" customHeight="1" thickTop="1" x14ac:dyDescent="0.25">
      <c r="A458" s="150">
        <f>ESCUADRAS!B91</f>
        <v>85</v>
      </c>
      <c r="B458" s="153">
        <f>ESCUADRAS!C95</f>
        <v>0</v>
      </c>
      <c r="C458" s="129"/>
      <c r="D458" s="114"/>
      <c r="E458" s="114"/>
      <c r="F458" s="114"/>
      <c r="G458" s="156"/>
      <c r="H458" s="129"/>
      <c r="I458" s="114"/>
      <c r="J458" s="114"/>
      <c r="K458" s="114"/>
      <c r="L458" s="156"/>
      <c r="M458" s="129"/>
      <c r="N458" s="114"/>
      <c r="O458" s="114"/>
      <c r="P458" s="114"/>
      <c r="Q458" s="156"/>
      <c r="R458" s="129"/>
      <c r="S458" s="114"/>
      <c r="T458" s="114"/>
      <c r="U458" s="114"/>
      <c r="V458" s="156"/>
      <c r="W458" s="129"/>
      <c r="X458" s="114"/>
      <c r="Y458" s="114"/>
      <c r="Z458" s="114"/>
      <c r="AA458" s="156"/>
      <c r="AB458" s="159"/>
    </row>
    <row r="459" spans="1:32" ht="15.75" customHeight="1" x14ac:dyDescent="0.25">
      <c r="A459" s="151"/>
      <c r="B459" s="154"/>
      <c r="C459" s="130"/>
      <c r="D459" s="115"/>
      <c r="E459" s="115"/>
      <c r="F459" s="115"/>
      <c r="G459" s="157"/>
      <c r="H459" s="130"/>
      <c r="I459" s="115"/>
      <c r="J459" s="115"/>
      <c r="K459" s="115"/>
      <c r="L459" s="157"/>
      <c r="M459" s="130"/>
      <c r="N459" s="115"/>
      <c r="O459" s="115"/>
      <c r="P459" s="115"/>
      <c r="Q459" s="157"/>
      <c r="R459" s="130"/>
      <c r="S459" s="115"/>
      <c r="T459" s="115"/>
      <c r="U459" s="115"/>
      <c r="V459" s="157"/>
      <c r="W459" s="130"/>
      <c r="X459" s="115"/>
      <c r="Y459" s="115"/>
      <c r="Z459" s="115"/>
      <c r="AA459" s="157"/>
      <c r="AB459" s="160"/>
    </row>
    <row r="460" spans="1:32" ht="15.75" customHeight="1" thickBot="1" x14ac:dyDescent="0.3">
      <c r="A460" s="152"/>
      <c r="B460" s="155"/>
      <c r="C460" s="131"/>
      <c r="D460" s="116"/>
      <c r="E460" s="116"/>
      <c r="F460" s="116"/>
      <c r="G460" s="158"/>
      <c r="H460" s="131"/>
      <c r="I460" s="116"/>
      <c r="J460" s="116"/>
      <c r="K460" s="116"/>
      <c r="L460" s="158"/>
      <c r="M460" s="131"/>
      <c r="N460" s="116"/>
      <c r="O460" s="116"/>
      <c r="P460" s="116"/>
      <c r="Q460" s="158"/>
      <c r="R460" s="131"/>
      <c r="S460" s="116"/>
      <c r="T460" s="116"/>
      <c r="U460" s="116"/>
      <c r="V460" s="158"/>
      <c r="W460" s="131"/>
      <c r="X460" s="116"/>
      <c r="Y460" s="116"/>
      <c r="Z460" s="116"/>
      <c r="AA460" s="158"/>
      <c r="AB460" s="161"/>
    </row>
    <row r="461" spans="1:32" ht="15.75" customHeight="1" thickTop="1" x14ac:dyDescent="0.25">
      <c r="A461" s="162">
        <f>ESCUADRAS!B92</f>
        <v>86</v>
      </c>
      <c r="B461" s="136">
        <f>ESCUADRAS!C96</f>
        <v>0</v>
      </c>
      <c r="C461" s="93"/>
      <c r="D461" s="123"/>
      <c r="E461" s="123"/>
      <c r="F461" s="123"/>
      <c r="G461" s="164"/>
      <c r="H461" s="93"/>
      <c r="I461" s="123"/>
      <c r="J461" s="123"/>
      <c r="K461" s="123"/>
      <c r="L461" s="164"/>
      <c r="M461" s="93"/>
      <c r="N461" s="123"/>
      <c r="O461" s="123"/>
      <c r="P461" s="123"/>
      <c r="Q461" s="164"/>
      <c r="R461" s="93"/>
      <c r="S461" s="123"/>
      <c r="T461" s="123"/>
      <c r="U461" s="123"/>
      <c r="V461" s="164"/>
      <c r="W461" s="129"/>
      <c r="X461" s="114"/>
      <c r="Y461" s="114"/>
      <c r="Z461" s="114"/>
      <c r="AA461" s="156"/>
      <c r="AB461" s="159"/>
    </row>
    <row r="462" spans="1:32" ht="15.75" customHeight="1" x14ac:dyDescent="0.25">
      <c r="A462" s="141"/>
      <c r="B462" s="137"/>
      <c r="C462" s="94"/>
      <c r="D462" s="124"/>
      <c r="E462" s="124"/>
      <c r="F462" s="124"/>
      <c r="G462" s="165"/>
      <c r="H462" s="94"/>
      <c r="I462" s="124"/>
      <c r="J462" s="124"/>
      <c r="K462" s="124"/>
      <c r="L462" s="165"/>
      <c r="M462" s="94"/>
      <c r="N462" s="124"/>
      <c r="O462" s="124"/>
      <c r="P462" s="124"/>
      <c r="Q462" s="165"/>
      <c r="R462" s="94"/>
      <c r="S462" s="124"/>
      <c r="T462" s="124"/>
      <c r="U462" s="124"/>
      <c r="V462" s="165"/>
      <c r="W462" s="130"/>
      <c r="X462" s="115"/>
      <c r="Y462" s="115"/>
      <c r="Z462" s="115"/>
      <c r="AA462" s="157"/>
      <c r="AB462" s="160"/>
    </row>
    <row r="463" spans="1:32" ht="15.75" customHeight="1" thickBot="1" x14ac:dyDescent="0.3">
      <c r="A463" s="163"/>
      <c r="B463" s="138"/>
      <c r="C463" s="95"/>
      <c r="D463" s="125"/>
      <c r="E463" s="125"/>
      <c r="F463" s="125"/>
      <c r="G463" s="166"/>
      <c r="H463" s="95"/>
      <c r="I463" s="125"/>
      <c r="J463" s="125"/>
      <c r="K463" s="125"/>
      <c r="L463" s="166"/>
      <c r="M463" s="95"/>
      <c r="N463" s="125"/>
      <c r="O463" s="125"/>
      <c r="P463" s="125"/>
      <c r="Q463" s="166"/>
      <c r="R463" s="95"/>
      <c r="S463" s="125"/>
      <c r="T463" s="125"/>
      <c r="U463" s="125"/>
      <c r="V463" s="166"/>
      <c r="W463" s="131"/>
      <c r="X463" s="116"/>
      <c r="Y463" s="116"/>
      <c r="Z463" s="116"/>
      <c r="AA463" s="158"/>
      <c r="AB463" s="161"/>
    </row>
    <row r="464" spans="1:32" ht="15.75" customHeight="1" thickTop="1" x14ac:dyDescent="0.25">
      <c r="A464" s="150">
        <f>ESCUADRAS!B93</f>
        <v>87</v>
      </c>
      <c r="B464" s="153">
        <f>ESCUADRAS!C91</f>
        <v>0</v>
      </c>
      <c r="C464" s="93"/>
      <c r="D464" s="123"/>
      <c r="E464" s="123"/>
      <c r="F464" s="123"/>
      <c r="G464" s="164"/>
      <c r="H464" s="93"/>
      <c r="I464" s="123"/>
      <c r="J464" s="123"/>
      <c r="K464" s="123"/>
      <c r="L464" s="164"/>
      <c r="M464" s="93"/>
      <c r="N464" s="123"/>
      <c r="O464" s="123"/>
      <c r="P464" s="123"/>
      <c r="Q464" s="164"/>
      <c r="R464" s="129"/>
      <c r="S464" s="114"/>
      <c r="T464" s="114"/>
      <c r="U464" s="114"/>
      <c r="V464" s="156"/>
      <c r="W464" s="93"/>
      <c r="X464" s="123"/>
      <c r="Y464" s="123"/>
      <c r="Z464" s="123"/>
      <c r="AA464" s="164"/>
      <c r="AB464" s="159"/>
    </row>
    <row r="465" spans="1:28" ht="15.75" customHeight="1" x14ac:dyDescent="0.25">
      <c r="A465" s="151"/>
      <c r="B465" s="154"/>
      <c r="C465" s="94"/>
      <c r="D465" s="124"/>
      <c r="E465" s="124"/>
      <c r="F465" s="124"/>
      <c r="G465" s="165"/>
      <c r="H465" s="94"/>
      <c r="I465" s="124"/>
      <c r="J465" s="124"/>
      <c r="K465" s="124"/>
      <c r="L465" s="165"/>
      <c r="M465" s="94"/>
      <c r="N465" s="124"/>
      <c r="O465" s="124"/>
      <c r="P465" s="124"/>
      <c r="Q465" s="165"/>
      <c r="R465" s="130"/>
      <c r="S465" s="115"/>
      <c r="T465" s="115"/>
      <c r="U465" s="115"/>
      <c r="V465" s="157"/>
      <c r="W465" s="94"/>
      <c r="X465" s="124"/>
      <c r="Y465" s="124"/>
      <c r="Z465" s="124"/>
      <c r="AA465" s="165"/>
      <c r="AB465" s="160"/>
    </row>
    <row r="466" spans="1:28" ht="15.75" customHeight="1" thickBot="1" x14ac:dyDescent="0.3">
      <c r="A466" s="152"/>
      <c r="B466" s="155"/>
      <c r="C466" s="95"/>
      <c r="D466" s="125"/>
      <c r="E466" s="125"/>
      <c r="F466" s="125"/>
      <c r="G466" s="166"/>
      <c r="H466" s="95"/>
      <c r="I466" s="125"/>
      <c r="J466" s="125"/>
      <c r="K466" s="125"/>
      <c r="L466" s="166"/>
      <c r="M466" s="95"/>
      <c r="N466" s="125"/>
      <c r="O466" s="125"/>
      <c r="P466" s="125"/>
      <c r="Q466" s="166"/>
      <c r="R466" s="131"/>
      <c r="S466" s="116"/>
      <c r="T466" s="116"/>
      <c r="U466" s="116"/>
      <c r="V466" s="158"/>
      <c r="W466" s="95"/>
      <c r="X466" s="125"/>
      <c r="Y466" s="125"/>
      <c r="Z466" s="125"/>
      <c r="AA466" s="166"/>
      <c r="AB466" s="161"/>
    </row>
    <row r="467" spans="1:28" ht="15.75" customHeight="1" thickTop="1" x14ac:dyDescent="0.25">
      <c r="A467" s="162">
        <f>ESCUADRAS!B94</f>
        <v>88</v>
      </c>
      <c r="B467" s="136">
        <f>ESCUADRAS!C92</f>
        <v>0</v>
      </c>
      <c r="C467" s="93"/>
      <c r="D467" s="123"/>
      <c r="E467" s="123"/>
      <c r="F467" s="123"/>
      <c r="G467" s="164"/>
      <c r="H467" s="93"/>
      <c r="I467" s="123"/>
      <c r="J467" s="123"/>
      <c r="K467" s="123"/>
      <c r="L467" s="164"/>
      <c r="M467" s="129"/>
      <c r="N467" s="114"/>
      <c r="O467" s="114"/>
      <c r="P467" s="114"/>
      <c r="Q467" s="156"/>
      <c r="R467" s="93"/>
      <c r="S467" s="123"/>
      <c r="T467" s="123"/>
      <c r="U467" s="123"/>
      <c r="V467" s="164"/>
      <c r="W467" s="93"/>
      <c r="X467" s="123"/>
      <c r="Y467" s="123"/>
      <c r="Z467" s="123"/>
      <c r="AA467" s="164"/>
      <c r="AB467" s="159"/>
    </row>
    <row r="468" spans="1:28" ht="15.75" customHeight="1" x14ac:dyDescent="0.25">
      <c r="A468" s="141"/>
      <c r="B468" s="137"/>
      <c r="C468" s="94"/>
      <c r="D468" s="124"/>
      <c r="E468" s="124"/>
      <c r="F468" s="124"/>
      <c r="G468" s="165"/>
      <c r="H468" s="94"/>
      <c r="I468" s="124"/>
      <c r="J468" s="124"/>
      <c r="K468" s="124"/>
      <c r="L468" s="165"/>
      <c r="M468" s="130"/>
      <c r="N468" s="115"/>
      <c r="O468" s="115"/>
      <c r="P468" s="115"/>
      <c r="Q468" s="157"/>
      <c r="R468" s="94"/>
      <c r="S468" s="124"/>
      <c r="T468" s="124"/>
      <c r="U468" s="124"/>
      <c r="V468" s="165"/>
      <c r="W468" s="94"/>
      <c r="X468" s="124"/>
      <c r="Y468" s="124"/>
      <c r="Z468" s="124"/>
      <c r="AA468" s="165"/>
      <c r="AB468" s="160"/>
    </row>
    <row r="469" spans="1:28" ht="15.75" customHeight="1" thickBot="1" x14ac:dyDescent="0.3">
      <c r="A469" s="163"/>
      <c r="B469" s="138"/>
      <c r="C469" s="95"/>
      <c r="D469" s="125"/>
      <c r="E469" s="125"/>
      <c r="F469" s="125"/>
      <c r="G469" s="166"/>
      <c r="H469" s="95"/>
      <c r="I469" s="125"/>
      <c r="J469" s="125"/>
      <c r="K469" s="125"/>
      <c r="L469" s="166"/>
      <c r="M469" s="131"/>
      <c r="N469" s="116"/>
      <c r="O469" s="116"/>
      <c r="P469" s="116"/>
      <c r="Q469" s="158"/>
      <c r="R469" s="95"/>
      <c r="S469" s="125"/>
      <c r="T469" s="125"/>
      <c r="U469" s="125"/>
      <c r="V469" s="166"/>
      <c r="W469" s="95"/>
      <c r="X469" s="125"/>
      <c r="Y469" s="125"/>
      <c r="Z469" s="125"/>
      <c r="AA469" s="166"/>
      <c r="AB469" s="161"/>
    </row>
    <row r="470" spans="1:28" ht="15.75" customHeight="1" thickTop="1" x14ac:dyDescent="0.25">
      <c r="A470" s="150">
        <f>ESCUADRAS!B95</f>
        <v>89</v>
      </c>
      <c r="B470" s="153">
        <f>ESCUADRAS!C93</f>
        <v>0</v>
      </c>
      <c r="C470" s="93"/>
      <c r="D470" s="123"/>
      <c r="E470" s="123"/>
      <c r="F470" s="123"/>
      <c r="G470" s="164"/>
      <c r="H470" s="129"/>
      <c r="I470" s="114"/>
      <c r="J470" s="114"/>
      <c r="K470" s="114"/>
      <c r="L470" s="156"/>
      <c r="M470" s="93"/>
      <c r="N470" s="123"/>
      <c r="O470" s="123"/>
      <c r="P470" s="123"/>
      <c r="Q470" s="164"/>
      <c r="R470" s="93"/>
      <c r="S470" s="123"/>
      <c r="T470" s="123"/>
      <c r="U470" s="123"/>
      <c r="V470" s="164"/>
      <c r="W470" s="93"/>
      <c r="X470" s="123"/>
      <c r="Y470" s="123"/>
      <c r="Z470" s="123"/>
      <c r="AA470" s="164"/>
      <c r="AB470" s="159"/>
    </row>
    <row r="471" spans="1:28" ht="15.75" customHeight="1" x14ac:dyDescent="0.25">
      <c r="A471" s="151"/>
      <c r="B471" s="154"/>
      <c r="C471" s="94"/>
      <c r="D471" s="124"/>
      <c r="E471" s="124"/>
      <c r="F471" s="124"/>
      <c r="G471" s="165"/>
      <c r="H471" s="130"/>
      <c r="I471" s="115"/>
      <c r="J471" s="115"/>
      <c r="K471" s="115"/>
      <c r="L471" s="157"/>
      <c r="M471" s="94"/>
      <c r="N471" s="124"/>
      <c r="O471" s="124"/>
      <c r="P471" s="124"/>
      <c r="Q471" s="165"/>
      <c r="R471" s="94"/>
      <c r="S471" s="124"/>
      <c r="T471" s="124"/>
      <c r="U471" s="124"/>
      <c r="V471" s="165"/>
      <c r="W471" s="94"/>
      <c r="X471" s="124"/>
      <c r="Y471" s="124"/>
      <c r="Z471" s="124"/>
      <c r="AA471" s="165"/>
      <c r="AB471" s="160"/>
    </row>
    <row r="472" spans="1:28" ht="15.75" customHeight="1" thickBot="1" x14ac:dyDescent="0.3">
      <c r="A472" s="152"/>
      <c r="B472" s="155"/>
      <c r="C472" s="95"/>
      <c r="D472" s="125"/>
      <c r="E472" s="125"/>
      <c r="F472" s="125"/>
      <c r="G472" s="166"/>
      <c r="H472" s="131"/>
      <c r="I472" s="116"/>
      <c r="J472" s="116"/>
      <c r="K472" s="116"/>
      <c r="L472" s="158"/>
      <c r="M472" s="95"/>
      <c r="N472" s="125"/>
      <c r="O472" s="125"/>
      <c r="P472" s="125"/>
      <c r="Q472" s="166"/>
      <c r="R472" s="95"/>
      <c r="S472" s="125"/>
      <c r="T472" s="125"/>
      <c r="U472" s="125"/>
      <c r="V472" s="166"/>
      <c r="W472" s="95"/>
      <c r="X472" s="125"/>
      <c r="Y472" s="125"/>
      <c r="Z472" s="125"/>
      <c r="AA472" s="166"/>
      <c r="AB472" s="161"/>
    </row>
    <row r="473" spans="1:28" ht="15.75" customHeight="1" thickTop="1" x14ac:dyDescent="0.25">
      <c r="A473" s="162">
        <f>ESCUADRAS!B96</f>
        <v>90</v>
      </c>
      <c r="B473" s="136">
        <f>ESCUADRAS!C94</f>
        <v>0</v>
      </c>
      <c r="C473" s="129"/>
      <c r="D473" s="114"/>
      <c r="E473" s="114"/>
      <c r="F473" s="114"/>
      <c r="G473" s="156"/>
      <c r="H473" s="93"/>
      <c r="I473" s="123"/>
      <c r="J473" s="123"/>
      <c r="K473" s="123"/>
      <c r="L473" s="164"/>
      <c r="M473" s="93"/>
      <c r="N473" s="123"/>
      <c r="O473" s="123"/>
      <c r="P473" s="123"/>
      <c r="Q473" s="164"/>
      <c r="R473" s="93"/>
      <c r="S473" s="123"/>
      <c r="T473" s="123"/>
      <c r="U473" s="123"/>
      <c r="V473" s="164"/>
      <c r="W473" s="93"/>
      <c r="X473" s="123"/>
      <c r="Y473" s="123"/>
      <c r="Z473" s="123"/>
      <c r="AA473" s="164"/>
      <c r="AB473" s="159"/>
    </row>
    <row r="474" spans="1:28" ht="15.75" customHeight="1" x14ac:dyDescent="0.25">
      <c r="A474" s="141"/>
      <c r="B474" s="137"/>
      <c r="C474" s="130"/>
      <c r="D474" s="115"/>
      <c r="E474" s="115"/>
      <c r="F474" s="115"/>
      <c r="G474" s="157"/>
      <c r="H474" s="94"/>
      <c r="I474" s="124"/>
      <c r="J474" s="124"/>
      <c r="K474" s="124"/>
      <c r="L474" s="165"/>
      <c r="M474" s="94"/>
      <c r="N474" s="124"/>
      <c r="O474" s="124"/>
      <c r="P474" s="124"/>
      <c r="Q474" s="165"/>
      <c r="R474" s="94"/>
      <c r="S474" s="124"/>
      <c r="T474" s="124"/>
      <c r="U474" s="124"/>
      <c r="V474" s="165"/>
      <c r="W474" s="94"/>
      <c r="X474" s="124"/>
      <c r="Y474" s="124"/>
      <c r="Z474" s="124"/>
      <c r="AA474" s="165"/>
      <c r="AB474" s="160"/>
    </row>
    <row r="475" spans="1:28" ht="15.75" customHeight="1" thickBot="1" x14ac:dyDescent="0.3">
      <c r="A475" s="142"/>
      <c r="B475" s="138"/>
      <c r="C475" s="131"/>
      <c r="D475" s="116"/>
      <c r="E475" s="116"/>
      <c r="F475" s="116"/>
      <c r="G475" s="158"/>
      <c r="H475" s="95"/>
      <c r="I475" s="125"/>
      <c r="J475" s="125"/>
      <c r="K475" s="125"/>
      <c r="L475" s="166"/>
      <c r="M475" s="95"/>
      <c r="N475" s="125"/>
      <c r="O475" s="125"/>
      <c r="P475" s="125"/>
      <c r="Q475" s="166"/>
      <c r="R475" s="95"/>
      <c r="S475" s="125"/>
      <c r="T475" s="125"/>
      <c r="U475" s="125"/>
      <c r="V475" s="166"/>
      <c r="W475" s="95"/>
      <c r="X475" s="125"/>
      <c r="Y475" s="125"/>
      <c r="Z475" s="125"/>
      <c r="AA475" s="166"/>
      <c r="AB475" s="161"/>
    </row>
    <row r="476" spans="1:28" ht="15" x14ac:dyDescent="0.25">
      <c r="A476" s="28"/>
    </row>
    <row r="477" spans="1:28" ht="15" x14ac:dyDescent="0.25">
      <c r="A477" s="28"/>
      <c r="B477" s="26" t="s">
        <v>35</v>
      </c>
      <c r="E477" s="21" t="s">
        <v>41</v>
      </c>
      <c r="I477" s="21" t="s">
        <v>42</v>
      </c>
      <c r="M477" s="21" t="s">
        <v>43</v>
      </c>
      <c r="Q477" s="21" t="s">
        <v>44</v>
      </c>
      <c r="U477" s="21" t="s">
        <v>45</v>
      </c>
      <c r="Y477" s="21" t="s">
        <v>46</v>
      </c>
    </row>
    <row r="482" spans="1:32" ht="24.6" x14ac:dyDescent="0.25">
      <c r="A482" s="144" t="str">
        <f>'INSCRIPCION '!A$1</f>
        <v>TIRADA</v>
      </c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</row>
    <row r="483" spans="1:32" ht="19.5" customHeight="1" x14ac:dyDescent="0.4">
      <c r="A483" s="23"/>
      <c r="B483" s="23"/>
    </row>
    <row r="484" spans="1:32" ht="22.8" x14ac:dyDescent="0.25">
      <c r="A484" s="132" t="str">
        <f>'INSCRIPCION '!A$2</f>
        <v>CAMPO DE TIRO LA ISLA</v>
      </c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</row>
    <row r="485" spans="1:32" ht="20.399999999999999" x14ac:dyDescent="0.25">
      <c r="A485" s="143" t="str">
        <f>'INSCRIPCION '!A$3</f>
        <v>XXX PLATOS</v>
      </c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</row>
    <row r="486" spans="1:32" ht="22.8" x14ac:dyDescent="0.4">
      <c r="A486" s="24"/>
      <c r="B486" s="24"/>
    </row>
    <row r="487" spans="1:32" ht="17.399999999999999" x14ac:dyDescent="0.3">
      <c r="A487" s="25" t="s">
        <v>25</v>
      </c>
      <c r="B487" s="25"/>
      <c r="J487" s="9" t="s">
        <v>6</v>
      </c>
      <c r="K487" s="9"/>
      <c r="L487" s="9"/>
      <c r="M487" s="9"/>
      <c r="N487" s="9"/>
      <c r="O487" s="22">
        <v>2</v>
      </c>
      <c r="P487" s="22"/>
      <c r="Q487" s="8"/>
      <c r="R487" s="8"/>
      <c r="S487" s="7"/>
      <c r="T487" s="8"/>
      <c r="U487" s="8"/>
      <c r="V487" s="9" t="s">
        <v>7</v>
      </c>
      <c r="W487" s="9"/>
      <c r="X487" s="9"/>
      <c r="Y487" s="9"/>
      <c r="Z487" s="22">
        <v>3</v>
      </c>
      <c r="AA487" s="22"/>
    </row>
    <row r="488" spans="1:32" ht="13.8" thickBot="1" x14ac:dyDescent="0.3"/>
    <row r="489" spans="1:32" ht="15.6" thickBot="1" x14ac:dyDescent="0.3">
      <c r="A489" s="27" t="s">
        <v>0</v>
      </c>
      <c r="B489" s="27" t="s">
        <v>8</v>
      </c>
      <c r="C489" s="47">
        <v>1</v>
      </c>
      <c r="D489" s="48">
        <v>2</v>
      </c>
      <c r="E489" s="48">
        <v>3</v>
      </c>
      <c r="F489" s="48">
        <v>4</v>
      </c>
      <c r="G489" s="49">
        <v>5</v>
      </c>
      <c r="H489" s="47">
        <v>6</v>
      </c>
      <c r="I489" s="48">
        <v>7</v>
      </c>
      <c r="J489" s="48">
        <v>8</v>
      </c>
      <c r="K489" s="48">
        <v>9</v>
      </c>
      <c r="L489" s="49">
        <v>10</v>
      </c>
      <c r="M489" s="47">
        <v>11</v>
      </c>
      <c r="N489" s="48">
        <v>12</v>
      </c>
      <c r="O489" s="48">
        <v>13</v>
      </c>
      <c r="P489" s="48">
        <v>14</v>
      </c>
      <c r="Q489" s="49">
        <v>15</v>
      </c>
      <c r="R489" s="47">
        <v>16</v>
      </c>
      <c r="S489" s="48">
        <v>17</v>
      </c>
      <c r="T489" s="48">
        <v>18</v>
      </c>
      <c r="U489" s="48">
        <v>19</v>
      </c>
      <c r="V489" s="49">
        <v>20</v>
      </c>
      <c r="W489" s="47">
        <v>21</v>
      </c>
      <c r="X489" s="48">
        <v>22</v>
      </c>
      <c r="Y489" s="48">
        <v>23</v>
      </c>
      <c r="Z489" s="48">
        <v>24</v>
      </c>
      <c r="AA489" s="49">
        <v>25</v>
      </c>
      <c r="AB489" s="30" t="s">
        <v>1</v>
      </c>
    </row>
    <row r="490" spans="1:32" ht="14.25" customHeight="1" x14ac:dyDescent="0.25">
      <c r="A490" s="153">
        <f>ESCUADRAS!B101</f>
        <v>95</v>
      </c>
      <c r="B490" s="153">
        <f>ESCUADRAS!C101</f>
        <v>0</v>
      </c>
      <c r="C490" s="129"/>
      <c r="D490" s="114"/>
      <c r="E490" s="114"/>
      <c r="F490" s="114"/>
      <c r="G490" s="156"/>
      <c r="H490" s="129"/>
      <c r="I490" s="114"/>
      <c r="J490" s="114"/>
      <c r="K490" s="114"/>
      <c r="L490" s="156"/>
      <c r="M490" s="129"/>
      <c r="N490" s="114"/>
      <c r="O490" s="114"/>
      <c r="P490" s="114"/>
      <c r="Q490" s="156"/>
      <c r="R490" s="129"/>
      <c r="S490" s="114"/>
      <c r="T490" s="114"/>
      <c r="U490" s="114"/>
      <c r="V490" s="156"/>
      <c r="W490" s="129"/>
      <c r="X490" s="114"/>
      <c r="Y490" s="114"/>
      <c r="Z490" s="114"/>
      <c r="AA490" s="156"/>
      <c r="AB490" s="159"/>
    </row>
    <row r="491" spans="1:32" ht="14.25" customHeight="1" x14ac:dyDescent="0.25">
      <c r="A491" s="154"/>
      <c r="B491" s="154"/>
      <c r="C491" s="130"/>
      <c r="D491" s="115"/>
      <c r="E491" s="115"/>
      <c r="F491" s="115"/>
      <c r="G491" s="157"/>
      <c r="H491" s="130"/>
      <c r="I491" s="115"/>
      <c r="J491" s="115"/>
      <c r="K491" s="115"/>
      <c r="L491" s="157"/>
      <c r="M491" s="130"/>
      <c r="N491" s="115"/>
      <c r="O491" s="115"/>
      <c r="P491" s="115"/>
      <c r="Q491" s="157"/>
      <c r="R491" s="130"/>
      <c r="S491" s="115"/>
      <c r="T491" s="115"/>
      <c r="U491" s="115"/>
      <c r="V491" s="157"/>
      <c r="W491" s="130"/>
      <c r="X491" s="115"/>
      <c r="Y491" s="115"/>
      <c r="Z491" s="115"/>
      <c r="AA491" s="157"/>
      <c r="AB491" s="160"/>
    </row>
    <row r="492" spans="1:32" ht="13.5" customHeight="1" thickBot="1" x14ac:dyDescent="0.3">
      <c r="A492" s="155"/>
      <c r="B492" s="155"/>
      <c r="C492" s="131"/>
      <c r="D492" s="116"/>
      <c r="E492" s="116"/>
      <c r="F492" s="116"/>
      <c r="G492" s="158"/>
      <c r="H492" s="131"/>
      <c r="I492" s="116"/>
      <c r="J492" s="116"/>
      <c r="K492" s="116"/>
      <c r="L492" s="158"/>
      <c r="M492" s="131"/>
      <c r="N492" s="116"/>
      <c r="O492" s="116"/>
      <c r="P492" s="116"/>
      <c r="Q492" s="158"/>
      <c r="R492" s="131"/>
      <c r="S492" s="116"/>
      <c r="T492" s="116"/>
      <c r="U492" s="116"/>
      <c r="V492" s="158"/>
      <c r="W492" s="131"/>
      <c r="X492" s="116"/>
      <c r="Y492" s="116"/>
      <c r="Z492" s="116"/>
      <c r="AA492" s="158"/>
      <c r="AB492" s="161"/>
    </row>
    <row r="493" spans="1:32" ht="14.25" customHeight="1" x14ac:dyDescent="0.25">
      <c r="A493" s="136">
        <f>ESCUADRAS!B102</f>
        <v>96</v>
      </c>
      <c r="B493" s="136">
        <f>ESCUADRAS!C102</f>
        <v>0</v>
      </c>
      <c r="C493" s="93"/>
      <c r="D493" s="123"/>
      <c r="E493" s="123"/>
      <c r="F493" s="123"/>
      <c r="G493" s="164"/>
      <c r="H493" s="93"/>
      <c r="I493" s="123"/>
      <c r="J493" s="123"/>
      <c r="K493" s="123"/>
      <c r="L493" s="164"/>
      <c r="M493" s="93"/>
      <c r="N493" s="123"/>
      <c r="O493" s="123"/>
      <c r="P493" s="123"/>
      <c r="Q493" s="164"/>
      <c r="R493" s="93"/>
      <c r="S493" s="123"/>
      <c r="T493" s="123"/>
      <c r="U493" s="123"/>
      <c r="V493" s="164"/>
      <c r="W493" s="129"/>
      <c r="X493" s="114"/>
      <c r="Y493" s="114"/>
      <c r="Z493" s="114"/>
      <c r="AA493" s="156"/>
      <c r="AB493" s="159"/>
    </row>
    <row r="494" spans="1:32" ht="14.25" customHeight="1" x14ac:dyDescent="0.25">
      <c r="A494" s="137"/>
      <c r="B494" s="137"/>
      <c r="C494" s="94"/>
      <c r="D494" s="124"/>
      <c r="E494" s="124"/>
      <c r="F494" s="124"/>
      <c r="G494" s="165"/>
      <c r="H494" s="94"/>
      <c r="I494" s="124"/>
      <c r="J494" s="124"/>
      <c r="K494" s="124"/>
      <c r="L494" s="165"/>
      <c r="M494" s="94"/>
      <c r="N494" s="124"/>
      <c r="O494" s="124"/>
      <c r="P494" s="124"/>
      <c r="Q494" s="165"/>
      <c r="R494" s="94"/>
      <c r="S494" s="124"/>
      <c r="T494" s="124"/>
      <c r="U494" s="124"/>
      <c r="V494" s="165"/>
      <c r="W494" s="130"/>
      <c r="X494" s="115"/>
      <c r="Y494" s="115"/>
      <c r="Z494" s="115"/>
      <c r="AA494" s="157"/>
      <c r="AB494" s="160"/>
    </row>
    <row r="495" spans="1:32" ht="13.5" customHeight="1" thickBot="1" x14ac:dyDescent="0.3">
      <c r="A495" s="138"/>
      <c r="B495" s="138"/>
      <c r="C495" s="95"/>
      <c r="D495" s="125"/>
      <c r="E495" s="125"/>
      <c r="F495" s="125"/>
      <c r="G495" s="166"/>
      <c r="H495" s="95"/>
      <c r="I495" s="125"/>
      <c r="J495" s="125"/>
      <c r="K495" s="125"/>
      <c r="L495" s="166"/>
      <c r="M495" s="95"/>
      <c r="N495" s="125"/>
      <c r="O495" s="125"/>
      <c r="P495" s="125"/>
      <c r="Q495" s="166"/>
      <c r="R495" s="95"/>
      <c r="S495" s="125"/>
      <c r="T495" s="125"/>
      <c r="U495" s="125"/>
      <c r="V495" s="166"/>
      <c r="W495" s="131"/>
      <c r="X495" s="116"/>
      <c r="Y495" s="116"/>
      <c r="Z495" s="116"/>
      <c r="AA495" s="158"/>
      <c r="AB495" s="161"/>
    </row>
    <row r="496" spans="1:32" ht="14.25" customHeight="1" x14ac:dyDescent="0.25">
      <c r="A496" s="153">
        <f>ESCUADRAS!B97</f>
        <v>91</v>
      </c>
      <c r="B496" s="153">
        <f>ESCUADRAS!C97</f>
        <v>0</v>
      </c>
      <c r="C496" s="93"/>
      <c r="D496" s="123"/>
      <c r="E496" s="123"/>
      <c r="F496" s="123"/>
      <c r="G496" s="164"/>
      <c r="H496" s="93"/>
      <c r="I496" s="123"/>
      <c r="J496" s="123"/>
      <c r="K496" s="123"/>
      <c r="L496" s="164"/>
      <c r="M496" s="93"/>
      <c r="N496" s="123"/>
      <c r="O496" s="123"/>
      <c r="P496" s="123"/>
      <c r="Q496" s="164"/>
      <c r="R496" s="129"/>
      <c r="S496" s="114"/>
      <c r="T496" s="114"/>
      <c r="U496" s="114"/>
      <c r="V496" s="156"/>
      <c r="W496" s="93"/>
      <c r="X496" s="123"/>
      <c r="Y496" s="123"/>
      <c r="Z496" s="123"/>
      <c r="AA496" s="164"/>
      <c r="AB496" s="159"/>
    </row>
    <row r="497" spans="1:28" ht="14.25" customHeight="1" x14ac:dyDescent="0.25">
      <c r="A497" s="154"/>
      <c r="B497" s="154"/>
      <c r="C497" s="94"/>
      <c r="D497" s="124"/>
      <c r="E497" s="124"/>
      <c r="F497" s="124"/>
      <c r="G497" s="165"/>
      <c r="H497" s="94"/>
      <c r="I497" s="124"/>
      <c r="J497" s="124"/>
      <c r="K497" s="124"/>
      <c r="L497" s="165"/>
      <c r="M497" s="94"/>
      <c r="N497" s="124"/>
      <c r="O497" s="124"/>
      <c r="P497" s="124"/>
      <c r="Q497" s="165"/>
      <c r="R497" s="130"/>
      <c r="S497" s="115"/>
      <c r="T497" s="115"/>
      <c r="U497" s="115"/>
      <c r="V497" s="157"/>
      <c r="W497" s="94"/>
      <c r="X497" s="124"/>
      <c r="Y497" s="124"/>
      <c r="Z497" s="124"/>
      <c r="AA497" s="165"/>
      <c r="AB497" s="160"/>
    </row>
    <row r="498" spans="1:28" ht="13.5" customHeight="1" thickBot="1" x14ac:dyDescent="0.3">
      <c r="A498" s="155"/>
      <c r="B498" s="155"/>
      <c r="C498" s="95"/>
      <c r="D498" s="125"/>
      <c r="E498" s="125"/>
      <c r="F498" s="125"/>
      <c r="G498" s="166"/>
      <c r="H498" s="95"/>
      <c r="I498" s="125"/>
      <c r="J498" s="125"/>
      <c r="K498" s="125"/>
      <c r="L498" s="166"/>
      <c r="M498" s="95"/>
      <c r="N498" s="125"/>
      <c r="O498" s="125"/>
      <c r="P498" s="125"/>
      <c r="Q498" s="166"/>
      <c r="R498" s="131"/>
      <c r="S498" s="116"/>
      <c r="T498" s="116"/>
      <c r="U498" s="116"/>
      <c r="V498" s="158"/>
      <c r="W498" s="95"/>
      <c r="X498" s="125"/>
      <c r="Y498" s="125"/>
      <c r="Z498" s="125"/>
      <c r="AA498" s="166"/>
      <c r="AB498" s="161"/>
    </row>
    <row r="499" spans="1:28" ht="13.5" customHeight="1" x14ac:dyDescent="0.25">
      <c r="A499" s="136">
        <f>ESCUADRAS!B98</f>
        <v>92</v>
      </c>
      <c r="B499" s="136">
        <f>ESCUADRAS!C98</f>
        <v>0</v>
      </c>
      <c r="C499" s="93"/>
      <c r="D499" s="123"/>
      <c r="E499" s="123"/>
      <c r="F499" s="123"/>
      <c r="G499" s="164"/>
      <c r="H499" s="93"/>
      <c r="I499" s="123"/>
      <c r="J499" s="123"/>
      <c r="K499" s="123"/>
      <c r="L499" s="164"/>
      <c r="M499" s="129"/>
      <c r="N499" s="114"/>
      <c r="O499" s="114"/>
      <c r="P499" s="114"/>
      <c r="Q499" s="156"/>
      <c r="R499" s="93"/>
      <c r="S499" s="123"/>
      <c r="T499" s="123"/>
      <c r="U499" s="123"/>
      <c r="V499" s="164"/>
      <c r="W499" s="93"/>
      <c r="X499" s="123"/>
      <c r="Y499" s="123"/>
      <c r="Z499" s="123"/>
      <c r="AA499" s="164"/>
      <c r="AB499" s="159"/>
    </row>
    <row r="500" spans="1:28" ht="14.25" customHeight="1" x14ac:dyDescent="0.25">
      <c r="A500" s="137"/>
      <c r="B500" s="137"/>
      <c r="C500" s="94"/>
      <c r="D500" s="124"/>
      <c r="E500" s="124"/>
      <c r="F500" s="124"/>
      <c r="G500" s="165"/>
      <c r="H500" s="94"/>
      <c r="I500" s="124"/>
      <c r="J500" s="124"/>
      <c r="K500" s="124"/>
      <c r="L500" s="165"/>
      <c r="M500" s="130"/>
      <c r="N500" s="115"/>
      <c r="O500" s="115"/>
      <c r="P500" s="115"/>
      <c r="Q500" s="157"/>
      <c r="R500" s="94"/>
      <c r="S500" s="124"/>
      <c r="T500" s="124"/>
      <c r="U500" s="124"/>
      <c r="V500" s="165"/>
      <c r="W500" s="94"/>
      <c r="X500" s="124"/>
      <c r="Y500" s="124"/>
      <c r="Z500" s="124"/>
      <c r="AA500" s="165"/>
      <c r="AB500" s="160"/>
    </row>
    <row r="501" spans="1:28" ht="13.5" customHeight="1" thickBot="1" x14ac:dyDescent="0.3">
      <c r="A501" s="138"/>
      <c r="B501" s="138"/>
      <c r="C501" s="95"/>
      <c r="D501" s="125"/>
      <c r="E501" s="125"/>
      <c r="F501" s="125"/>
      <c r="G501" s="166"/>
      <c r="H501" s="95"/>
      <c r="I501" s="125"/>
      <c r="J501" s="125"/>
      <c r="K501" s="125"/>
      <c r="L501" s="166"/>
      <c r="M501" s="131"/>
      <c r="N501" s="116"/>
      <c r="O501" s="116"/>
      <c r="P501" s="116"/>
      <c r="Q501" s="158"/>
      <c r="R501" s="95"/>
      <c r="S501" s="125"/>
      <c r="T501" s="125"/>
      <c r="U501" s="125"/>
      <c r="V501" s="166"/>
      <c r="W501" s="95"/>
      <c r="X501" s="125"/>
      <c r="Y501" s="125"/>
      <c r="Z501" s="125"/>
      <c r="AA501" s="166"/>
      <c r="AB501" s="161"/>
    </row>
    <row r="502" spans="1:28" ht="14.25" customHeight="1" x14ac:dyDescent="0.25">
      <c r="A502" s="153">
        <f>ESCUADRAS!B99</f>
        <v>93</v>
      </c>
      <c r="B502" s="153">
        <f>ESCUADRAS!C99</f>
        <v>0</v>
      </c>
      <c r="C502" s="93"/>
      <c r="D502" s="123"/>
      <c r="E502" s="123"/>
      <c r="F502" s="123"/>
      <c r="G502" s="164"/>
      <c r="H502" s="129"/>
      <c r="I502" s="114"/>
      <c r="J502" s="114"/>
      <c r="K502" s="114"/>
      <c r="L502" s="156"/>
      <c r="M502" s="93"/>
      <c r="N502" s="123"/>
      <c r="O502" s="123"/>
      <c r="P502" s="123"/>
      <c r="Q502" s="164"/>
      <c r="R502" s="93"/>
      <c r="S502" s="123"/>
      <c r="T502" s="123"/>
      <c r="U502" s="123"/>
      <c r="V502" s="164"/>
      <c r="W502" s="93"/>
      <c r="X502" s="123"/>
      <c r="Y502" s="123"/>
      <c r="Z502" s="123"/>
      <c r="AA502" s="164"/>
      <c r="AB502" s="159"/>
    </row>
    <row r="503" spans="1:28" ht="14.25" customHeight="1" x14ac:dyDescent="0.25">
      <c r="A503" s="154"/>
      <c r="B503" s="154"/>
      <c r="C503" s="94"/>
      <c r="D503" s="124"/>
      <c r="E503" s="124"/>
      <c r="F503" s="124"/>
      <c r="G503" s="165"/>
      <c r="H503" s="130"/>
      <c r="I503" s="115"/>
      <c r="J503" s="115"/>
      <c r="K503" s="115"/>
      <c r="L503" s="157"/>
      <c r="M503" s="94"/>
      <c r="N503" s="124"/>
      <c r="O503" s="124"/>
      <c r="P503" s="124"/>
      <c r="Q503" s="165"/>
      <c r="R503" s="94"/>
      <c r="S503" s="124"/>
      <c r="T503" s="124"/>
      <c r="U503" s="124"/>
      <c r="V503" s="165"/>
      <c r="W503" s="94"/>
      <c r="X503" s="124"/>
      <c r="Y503" s="124"/>
      <c r="Z503" s="124"/>
      <c r="AA503" s="165"/>
      <c r="AB503" s="160"/>
    </row>
    <row r="504" spans="1:28" ht="13.5" customHeight="1" thickBot="1" x14ac:dyDescent="0.3">
      <c r="A504" s="155"/>
      <c r="B504" s="155"/>
      <c r="C504" s="95"/>
      <c r="D504" s="125"/>
      <c r="E504" s="125"/>
      <c r="F504" s="125"/>
      <c r="G504" s="166"/>
      <c r="H504" s="131"/>
      <c r="I504" s="116"/>
      <c r="J504" s="116"/>
      <c r="K504" s="116"/>
      <c r="L504" s="158"/>
      <c r="M504" s="95"/>
      <c r="N504" s="125"/>
      <c r="O504" s="125"/>
      <c r="P504" s="125"/>
      <c r="Q504" s="166"/>
      <c r="R504" s="95"/>
      <c r="S504" s="125"/>
      <c r="T504" s="125"/>
      <c r="U504" s="125"/>
      <c r="V504" s="166"/>
      <c r="W504" s="95"/>
      <c r="X504" s="125"/>
      <c r="Y504" s="125"/>
      <c r="Z504" s="125"/>
      <c r="AA504" s="166"/>
      <c r="AB504" s="161"/>
    </row>
    <row r="505" spans="1:28" ht="13.5" customHeight="1" x14ac:dyDescent="0.25">
      <c r="A505" s="136">
        <f>ESCUADRAS!B100</f>
        <v>94</v>
      </c>
      <c r="B505" s="136">
        <f>ESCUADRAS!C100</f>
        <v>0</v>
      </c>
      <c r="C505" s="129"/>
      <c r="D505" s="114"/>
      <c r="E505" s="114"/>
      <c r="F505" s="114"/>
      <c r="G505" s="156"/>
      <c r="H505" s="93"/>
      <c r="I505" s="123"/>
      <c r="J505" s="123"/>
      <c r="K505" s="123"/>
      <c r="L505" s="164"/>
      <c r="M505" s="93"/>
      <c r="N505" s="123"/>
      <c r="O505" s="123"/>
      <c r="P505" s="123"/>
      <c r="Q505" s="164"/>
      <c r="R505" s="93"/>
      <c r="S505" s="123"/>
      <c r="T505" s="123"/>
      <c r="U505" s="123"/>
      <c r="V505" s="164"/>
      <c r="W505" s="93"/>
      <c r="X505" s="123"/>
      <c r="Y505" s="123"/>
      <c r="Z505" s="123"/>
      <c r="AA505" s="164"/>
      <c r="AB505" s="159"/>
    </row>
    <row r="506" spans="1:28" ht="14.25" customHeight="1" x14ac:dyDescent="0.25">
      <c r="A506" s="137"/>
      <c r="B506" s="137"/>
      <c r="C506" s="130"/>
      <c r="D506" s="115"/>
      <c r="E506" s="115"/>
      <c r="F506" s="115"/>
      <c r="G506" s="157"/>
      <c r="H506" s="94"/>
      <c r="I506" s="124"/>
      <c r="J506" s="124"/>
      <c r="K506" s="124"/>
      <c r="L506" s="165"/>
      <c r="M506" s="94"/>
      <c r="N506" s="124"/>
      <c r="O506" s="124"/>
      <c r="P506" s="124"/>
      <c r="Q506" s="165"/>
      <c r="R506" s="94"/>
      <c r="S506" s="124"/>
      <c r="T506" s="124"/>
      <c r="U506" s="124"/>
      <c r="V506" s="165"/>
      <c r="W506" s="94"/>
      <c r="X506" s="124"/>
      <c r="Y506" s="124"/>
      <c r="Z506" s="124"/>
      <c r="AA506" s="165"/>
      <c r="AB506" s="160"/>
    </row>
    <row r="507" spans="1:28" ht="13.5" customHeight="1" thickBot="1" x14ac:dyDescent="0.3">
      <c r="A507" s="138"/>
      <c r="B507" s="138"/>
      <c r="C507" s="131"/>
      <c r="D507" s="116"/>
      <c r="E507" s="116"/>
      <c r="F507" s="116"/>
      <c r="G507" s="158"/>
      <c r="H507" s="95"/>
      <c r="I507" s="125"/>
      <c r="J507" s="125"/>
      <c r="K507" s="125"/>
      <c r="L507" s="166"/>
      <c r="M507" s="95"/>
      <c r="N507" s="125"/>
      <c r="O507" s="125"/>
      <c r="P507" s="125"/>
      <c r="Q507" s="166"/>
      <c r="R507" s="95"/>
      <c r="S507" s="125"/>
      <c r="T507" s="125"/>
      <c r="U507" s="125"/>
      <c r="V507" s="166"/>
      <c r="W507" s="95"/>
      <c r="X507" s="125"/>
      <c r="Y507" s="125"/>
      <c r="Z507" s="125"/>
      <c r="AA507" s="166"/>
      <c r="AB507" s="161"/>
    </row>
    <row r="509" spans="1:28" ht="15" x14ac:dyDescent="0.25">
      <c r="A509" s="28"/>
      <c r="B509" s="26" t="s">
        <v>35</v>
      </c>
      <c r="E509" s="21" t="s">
        <v>41</v>
      </c>
      <c r="I509" s="21" t="s">
        <v>42</v>
      </c>
      <c r="M509" s="21" t="s">
        <v>43</v>
      </c>
      <c r="Q509" s="21" t="s">
        <v>44</v>
      </c>
      <c r="U509" s="21" t="s">
        <v>45</v>
      </c>
      <c r="Y509" s="21" t="s">
        <v>46</v>
      </c>
    </row>
    <row r="515" spans="1:32" ht="26.25" customHeight="1" x14ac:dyDescent="0.25">
      <c r="A515" s="144" t="str">
        <f>'INSCRIPCION '!A$1</f>
        <v>TIRADA</v>
      </c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</row>
    <row r="516" spans="1:32" ht="19.5" customHeight="1" x14ac:dyDescent="0.4">
      <c r="A516" s="23"/>
      <c r="B516" s="23"/>
    </row>
    <row r="517" spans="1:32" ht="22.8" x14ac:dyDescent="0.25">
      <c r="A517" s="132" t="str">
        <f>'INSCRIPCION '!A$2</f>
        <v>CAMPO DE TIRO LA ISLA</v>
      </c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</row>
    <row r="518" spans="1:32" ht="20.399999999999999" x14ac:dyDescent="0.25">
      <c r="A518" s="143" t="str">
        <f>'INSCRIPCION '!A$3</f>
        <v>XXX PLATOS</v>
      </c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</row>
    <row r="519" spans="1:32" ht="22.8" x14ac:dyDescent="0.4">
      <c r="A519" s="24"/>
      <c r="B519" s="24"/>
    </row>
    <row r="520" spans="1:32" ht="17.399999999999999" x14ac:dyDescent="0.3">
      <c r="A520" s="25" t="s">
        <v>26</v>
      </c>
      <c r="B520" s="25"/>
      <c r="J520" s="9" t="s">
        <v>6</v>
      </c>
      <c r="K520" s="9"/>
      <c r="L520" s="9"/>
      <c r="M520" s="9"/>
      <c r="N520" s="9"/>
      <c r="O520" s="22">
        <v>3</v>
      </c>
      <c r="P520" s="22"/>
      <c r="Q520" s="8"/>
      <c r="R520" s="8"/>
      <c r="S520" s="7"/>
      <c r="T520" s="8"/>
      <c r="U520" s="8"/>
      <c r="V520" s="9" t="s">
        <v>7</v>
      </c>
      <c r="W520" s="9"/>
      <c r="X520" s="9"/>
      <c r="Y520" s="9"/>
      <c r="Z520" s="22">
        <v>3</v>
      </c>
      <c r="AA520" s="22"/>
    </row>
    <row r="521" spans="1:32" ht="13.8" thickBot="1" x14ac:dyDescent="0.3"/>
    <row r="522" spans="1:32" ht="15.6" thickBot="1" x14ac:dyDescent="0.3">
      <c r="A522" s="27" t="s">
        <v>0</v>
      </c>
      <c r="B522" s="27" t="s">
        <v>8</v>
      </c>
      <c r="C522" s="47">
        <v>1</v>
      </c>
      <c r="D522" s="48">
        <v>2</v>
      </c>
      <c r="E522" s="48">
        <v>3</v>
      </c>
      <c r="F522" s="48">
        <v>4</v>
      </c>
      <c r="G522" s="49">
        <v>5</v>
      </c>
      <c r="H522" s="47">
        <v>6</v>
      </c>
      <c r="I522" s="48">
        <v>7</v>
      </c>
      <c r="J522" s="48">
        <v>8</v>
      </c>
      <c r="K522" s="48">
        <v>9</v>
      </c>
      <c r="L522" s="49">
        <v>10</v>
      </c>
      <c r="M522" s="47">
        <v>11</v>
      </c>
      <c r="N522" s="48">
        <v>12</v>
      </c>
      <c r="O522" s="48">
        <v>13</v>
      </c>
      <c r="P522" s="48">
        <v>14</v>
      </c>
      <c r="Q522" s="49">
        <v>15</v>
      </c>
      <c r="R522" s="47">
        <v>16</v>
      </c>
      <c r="S522" s="48">
        <v>17</v>
      </c>
      <c r="T522" s="48">
        <v>18</v>
      </c>
      <c r="U522" s="48">
        <v>19</v>
      </c>
      <c r="V522" s="49">
        <v>20</v>
      </c>
      <c r="W522" s="47">
        <v>21</v>
      </c>
      <c r="X522" s="48">
        <v>22</v>
      </c>
      <c r="Y522" s="48">
        <v>23</v>
      </c>
      <c r="Z522" s="48">
        <v>24</v>
      </c>
      <c r="AA522" s="49">
        <v>25</v>
      </c>
      <c r="AB522" s="30" t="s">
        <v>1</v>
      </c>
    </row>
    <row r="523" spans="1:32" ht="14.25" customHeight="1" thickTop="1" x14ac:dyDescent="0.25">
      <c r="A523" s="150">
        <f>ESCUADRAS!B103</f>
        <v>97</v>
      </c>
      <c r="B523" s="153">
        <f>ESCUADRAS!C107</f>
        <v>0</v>
      </c>
      <c r="C523" s="129"/>
      <c r="D523" s="114"/>
      <c r="E523" s="114"/>
      <c r="F523" s="114"/>
      <c r="G523" s="156"/>
      <c r="H523" s="129"/>
      <c r="I523" s="114"/>
      <c r="J523" s="114"/>
      <c r="K523" s="114"/>
      <c r="L523" s="156"/>
      <c r="M523" s="129"/>
      <c r="N523" s="114"/>
      <c r="O523" s="114"/>
      <c r="P523" s="114"/>
      <c r="Q523" s="156"/>
      <c r="R523" s="129"/>
      <c r="S523" s="114"/>
      <c r="T523" s="114"/>
      <c r="U523" s="114"/>
      <c r="V523" s="156"/>
      <c r="W523" s="129"/>
      <c r="X523" s="114"/>
      <c r="Y523" s="114"/>
      <c r="Z523" s="114"/>
      <c r="AA523" s="156"/>
      <c r="AB523" s="159"/>
    </row>
    <row r="524" spans="1:32" ht="14.25" customHeight="1" x14ac:dyDescent="0.25">
      <c r="A524" s="151"/>
      <c r="B524" s="154"/>
      <c r="C524" s="130"/>
      <c r="D524" s="115"/>
      <c r="E524" s="115"/>
      <c r="F524" s="115"/>
      <c r="G524" s="157"/>
      <c r="H524" s="130"/>
      <c r="I524" s="115"/>
      <c r="J524" s="115"/>
      <c r="K524" s="115"/>
      <c r="L524" s="157"/>
      <c r="M524" s="130"/>
      <c r="N524" s="115"/>
      <c r="O524" s="115"/>
      <c r="P524" s="115"/>
      <c r="Q524" s="157"/>
      <c r="R524" s="130"/>
      <c r="S524" s="115"/>
      <c r="T524" s="115"/>
      <c r="U524" s="115"/>
      <c r="V524" s="157"/>
      <c r="W524" s="130"/>
      <c r="X524" s="115"/>
      <c r="Y524" s="115"/>
      <c r="Z524" s="115"/>
      <c r="AA524" s="157"/>
      <c r="AB524" s="160"/>
    </row>
    <row r="525" spans="1:32" ht="13.5" customHeight="1" thickBot="1" x14ac:dyDescent="0.3">
      <c r="A525" s="152"/>
      <c r="B525" s="155"/>
      <c r="C525" s="131"/>
      <c r="D525" s="116"/>
      <c r="E525" s="116"/>
      <c r="F525" s="116"/>
      <c r="G525" s="158"/>
      <c r="H525" s="131"/>
      <c r="I525" s="116"/>
      <c r="J525" s="116"/>
      <c r="K525" s="116"/>
      <c r="L525" s="158"/>
      <c r="M525" s="131"/>
      <c r="N525" s="116"/>
      <c r="O525" s="116"/>
      <c r="P525" s="116"/>
      <c r="Q525" s="158"/>
      <c r="R525" s="131"/>
      <c r="S525" s="116"/>
      <c r="T525" s="116"/>
      <c r="U525" s="116"/>
      <c r="V525" s="158"/>
      <c r="W525" s="131"/>
      <c r="X525" s="116"/>
      <c r="Y525" s="116"/>
      <c r="Z525" s="116"/>
      <c r="AA525" s="158"/>
      <c r="AB525" s="161"/>
    </row>
    <row r="526" spans="1:32" ht="14.25" customHeight="1" thickTop="1" x14ac:dyDescent="0.25">
      <c r="A526" s="162">
        <f>ESCUADRAS!B104</f>
        <v>98</v>
      </c>
      <c r="B526" s="136">
        <f>ESCUADRAS!C108</f>
        <v>0</v>
      </c>
      <c r="C526" s="93"/>
      <c r="D526" s="123"/>
      <c r="E526" s="123"/>
      <c r="F526" s="123"/>
      <c r="G526" s="164"/>
      <c r="H526" s="93"/>
      <c r="I526" s="123"/>
      <c r="J526" s="123"/>
      <c r="K526" s="123"/>
      <c r="L526" s="164"/>
      <c r="M526" s="93"/>
      <c r="N526" s="123"/>
      <c r="O526" s="123"/>
      <c r="P526" s="123"/>
      <c r="Q526" s="164"/>
      <c r="R526" s="93"/>
      <c r="S526" s="123"/>
      <c r="T526" s="123"/>
      <c r="U526" s="123"/>
      <c r="V526" s="164"/>
      <c r="W526" s="129"/>
      <c r="X526" s="114"/>
      <c r="Y526" s="114"/>
      <c r="Z526" s="114"/>
      <c r="AA526" s="156"/>
      <c r="AB526" s="159"/>
    </row>
    <row r="527" spans="1:32" ht="14.25" customHeight="1" x14ac:dyDescent="0.25">
      <c r="A527" s="141"/>
      <c r="B527" s="137"/>
      <c r="C527" s="94"/>
      <c r="D527" s="124"/>
      <c r="E527" s="124"/>
      <c r="F527" s="124"/>
      <c r="G527" s="165"/>
      <c r="H527" s="94"/>
      <c r="I527" s="124"/>
      <c r="J527" s="124"/>
      <c r="K527" s="124"/>
      <c r="L527" s="165"/>
      <c r="M527" s="94"/>
      <c r="N527" s="124"/>
      <c r="O527" s="124"/>
      <c r="P527" s="124"/>
      <c r="Q527" s="165"/>
      <c r="R527" s="94"/>
      <c r="S527" s="124"/>
      <c r="T527" s="124"/>
      <c r="U527" s="124"/>
      <c r="V527" s="165"/>
      <c r="W527" s="130"/>
      <c r="X527" s="115"/>
      <c r="Y527" s="115"/>
      <c r="Z527" s="115"/>
      <c r="AA527" s="157"/>
      <c r="AB527" s="160"/>
    </row>
    <row r="528" spans="1:32" ht="13.5" customHeight="1" thickBot="1" x14ac:dyDescent="0.3">
      <c r="A528" s="163"/>
      <c r="B528" s="138"/>
      <c r="C528" s="95"/>
      <c r="D528" s="125"/>
      <c r="E528" s="125"/>
      <c r="F528" s="125"/>
      <c r="G528" s="166"/>
      <c r="H528" s="95"/>
      <c r="I528" s="125"/>
      <c r="J528" s="125"/>
      <c r="K528" s="125"/>
      <c r="L528" s="166"/>
      <c r="M528" s="95"/>
      <c r="N528" s="125"/>
      <c r="O528" s="125"/>
      <c r="P528" s="125"/>
      <c r="Q528" s="166"/>
      <c r="R528" s="95"/>
      <c r="S528" s="125"/>
      <c r="T528" s="125"/>
      <c r="U528" s="125"/>
      <c r="V528" s="166"/>
      <c r="W528" s="131"/>
      <c r="X528" s="116"/>
      <c r="Y528" s="116"/>
      <c r="Z528" s="116"/>
      <c r="AA528" s="158"/>
      <c r="AB528" s="161"/>
    </row>
    <row r="529" spans="1:28" ht="14.25" customHeight="1" thickTop="1" x14ac:dyDescent="0.25">
      <c r="A529" s="150">
        <f>ESCUADRAS!B105</f>
        <v>99</v>
      </c>
      <c r="B529" s="153">
        <f>ESCUADRAS!C103</f>
        <v>0</v>
      </c>
      <c r="C529" s="93"/>
      <c r="D529" s="123"/>
      <c r="E529" s="123"/>
      <c r="F529" s="123"/>
      <c r="G529" s="164"/>
      <c r="H529" s="93"/>
      <c r="I529" s="123"/>
      <c r="J529" s="123"/>
      <c r="K529" s="123"/>
      <c r="L529" s="164"/>
      <c r="M529" s="93"/>
      <c r="N529" s="123"/>
      <c r="O529" s="123"/>
      <c r="P529" s="123"/>
      <c r="Q529" s="164"/>
      <c r="R529" s="129"/>
      <c r="S529" s="114"/>
      <c r="T529" s="114"/>
      <c r="U529" s="114"/>
      <c r="V529" s="156"/>
      <c r="W529" s="93"/>
      <c r="X529" s="123"/>
      <c r="Y529" s="123"/>
      <c r="Z529" s="123"/>
      <c r="AA529" s="164"/>
      <c r="AB529" s="159"/>
    </row>
    <row r="530" spans="1:28" ht="14.25" customHeight="1" x14ac:dyDescent="0.25">
      <c r="A530" s="151"/>
      <c r="B530" s="154"/>
      <c r="C530" s="94"/>
      <c r="D530" s="124"/>
      <c r="E530" s="124"/>
      <c r="F530" s="124"/>
      <c r="G530" s="165"/>
      <c r="H530" s="94"/>
      <c r="I530" s="124"/>
      <c r="J530" s="124"/>
      <c r="K530" s="124"/>
      <c r="L530" s="165"/>
      <c r="M530" s="94"/>
      <c r="N530" s="124"/>
      <c r="O530" s="124"/>
      <c r="P530" s="124"/>
      <c r="Q530" s="165"/>
      <c r="R530" s="130"/>
      <c r="S530" s="115"/>
      <c r="T530" s="115"/>
      <c r="U530" s="115"/>
      <c r="V530" s="157"/>
      <c r="W530" s="94"/>
      <c r="X530" s="124"/>
      <c r="Y530" s="124"/>
      <c r="Z530" s="124"/>
      <c r="AA530" s="165"/>
      <c r="AB530" s="160"/>
    </row>
    <row r="531" spans="1:28" ht="13.5" customHeight="1" thickBot="1" x14ac:dyDescent="0.3">
      <c r="A531" s="152"/>
      <c r="B531" s="155"/>
      <c r="C531" s="95"/>
      <c r="D531" s="125"/>
      <c r="E531" s="125"/>
      <c r="F531" s="125"/>
      <c r="G531" s="166"/>
      <c r="H531" s="95"/>
      <c r="I531" s="125"/>
      <c r="J531" s="125"/>
      <c r="K531" s="125"/>
      <c r="L531" s="166"/>
      <c r="M531" s="95"/>
      <c r="N531" s="125"/>
      <c r="O531" s="125"/>
      <c r="P531" s="125"/>
      <c r="Q531" s="166"/>
      <c r="R531" s="131"/>
      <c r="S531" s="116"/>
      <c r="T531" s="116"/>
      <c r="U531" s="116"/>
      <c r="V531" s="158"/>
      <c r="W531" s="95"/>
      <c r="X531" s="125"/>
      <c r="Y531" s="125"/>
      <c r="Z531" s="125"/>
      <c r="AA531" s="166"/>
      <c r="AB531" s="161"/>
    </row>
    <row r="532" spans="1:28" ht="13.5" customHeight="1" thickTop="1" x14ac:dyDescent="0.25">
      <c r="A532" s="162">
        <f>ESCUADRAS!B106</f>
        <v>100</v>
      </c>
      <c r="B532" s="136">
        <f>ESCUADRAS!C104</f>
        <v>0</v>
      </c>
      <c r="C532" s="93"/>
      <c r="D532" s="123"/>
      <c r="E532" s="123"/>
      <c r="F532" s="123"/>
      <c r="G532" s="164"/>
      <c r="H532" s="93"/>
      <c r="I532" s="123"/>
      <c r="J532" s="123"/>
      <c r="K532" s="123"/>
      <c r="L532" s="164"/>
      <c r="M532" s="129"/>
      <c r="N532" s="114"/>
      <c r="O532" s="114"/>
      <c r="P532" s="114"/>
      <c r="Q532" s="156"/>
      <c r="R532" s="93"/>
      <c r="S532" s="123"/>
      <c r="T532" s="123"/>
      <c r="U532" s="123"/>
      <c r="V532" s="164"/>
      <c r="W532" s="93"/>
      <c r="X532" s="123"/>
      <c r="Y532" s="123"/>
      <c r="Z532" s="123"/>
      <c r="AA532" s="164"/>
      <c r="AB532" s="159"/>
    </row>
    <row r="533" spans="1:28" ht="14.25" customHeight="1" x14ac:dyDescent="0.25">
      <c r="A533" s="141"/>
      <c r="B533" s="137"/>
      <c r="C533" s="94"/>
      <c r="D533" s="124"/>
      <c r="E533" s="124"/>
      <c r="F533" s="124"/>
      <c r="G533" s="165"/>
      <c r="H533" s="94"/>
      <c r="I533" s="124"/>
      <c r="J533" s="124"/>
      <c r="K533" s="124"/>
      <c r="L533" s="165"/>
      <c r="M533" s="130"/>
      <c r="N533" s="115"/>
      <c r="O533" s="115"/>
      <c r="P533" s="115"/>
      <c r="Q533" s="157"/>
      <c r="R533" s="94"/>
      <c r="S533" s="124"/>
      <c r="T533" s="124"/>
      <c r="U533" s="124"/>
      <c r="V533" s="165"/>
      <c r="W533" s="94"/>
      <c r="X533" s="124"/>
      <c r="Y533" s="124"/>
      <c r="Z533" s="124"/>
      <c r="AA533" s="165"/>
      <c r="AB533" s="160"/>
    </row>
    <row r="534" spans="1:28" ht="13.5" customHeight="1" thickBot="1" x14ac:dyDescent="0.3">
      <c r="A534" s="163"/>
      <c r="B534" s="138"/>
      <c r="C534" s="95"/>
      <c r="D534" s="125"/>
      <c r="E534" s="125"/>
      <c r="F534" s="125"/>
      <c r="G534" s="166"/>
      <c r="H534" s="95"/>
      <c r="I534" s="125"/>
      <c r="J534" s="125"/>
      <c r="K534" s="125"/>
      <c r="L534" s="166"/>
      <c r="M534" s="131"/>
      <c r="N534" s="116"/>
      <c r="O534" s="116"/>
      <c r="P534" s="116"/>
      <c r="Q534" s="158"/>
      <c r="R534" s="95"/>
      <c r="S534" s="125"/>
      <c r="T534" s="125"/>
      <c r="U534" s="125"/>
      <c r="V534" s="166"/>
      <c r="W534" s="95"/>
      <c r="X534" s="125"/>
      <c r="Y534" s="125"/>
      <c r="Z534" s="125"/>
      <c r="AA534" s="166"/>
      <c r="AB534" s="161"/>
    </row>
    <row r="535" spans="1:28" ht="14.25" customHeight="1" thickTop="1" x14ac:dyDescent="0.25">
      <c r="A535" s="150">
        <f>ESCUADRAS!B107</f>
        <v>101</v>
      </c>
      <c r="B535" s="153">
        <f>ESCUADRAS!C105</f>
        <v>0</v>
      </c>
      <c r="C535" s="93"/>
      <c r="D535" s="123"/>
      <c r="E535" s="123"/>
      <c r="F535" s="123"/>
      <c r="G535" s="164"/>
      <c r="H535" s="129"/>
      <c r="I535" s="114"/>
      <c r="J535" s="114"/>
      <c r="K535" s="114"/>
      <c r="L535" s="156"/>
      <c r="M535" s="93"/>
      <c r="N535" s="123"/>
      <c r="O535" s="123"/>
      <c r="P535" s="123"/>
      <c r="Q535" s="164"/>
      <c r="R535" s="93"/>
      <c r="S535" s="123"/>
      <c r="T535" s="123"/>
      <c r="U535" s="123"/>
      <c r="V535" s="164"/>
      <c r="W535" s="93"/>
      <c r="X535" s="123"/>
      <c r="Y535" s="123"/>
      <c r="Z535" s="123"/>
      <c r="AA535" s="164"/>
      <c r="AB535" s="159"/>
    </row>
    <row r="536" spans="1:28" ht="14.25" customHeight="1" x14ac:dyDescent="0.25">
      <c r="A536" s="151"/>
      <c r="B536" s="154"/>
      <c r="C536" s="94"/>
      <c r="D536" s="124"/>
      <c r="E536" s="124"/>
      <c r="F536" s="124"/>
      <c r="G536" s="165"/>
      <c r="H536" s="130"/>
      <c r="I536" s="115"/>
      <c r="J536" s="115"/>
      <c r="K536" s="115"/>
      <c r="L536" s="157"/>
      <c r="M536" s="94"/>
      <c r="N536" s="124"/>
      <c r="O536" s="124"/>
      <c r="P536" s="124"/>
      <c r="Q536" s="165"/>
      <c r="R536" s="94"/>
      <c r="S536" s="124"/>
      <c r="T536" s="124"/>
      <c r="U536" s="124"/>
      <c r="V536" s="165"/>
      <c r="W536" s="94"/>
      <c r="X536" s="124"/>
      <c r="Y536" s="124"/>
      <c r="Z536" s="124"/>
      <c r="AA536" s="165"/>
      <c r="AB536" s="160"/>
    </row>
    <row r="537" spans="1:28" ht="13.5" customHeight="1" thickBot="1" x14ac:dyDescent="0.3">
      <c r="A537" s="152"/>
      <c r="B537" s="155"/>
      <c r="C537" s="95"/>
      <c r="D537" s="125"/>
      <c r="E537" s="125"/>
      <c r="F537" s="125"/>
      <c r="G537" s="166"/>
      <c r="H537" s="131"/>
      <c r="I537" s="116"/>
      <c r="J537" s="116"/>
      <c r="K537" s="116"/>
      <c r="L537" s="158"/>
      <c r="M537" s="95"/>
      <c r="N537" s="125"/>
      <c r="O537" s="125"/>
      <c r="P537" s="125"/>
      <c r="Q537" s="166"/>
      <c r="R537" s="95"/>
      <c r="S537" s="125"/>
      <c r="T537" s="125"/>
      <c r="U537" s="125"/>
      <c r="V537" s="166"/>
      <c r="W537" s="95"/>
      <c r="X537" s="125"/>
      <c r="Y537" s="125"/>
      <c r="Z537" s="125"/>
      <c r="AA537" s="166"/>
      <c r="AB537" s="161"/>
    </row>
    <row r="538" spans="1:28" ht="13.5" customHeight="1" thickTop="1" x14ac:dyDescent="0.25">
      <c r="A538" s="162">
        <f>ESCUADRAS!B108</f>
        <v>102</v>
      </c>
      <c r="B538" s="136">
        <f>ESCUADRAS!C106</f>
        <v>0</v>
      </c>
      <c r="C538" s="129"/>
      <c r="D538" s="114"/>
      <c r="E538" s="114"/>
      <c r="F538" s="114"/>
      <c r="G538" s="156"/>
      <c r="H538" s="93"/>
      <c r="I538" s="123"/>
      <c r="J538" s="123"/>
      <c r="K538" s="123"/>
      <c r="L538" s="164"/>
      <c r="M538" s="93"/>
      <c r="N538" s="123"/>
      <c r="O538" s="123"/>
      <c r="P538" s="123"/>
      <c r="Q538" s="164"/>
      <c r="R538" s="93"/>
      <c r="S538" s="123"/>
      <c r="T538" s="123"/>
      <c r="U538" s="123"/>
      <c r="V538" s="164"/>
      <c r="W538" s="93"/>
      <c r="X538" s="123"/>
      <c r="Y538" s="123"/>
      <c r="Z538" s="123"/>
      <c r="AA538" s="164"/>
      <c r="AB538" s="159"/>
    </row>
    <row r="539" spans="1:28" ht="14.25" customHeight="1" x14ac:dyDescent="0.25">
      <c r="A539" s="141"/>
      <c r="B539" s="137"/>
      <c r="C539" s="130"/>
      <c r="D539" s="115"/>
      <c r="E539" s="115"/>
      <c r="F539" s="115"/>
      <c r="G539" s="157"/>
      <c r="H539" s="94"/>
      <c r="I539" s="124"/>
      <c r="J539" s="124"/>
      <c r="K539" s="124"/>
      <c r="L539" s="165"/>
      <c r="M539" s="94"/>
      <c r="N539" s="124"/>
      <c r="O539" s="124"/>
      <c r="P539" s="124"/>
      <c r="Q539" s="165"/>
      <c r="R539" s="94"/>
      <c r="S539" s="124"/>
      <c r="T539" s="124"/>
      <c r="U539" s="124"/>
      <c r="V539" s="165"/>
      <c r="W539" s="94"/>
      <c r="X539" s="124"/>
      <c r="Y539" s="124"/>
      <c r="Z539" s="124"/>
      <c r="AA539" s="165"/>
      <c r="AB539" s="160"/>
    </row>
    <row r="540" spans="1:28" ht="13.5" customHeight="1" thickBot="1" x14ac:dyDescent="0.3">
      <c r="A540" s="142"/>
      <c r="B540" s="138"/>
      <c r="C540" s="131"/>
      <c r="D540" s="116"/>
      <c r="E540" s="116"/>
      <c r="F540" s="116"/>
      <c r="G540" s="158"/>
      <c r="H540" s="95"/>
      <c r="I540" s="125"/>
      <c r="J540" s="125"/>
      <c r="K540" s="125"/>
      <c r="L540" s="166"/>
      <c r="M540" s="95"/>
      <c r="N540" s="125"/>
      <c r="O540" s="125"/>
      <c r="P540" s="125"/>
      <c r="Q540" s="166"/>
      <c r="R540" s="95"/>
      <c r="S540" s="125"/>
      <c r="T540" s="125"/>
      <c r="U540" s="125"/>
      <c r="V540" s="166"/>
      <c r="W540" s="95"/>
      <c r="X540" s="125"/>
      <c r="Y540" s="125"/>
      <c r="Z540" s="125"/>
      <c r="AA540" s="166"/>
      <c r="AB540" s="161"/>
    </row>
    <row r="542" spans="1:28" ht="15" x14ac:dyDescent="0.25">
      <c r="A542" s="28"/>
      <c r="B542" s="26" t="s">
        <v>35</v>
      </c>
      <c r="E542" s="21" t="s">
        <v>41</v>
      </c>
      <c r="I542" s="21" t="s">
        <v>42</v>
      </c>
      <c r="M542" s="21" t="s">
        <v>43</v>
      </c>
      <c r="Q542" s="21" t="s">
        <v>44</v>
      </c>
      <c r="U542" s="21" t="s">
        <v>45</v>
      </c>
      <c r="Y542" s="21" t="s">
        <v>46</v>
      </c>
    </row>
    <row r="549" spans="1:32" ht="24.6" x14ac:dyDescent="0.25">
      <c r="A549" s="144" t="str">
        <f>'INSCRIPCION '!A$1</f>
        <v>TIRADA</v>
      </c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</row>
    <row r="550" spans="1:32" ht="24.6" x14ac:dyDescent="0.4">
      <c r="A550" s="23"/>
      <c r="B550" s="23"/>
    </row>
    <row r="551" spans="1:32" ht="22.8" x14ac:dyDescent="0.25">
      <c r="A551" s="132" t="str">
        <f>'INSCRIPCION '!A$2</f>
        <v>CAMPO DE TIRO LA ISLA</v>
      </c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</row>
    <row r="552" spans="1:32" ht="20.399999999999999" x14ac:dyDescent="0.25">
      <c r="A552" s="143" t="str">
        <f>'INSCRIPCION '!A$3</f>
        <v>XXX PLATOS</v>
      </c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</row>
    <row r="553" spans="1:32" ht="22.8" x14ac:dyDescent="0.4">
      <c r="A553" s="24"/>
      <c r="B553" s="24"/>
    </row>
    <row r="554" spans="1:32" ht="17.399999999999999" x14ac:dyDescent="0.3">
      <c r="A554" s="25" t="s">
        <v>27</v>
      </c>
      <c r="B554" s="25"/>
      <c r="J554" s="9" t="s">
        <v>6</v>
      </c>
      <c r="K554" s="9"/>
      <c r="L554" s="9"/>
      <c r="M554" s="9"/>
      <c r="N554" s="9"/>
      <c r="O554" s="22">
        <v>4</v>
      </c>
      <c r="P554" s="22"/>
      <c r="Q554" s="8"/>
      <c r="R554" s="8"/>
      <c r="S554" s="7"/>
      <c r="T554" s="8"/>
      <c r="U554" s="8"/>
      <c r="V554" s="9" t="s">
        <v>7</v>
      </c>
      <c r="W554" s="9"/>
      <c r="X554" s="9"/>
      <c r="Y554" s="9"/>
      <c r="Z554" s="22">
        <v>3</v>
      </c>
      <c r="AA554" s="22"/>
    </row>
    <row r="555" spans="1:32" ht="13.8" thickBot="1" x14ac:dyDescent="0.3"/>
    <row r="556" spans="1:32" ht="15.6" thickBot="1" x14ac:dyDescent="0.3">
      <c r="A556" s="27" t="s">
        <v>0</v>
      </c>
      <c r="B556" s="27" t="s">
        <v>8</v>
      </c>
      <c r="C556" s="47">
        <v>1</v>
      </c>
      <c r="D556" s="48">
        <v>2</v>
      </c>
      <c r="E556" s="48">
        <v>3</v>
      </c>
      <c r="F556" s="48">
        <v>4</v>
      </c>
      <c r="G556" s="49">
        <v>5</v>
      </c>
      <c r="H556" s="47">
        <v>6</v>
      </c>
      <c r="I556" s="48">
        <v>7</v>
      </c>
      <c r="J556" s="48">
        <v>8</v>
      </c>
      <c r="K556" s="48">
        <v>9</v>
      </c>
      <c r="L556" s="49">
        <v>10</v>
      </c>
      <c r="M556" s="47">
        <v>11</v>
      </c>
      <c r="N556" s="48">
        <v>12</v>
      </c>
      <c r="O556" s="48">
        <v>13</v>
      </c>
      <c r="P556" s="48">
        <v>14</v>
      </c>
      <c r="Q556" s="49">
        <v>15</v>
      </c>
      <c r="R556" s="47">
        <v>16</v>
      </c>
      <c r="S556" s="48">
        <v>17</v>
      </c>
      <c r="T556" s="48">
        <v>18</v>
      </c>
      <c r="U556" s="48">
        <v>19</v>
      </c>
      <c r="V556" s="49">
        <v>20</v>
      </c>
      <c r="W556" s="47">
        <v>21</v>
      </c>
      <c r="X556" s="48">
        <v>22</v>
      </c>
      <c r="Y556" s="48">
        <v>23</v>
      </c>
      <c r="Z556" s="48">
        <v>24</v>
      </c>
      <c r="AA556" s="49">
        <v>25</v>
      </c>
      <c r="AB556" s="30" t="s">
        <v>1</v>
      </c>
    </row>
    <row r="557" spans="1:32" ht="14.25" customHeight="1" thickTop="1" x14ac:dyDescent="0.25">
      <c r="A557" s="150">
        <f>ESCUADRAS!B109</f>
        <v>103</v>
      </c>
      <c r="B557" s="153">
        <f>ESCUADRAS!C113</f>
        <v>0</v>
      </c>
      <c r="C557" s="129"/>
      <c r="D557" s="114"/>
      <c r="E557" s="114"/>
      <c r="F557" s="114"/>
      <c r="G557" s="156"/>
      <c r="H557" s="129"/>
      <c r="I557" s="114"/>
      <c r="J557" s="114"/>
      <c r="K557" s="114"/>
      <c r="L557" s="156"/>
      <c r="M557" s="129"/>
      <c r="N557" s="114"/>
      <c r="O557" s="114"/>
      <c r="P557" s="114"/>
      <c r="Q557" s="156"/>
      <c r="R557" s="129"/>
      <c r="S557" s="114"/>
      <c r="T557" s="114"/>
      <c r="U557" s="114"/>
      <c r="V557" s="156"/>
      <c r="W557" s="129"/>
      <c r="X557" s="114"/>
      <c r="Y557" s="114"/>
      <c r="Z557" s="114"/>
      <c r="AA557" s="156"/>
      <c r="AB557" s="159"/>
    </row>
    <row r="558" spans="1:32" ht="14.25" customHeight="1" x14ac:dyDescent="0.25">
      <c r="A558" s="151"/>
      <c r="B558" s="154"/>
      <c r="C558" s="130"/>
      <c r="D558" s="115"/>
      <c r="E558" s="115"/>
      <c r="F558" s="115"/>
      <c r="G558" s="157"/>
      <c r="H558" s="130"/>
      <c r="I558" s="115"/>
      <c r="J558" s="115"/>
      <c r="K558" s="115"/>
      <c r="L558" s="157"/>
      <c r="M558" s="130"/>
      <c r="N558" s="115"/>
      <c r="O558" s="115"/>
      <c r="P558" s="115"/>
      <c r="Q558" s="157"/>
      <c r="R558" s="130"/>
      <c r="S558" s="115"/>
      <c r="T558" s="115"/>
      <c r="U558" s="115"/>
      <c r="V558" s="157"/>
      <c r="W558" s="130"/>
      <c r="X558" s="115"/>
      <c r="Y558" s="115"/>
      <c r="Z558" s="115"/>
      <c r="AA558" s="157"/>
      <c r="AB558" s="160"/>
    </row>
    <row r="559" spans="1:32" ht="13.5" customHeight="1" thickBot="1" x14ac:dyDescent="0.3">
      <c r="A559" s="152"/>
      <c r="B559" s="155"/>
      <c r="C559" s="131"/>
      <c r="D559" s="116"/>
      <c r="E559" s="116"/>
      <c r="F559" s="116"/>
      <c r="G559" s="158"/>
      <c r="H559" s="131"/>
      <c r="I559" s="116"/>
      <c r="J559" s="116"/>
      <c r="K559" s="116"/>
      <c r="L559" s="158"/>
      <c r="M559" s="131"/>
      <c r="N559" s="116"/>
      <c r="O559" s="116"/>
      <c r="P559" s="116"/>
      <c r="Q559" s="158"/>
      <c r="R559" s="131"/>
      <c r="S559" s="116"/>
      <c r="T559" s="116"/>
      <c r="U559" s="116"/>
      <c r="V559" s="158"/>
      <c r="W559" s="131"/>
      <c r="X559" s="116"/>
      <c r="Y559" s="116"/>
      <c r="Z559" s="116"/>
      <c r="AA559" s="158"/>
      <c r="AB559" s="161"/>
    </row>
    <row r="560" spans="1:32" ht="14.25" customHeight="1" thickTop="1" x14ac:dyDescent="0.25">
      <c r="A560" s="162">
        <f>ESCUADRAS!B110</f>
        <v>104</v>
      </c>
      <c r="B560" s="136">
        <f>ESCUADRAS!C114</f>
        <v>0</v>
      </c>
      <c r="C560" s="93"/>
      <c r="D560" s="123"/>
      <c r="E560" s="123"/>
      <c r="F560" s="123"/>
      <c r="G560" s="164"/>
      <c r="H560" s="93"/>
      <c r="I560" s="123"/>
      <c r="J560" s="123"/>
      <c r="K560" s="123"/>
      <c r="L560" s="164"/>
      <c r="M560" s="93"/>
      <c r="N560" s="123"/>
      <c r="O560" s="123"/>
      <c r="P560" s="123"/>
      <c r="Q560" s="164"/>
      <c r="R560" s="93"/>
      <c r="S560" s="123"/>
      <c r="T560" s="123"/>
      <c r="U560" s="123"/>
      <c r="V560" s="164"/>
      <c r="W560" s="129"/>
      <c r="X560" s="114"/>
      <c r="Y560" s="114"/>
      <c r="Z560" s="114"/>
      <c r="AA560" s="156"/>
      <c r="AB560" s="159"/>
    </row>
    <row r="561" spans="1:28" ht="14.25" customHeight="1" x14ac:dyDescent="0.25">
      <c r="A561" s="141"/>
      <c r="B561" s="137"/>
      <c r="C561" s="94"/>
      <c r="D561" s="124"/>
      <c r="E561" s="124"/>
      <c r="F561" s="124"/>
      <c r="G561" s="165"/>
      <c r="H561" s="94"/>
      <c r="I561" s="124"/>
      <c r="J561" s="124"/>
      <c r="K561" s="124"/>
      <c r="L561" s="165"/>
      <c r="M561" s="94"/>
      <c r="N561" s="124"/>
      <c r="O561" s="124"/>
      <c r="P561" s="124"/>
      <c r="Q561" s="165"/>
      <c r="R561" s="94"/>
      <c r="S561" s="124"/>
      <c r="T561" s="124"/>
      <c r="U561" s="124"/>
      <c r="V561" s="165"/>
      <c r="W561" s="130"/>
      <c r="X561" s="115"/>
      <c r="Y561" s="115"/>
      <c r="Z561" s="115"/>
      <c r="AA561" s="157"/>
      <c r="AB561" s="160"/>
    </row>
    <row r="562" spans="1:28" ht="13.5" customHeight="1" thickBot="1" x14ac:dyDescent="0.3">
      <c r="A562" s="163"/>
      <c r="B562" s="138"/>
      <c r="C562" s="95"/>
      <c r="D562" s="125"/>
      <c r="E562" s="125"/>
      <c r="F562" s="125"/>
      <c r="G562" s="166"/>
      <c r="H562" s="95"/>
      <c r="I562" s="125"/>
      <c r="J562" s="125"/>
      <c r="K562" s="125"/>
      <c r="L562" s="166"/>
      <c r="M562" s="95"/>
      <c r="N562" s="125"/>
      <c r="O562" s="125"/>
      <c r="P562" s="125"/>
      <c r="Q562" s="166"/>
      <c r="R562" s="95"/>
      <c r="S562" s="125"/>
      <c r="T562" s="125"/>
      <c r="U562" s="125"/>
      <c r="V562" s="166"/>
      <c r="W562" s="131"/>
      <c r="X562" s="116"/>
      <c r="Y562" s="116"/>
      <c r="Z562" s="116"/>
      <c r="AA562" s="158"/>
      <c r="AB562" s="161"/>
    </row>
    <row r="563" spans="1:28" ht="14.25" customHeight="1" thickTop="1" x14ac:dyDescent="0.25">
      <c r="A563" s="150">
        <f>ESCUADRAS!B111</f>
        <v>105</v>
      </c>
      <c r="B563" s="153">
        <f>ESCUADRAS!C109</f>
        <v>0</v>
      </c>
      <c r="C563" s="93"/>
      <c r="D563" s="123"/>
      <c r="E563" s="123"/>
      <c r="F563" s="123"/>
      <c r="G563" s="164"/>
      <c r="H563" s="93"/>
      <c r="I563" s="123"/>
      <c r="J563" s="123"/>
      <c r="K563" s="123"/>
      <c r="L563" s="164"/>
      <c r="M563" s="93"/>
      <c r="N563" s="123"/>
      <c r="O563" s="123"/>
      <c r="P563" s="123"/>
      <c r="Q563" s="164"/>
      <c r="R563" s="129"/>
      <c r="S563" s="114"/>
      <c r="T563" s="114"/>
      <c r="U563" s="114"/>
      <c r="V563" s="156"/>
      <c r="W563" s="93"/>
      <c r="X563" s="123"/>
      <c r="Y563" s="123"/>
      <c r="Z563" s="123"/>
      <c r="AA563" s="164"/>
      <c r="AB563" s="159"/>
    </row>
    <row r="564" spans="1:28" ht="14.25" customHeight="1" x14ac:dyDescent="0.25">
      <c r="A564" s="151"/>
      <c r="B564" s="154"/>
      <c r="C564" s="94"/>
      <c r="D564" s="124"/>
      <c r="E564" s="124"/>
      <c r="F564" s="124"/>
      <c r="G564" s="165"/>
      <c r="H564" s="94"/>
      <c r="I564" s="124"/>
      <c r="J564" s="124"/>
      <c r="K564" s="124"/>
      <c r="L564" s="165"/>
      <c r="M564" s="94"/>
      <c r="N564" s="124"/>
      <c r="O564" s="124"/>
      <c r="P564" s="124"/>
      <c r="Q564" s="165"/>
      <c r="R564" s="130"/>
      <c r="S564" s="115"/>
      <c r="T564" s="115"/>
      <c r="U564" s="115"/>
      <c r="V564" s="157"/>
      <c r="W564" s="94"/>
      <c r="X564" s="124"/>
      <c r="Y564" s="124"/>
      <c r="Z564" s="124"/>
      <c r="AA564" s="165"/>
      <c r="AB564" s="160"/>
    </row>
    <row r="565" spans="1:28" ht="13.5" customHeight="1" thickBot="1" x14ac:dyDescent="0.3">
      <c r="A565" s="152"/>
      <c r="B565" s="155"/>
      <c r="C565" s="95"/>
      <c r="D565" s="125"/>
      <c r="E565" s="125"/>
      <c r="F565" s="125"/>
      <c r="G565" s="166"/>
      <c r="H565" s="95"/>
      <c r="I565" s="125"/>
      <c r="J565" s="125"/>
      <c r="K565" s="125"/>
      <c r="L565" s="166"/>
      <c r="M565" s="95"/>
      <c r="N565" s="125"/>
      <c r="O565" s="125"/>
      <c r="P565" s="125"/>
      <c r="Q565" s="166"/>
      <c r="R565" s="131"/>
      <c r="S565" s="116"/>
      <c r="T565" s="116"/>
      <c r="U565" s="116"/>
      <c r="V565" s="158"/>
      <c r="W565" s="95"/>
      <c r="X565" s="125"/>
      <c r="Y565" s="125"/>
      <c r="Z565" s="125"/>
      <c r="AA565" s="166"/>
      <c r="AB565" s="161"/>
    </row>
    <row r="566" spans="1:28" ht="13.5" customHeight="1" thickTop="1" x14ac:dyDescent="0.25">
      <c r="A566" s="162">
        <f>ESCUADRAS!B112</f>
        <v>106</v>
      </c>
      <c r="B566" s="136">
        <f>ESCUADRAS!C110</f>
        <v>0</v>
      </c>
      <c r="C566" s="93"/>
      <c r="D566" s="123"/>
      <c r="E566" s="123"/>
      <c r="F566" s="123"/>
      <c r="G566" s="164"/>
      <c r="H566" s="93"/>
      <c r="I566" s="123"/>
      <c r="J566" s="123"/>
      <c r="K566" s="123"/>
      <c r="L566" s="164"/>
      <c r="M566" s="129"/>
      <c r="N566" s="114"/>
      <c r="O566" s="114"/>
      <c r="P566" s="114"/>
      <c r="Q566" s="156"/>
      <c r="R566" s="93"/>
      <c r="S566" s="123"/>
      <c r="T566" s="123"/>
      <c r="U566" s="123"/>
      <c r="V566" s="164"/>
      <c r="W566" s="93"/>
      <c r="X566" s="123"/>
      <c r="Y566" s="123"/>
      <c r="Z566" s="123"/>
      <c r="AA566" s="164"/>
      <c r="AB566" s="159"/>
    </row>
    <row r="567" spans="1:28" ht="14.25" customHeight="1" x14ac:dyDescent="0.25">
      <c r="A567" s="141"/>
      <c r="B567" s="137"/>
      <c r="C567" s="94"/>
      <c r="D567" s="124"/>
      <c r="E567" s="124"/>
      <c r="F567" s="124"/>
      <c r="G567" s="165"/>
      <c r="H567" s="94"/>
      <c r="I567" s="124"/>
      <c r="J567" s="124"/>
      <c r="K567" s="124"/>
      <c r="L567" s="165"/>
      <c r="M567" s="130"/>
      <c r="N567" s="115"/>
      <c r="O567" s="115"/>
      <c r="P567" s="115"/>
      <c r="Q567" s="157"/>
      <c r="R567" s="94"/>
      <c r="S567" s="124"/>
      <c r="T567" s="124"/>
      <c r="U567" s="124"/>
      <c r="V567" s="165"/>
      <c r="W567" s="94"/>
      <c r="X567" s="124"/>
      <c r="Y567" s="124"/>
      <c r="Z567" s="124"/>
      <c r="AA567" s="165"/>
      <c r="AB567" s="160"/>
    </row>
    <row r="568" spans="1:28" ht="13.5" customHeight="1" thickBot="1" x14ac:dyDescent="0.3">
      <c r="A568" s="163"/>
      <c r="B568" s="138"/>
      <c r="C568" s="95"/>
      <c r="D568" s="125"/>
      <c r="E568" s="125"/>
      <c r="F568" s="125"/>
      <c r="G568" s="166"/>
      <c r="H568" s="95"/>
      <c r="I568" s="125"/>
      <c r="J568" s="125"/>
      <c r="K568" s="125"/>
      <c r="L568" s="166"/>
      <c r="M568" s="131"/>
      <c r="N568" s="116"/>
      <c r="O568" s="116"/>
      <c r="P568" s="116"/>
      <c r="Q568" s="158"/>
      <c r="R568" s="95"/>
      <c r="S568" s="125"/>
      <c r="T568" s="125"/>
      <c r="U568" s="125"/>
      <c r="V568" s="166"/>
      <c r="W568" s="95"/>
      <c r="X568" s="125"/>
      <c r="Y568" s="125"/>
      <c r="Z568" s="125"/>
      <c r="AA568" s="166"/>
      <c r="AB568" s="161"/>
    </row>
    <row r="569" spans="1:28" ht="14.25" customHeight="1" thickTop="1" x14ac:dyDescent="0.25">
      <c r="A569" s="150">
        <f>ESCUADRAS!B113</f>
        <v>107</v>
      </c>
      <c r="B569" s="153">
        <f>ESCUADRAS!C111</f>
        <v>0</v>
      </c>
      <c r="C569" s="93"/>
      <c r="D569" s="123"/>
      <c r="E569" s="123"/>
      <c r="F569" s="123"/>
      <c r="G569" s="164"/>
      <c r="H569" s="129"/>
      <c r="I569" s="114"/>
      <c r="J569" s="114"/>
      <c r="K569" s="114"/>
      <c r="L569" s="156"/>
      <c r="M569" s="93"/>
      <c r="N569" s="123"/>
      <c r="O569" s="123"/>
      <c r="P569" s="123"/>
      <c r="Q569" s="164"/>
      <c r="R569" s="93"/>
      <c r="S569" s="123"/>
      <c r="T569" s="123"/>
      <c r="U569" s="123"/>
      <c r="V569" s="164"/>
      <c r="W569" s="93"/>
      <c r="X569" s="123"/>
      <c r="Y569" s="123"/>
      <c r="Z569" s="123"/>
      <c r="AA569" s="164"/>
      <c r="AB569" s="159"/>
    </row>
    <row r="570" spans="1:28" ht="14.25" customHeight="1" x14ac:dyDescent="0.25">
      <c r="A570" s="151"/>
      <c r="B570" s="154"/>
      <c r="C570" s="94"/>
      <c r="D570" s="124"/>
      <c r="E570" s="124"/>
      <c r="F570" s="124"/>
      <c r="G570" s="165"/>
      <c r="H570" s="130"/>
      <c r="I570" s="115"/>
      <c r="J570" s="115"/>
      <c r="K570" s="115"/>
      <c r="L570" s="157"/>
      <c r="M570" s="94"/>
      <c r="N570" s="124"/>
      <c r="O570" s="124"/>
      <c r="P570" s="124"/>
      <c r="Q570" s="165"/>
      <c r="R570" s="94"/>
      <c r="S570" s="124"/>
      <c r="T570" s="124"/>
      <c r="U570" s="124"/>
      <c r="V570" s="165"/>
      <c r="W570" s="94"/>
      <c r="X570" s="124"/>
      <c r="Y570" s="124"/>
      <c r="Z570" s="124"/>
      <c r="AA570" s="165"/>
      <c r="AB570" s="160"/>
    </row>
    <row r="571" spans="1:28" ht="13.5" customHeight="1" thickBot="1" x14ac:dyDescent="0.3">
      <c r="A571" s="152"/>
      <c r="B571" s="155"/>
      <c r="C571" s="95"/>
      <c r="D571" s="125"/>
      <c r="E571" s="125"/>
      <c r="F571" s="125"/>
      <c r="G571" s="166"/>
      <c r="H571" s="131"/>
      <c r="I571" s="116"/>
      <c r="J571" s="116"/>
      <c r="K571" s="116"/>
      <c r="L571" s="158"/>
      <c r="M571" s="95"/>
      <c r="N571" s="125"/>
      <c r="O571" s="125"/>
      <c r="P571" s="125"/>
      <c r="Q571" s="166"/>
      <c r="R571" s="95"/>
      <c r="S571" s="125"/>
      <c r="T571" s="125"/>
      <c r="U571" s="125"/>
      <c r="V571" s="166"/>
      <c r="W571" s="95"/>
      <c r="X571" s="125"/>
      <c r="Y571" s="125"/>
      <c r="Z571" s="125"/>
      <c r="AA571" s="166"/>
      <c r="AB571" s="161"/>
    </row>
    <row r="572" spans="1:28" ht="13.5" customHeight="1" thickTop="1" x14ac:dyDescent="0.25">
      <c r="A572" s="162">
        <f>ESCUADRAS!B114</f>
        <v>108</v>
      </c>
      <c r="B572" s="136">
        <f>ESCUADRAS!C112</f>
        <v>0</v>
      </c>
      <c r="C572" s="129"/>
      <c r="D572" s="114"/>
      <c r="E572" s="114"/>
      <c r="F572" s="114"/>
      <c r="G572" s="156"/>
      <c r="H572" s="93"/>
      <c r="I572" s="123"/>
      <c r="J572" s="123"/>
      <c r="K572" s="123"/>
      <c r="L572" s="164"/>
      <c r="M572" s="93"/>
      <c r="N572" s="123"/>
      <c r="O572" s="123"/>
      <c r="P572" s="123"/>
      <c r="Q572" s="164"/>
      <c r="R572" s="93"/>
      <c r="S572" s="123"/>
      <c r="T572" s="123"/>
      <c r="U572" s="123"/>
      <c r="V572" s="164"/>
      <c r="W572" s="93"/>
      <c r="X572" s="123"/>
      <c r="Y572" s="123"/>
      <c r="Z572" s="123"/>
      <c r="AA572" s="164"/>
      <c r="AB572" s="159"/>
    </row>
    <row r="573" spans="1:28" ht="14.25" customHeight="1" x14ac:dyDescent="0.25">
      <c r="A573" s="141"/>
      <c r="B573" s="137"/>
      <c r="C573" s="130"/>
      <c r="D573" s="115"/>
      <c r="E573" s="115"/>
      <c r="F573" s="115"/>
      <c r="G573" s="157"/>
      <c r="H573" s="94"/>
      <c r="I573" s="124"/>
      <c r="J573" s="124"/>
      <c r="K573" s="124"/>
      <c r="L573" s="165"/>
      <c r="M573" s="94"/>
      <c r="N573" s="124"/>
      <c r="O573" s="124"/>
      <c r="P573" s="124"/>
      <c r="Q573" s="165"/>
      <c r="R573" s="94"/>
      <c r="S573" s="124"/>
      <c r="T573" s="124"/>
      <c r="U573" s="124"/>
      <c r="V573" s="165"/>
      <c r="W573" s="94"/>
      <c r="X573" s="124"/>
      <c r="Y573" s="124"/>
      <c r="Z573" s="124"/>
      <c r="AA573" s="165"/>
      <c r="AB573" s="160"/>
    </row>
    <row r="574" spans="1:28" ht="13.5" customHeight="1" thickBot="1" x14ac:dyDescent="0.3">
      <c r="A574" s="142"/>
      <c r="B574" s="138"/>
      <c r="C574" s="131"/>
      <c r="D574" s="116"/>
      <c r="E574" s="116"/>
      <c r="F574" s="116"/>
      <c r="G574" s="158"/>
      <c r="H574" s="95"/>
      <c r="I574" s="125"/>
      <c r="J574" s="125"/>
      <c r="K574" s="125"/>
      <c r="L574" s="166"/>
      <c r="M574" s="95"/>
      <c r="N574" s="125"/>
      <c r="O574" s="125"/>
      <c r="P574" s="125"/>
      <c r="Q574" s="166"/>
      <c r="R574" s="95"/>
      <c r="S574" s="125"/>
      <c r="T574" s="125"/>
      <c r="U574" s="125"/>
      <c r="V574" s="166"/>
      <c r="W574" s="95"/>
      <c r="X574" s="125"/>
      <c r="Y574" s="125"/>
      <c r="Z574" s="125"/>
      <c r="AA574" s="166"/>
      <c r="AB574" s="161"/>
    </row>
    <row r="576" spans="1:28" ht="15" x14ac:dyDescent="0.25">
      <c r="A576" s="28"/>
      <c r="B576" s="26" t="s">
        <v>35</v>
      </c>
      <c r="E576" s="21" t="s">
        <v>41</v>
      </c>
      <c r="I576" s="21" t="s">
        <v>42</v>
      </c>
      <c r="M576" s="21" t="s">
        <v>43</v>
      </c>
      <c r="Q576" s="21" t="s">
        <v>44</v>
      </c>
      <c r="U576" s="21" t="s">
        <v>45</v>
      </c>
      <c r="Y576" s="21" t="s">
        <v>46</v>
      </c>
    </row>
    <row r="583" spans="1:32" ht="24.6" x14ac:dyDescent="0.25">
      <c r="A583" s="144" t="str">
        <f>'INSCRIPCION '!A$1</f>
        <v>TIRADA</v>
      </c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</row>
    <row r="584" spans="1:32" ht="24.6" x14ac:dyDescent="0.4">
      <c r="A584" s="23"/>
      <c r="B584" s="23"/>
    </row>
    <row r="585" spans="1:32" ht="22.8" x14ac:dyDescent="0.25">
      <c r="A585" s="132" t="str">
        <f>'INSCRIPCION '!A$2</f>
        <v>CAMPO DE TIRO LA ISLA</v>
      </c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</row>
    <row r="586" spans="1:32" ht="20.399999999999999" x14ac:dyDescent="0.25">
      <c r="A586" s="143" t="str">
        <f>'INSCRIPCION '!A$3</f>
        <v>XXX PLATOS</v>
      </c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</row>
    <row r="587" spans="1:32" ht="22.8" x14ac:dyDescent="0.4">
      <c r="A587" s="24"/>
      <c r="B587" s="24"/>
    </row>
    <row r="588" spans="1:32" ht="17.399999999999999" x14ac:dyDescent="0.3">
      <c r="A588" s="25" t="s">
        <v>28</v>
      </c>
      <c r="B588" s="25"/>
      <c r="J588" s="9" t="s">
        <v>6</v>
      </c>
      <c r="K588" s="9"/>
      <c r="L588" s="9"/>
      <c r="M588" s="9"/>
      <c r="N588" s="9"/>
      <c r="O588" s="22">
        <v>1</v>
      </c>
      <c r="P588" s="22"/>
      <c r="Q588" s="8"/>
      <c r="R588" s="8"/>
      <c r="S588" s="7"/>
      <c r="T588" s="8"/>
      <c r="U588" s="8"/>
      <c r="V588" s="9" t="s">
        <v>7</v>
      </c>
      <c r="W588" s="9"/>
      <c r="X588" s="9"/>
      <c r="Y588" s="9"/>
      <c r="Z588" s="22">
        <v>3</v>
      </c>
      <c r="AA588" s="22"/>
    </row>
    <row r="589" spans="1:32" ht="13.8" thickBot="1" x14ac:dyDescent="0.3"/>
    <row r="590" spans="1:32" ht="15.6" thickBot="1" x14ac:dyDescent="0.3">
      <c r="A590" s="27" t="s">
        <v>0</v>
      </c>
      <c r="B590" s="27" t="s">
        <v>8</v>
      </c>
      <c r="C590" s="47">
        <v>1</v>
      </c>
      <c r="D590" s="48">
        <v>2</v>
      </c>
      <c r="E590" s="48">
        <v>3</v>
      </c>
      <c r="F590" s="48">
        <v>4</v>
      </c>
      <c r="G590" s="49">
        <v>5</v>
      </c>
      <c r="H590" s="47">
        <v>6</v>
      </c>
      <c r="I590" s="48">
        <v>7</v>
      </c>
      <c r="J590" s="48">
        <v>8</v>
      </c>
      <c r="K590" s="48">
        <v>9</v>
      </c>
      <c r="L590" s="49">
        <v>10</v>
      </c>
      <c r="M590" s="47">
        <v>11</v>
      </c>
      <c r="N590" s="48">
        <v>12</v>
      </c>
      <c r="O590" s="48">
        <v>13</v>
      </c>
      <c r="P590" s="48">
        <v>14</v>
      </c>
      <c r="Q590" s="49">
        <v>15</v>
      </c>
      <c r="R590" s="47">
        <v>16</v>
      </c>
      <c r="S590" s="48">
        <v>17</v>
      </c>
      <c r="T590" s="48">
        <v>18</v>
      </c>
      <c r="U590" s="48">
        <v>19</v>
      </c>
      <c r="V590" s="49">
        <v>20</v>
      </c>
      <c r="W590" s="47">
        <v>21</v>
      </c>
      <c r="X590" s="48">
        <v>22</v>
      </c>
      <c r="Y590" s="48">
        <v>23</v>
      </c>
      <c r="Z590" s="48">
        <v>24</v>
      </c>
      <c r="AA590" s="49">
        <v>25</v>
      </c>
      <c r="AB590" s="30" t="s">
        <v>1</v>
      </c>
    </row>
    <row r="591" spans="1:32" ht="14.25" customHeight="1" thickTop="1" x14ac:dyDescent="0.25">
      <c r="A591" s="150">
        <f>ESCUADRAS!B115</f>
        <v>109</v>
      </c>
      <c r="B591" s="153">
        <f>ESCUADRAS!C119</f>
        <v>0</v>
      </c>
      <c r="C591" s="129"/>
      <c r="D591" s="114"/>
      <c r="E591" s="114"/>
      <c r="F591" s="114"/>
      <c r="G591" s="156"/>
      <c r="H591" s="129"/>
      <c r="I591" s="114"/>
      <c r="J591" s="114"/>
      <c r="K591" s="114"/>
      <c r="L591" s="156"/>
      <c r="M591" s="129"/>
      <c r="N591" s="114"/>
      <c r="O591" s="114"/>
      <c r="P591" s="114"/>
      <c r="Q591" s="156"/>
      <c r="R591" s="129"/>
      <c r="S591" s="114"/>
      <c r="T591" s="114"/>
      <c r="U591" s="114"/>
      <c r="V591" s="156"/>
      <c r="W591" s="129"/>
      <c r="X591" s="114"/>
      <c r="Y591" s="114"/>
      <c r="Z591" s="114"/>
      <c r="AA591" s="156"/>
      <c r="AB591" s="159"/>
    </row>
    <row r="592" spans="1:32" ht="14.25" customHeight="1" x14ac:dyDescent="0.25">
      <c r="A592" s="151"/>
      <c r="B592" s="154"/>
      <c r="C592" s="130"/>
      <c r="D592" s="115"/>
      <c r="E592" s="115"/>
      <c r="F592" s="115"/>
      <c r="G592" s="157"/>
      <c r="H592" s="130"/>
      <c r="I592" s="115"/>
      <c r="J592" s="115"/>
      <c r="K592" s="115"/>
      <c r="L592" s="157"/>
      <c r="M592" s="130"/>
      <c r="N592" s="115"/>
      <c r="O592" s="115"/>
      <c r="P592" s="115"/>
      <c r="Q592" s="157"/>
      <c r="R592" s="130"/>
      <c r="S592" s="115"/>
      <c r="T592" s="115"/>
      <c r="U592" s="115"/>
      <c r="V592" s="157"/>
      <c r="W592" s="130"/>
      <c r="X592" s="115"/>
      <c r="Y592" s="115"/>
      <c r="Z592" s="115"/>
      <c r="AA592" s="157"/>
      <c r="AB592" s="160"/>
    </row>
    <row r="593" spans="1:28" ht="13.5" customHeight="1" thickBot="1" x14ac:dyDescent="0.3">
      <c r="A593" s="152"/>
      <c r="B593" s="155"/>
      <c r="C593" s="131"/>
      <c r="D593" s="116"/>
      <c r="E593" s="116"/>
      <c r="F593" s="116"/>
      <c r="G593" s="158"/>
      <c r="H593" s="131"/>
      <c r="I593" s="116"/>
      <c r="J593" s="116"/>
      <c r="K593" s="116"/>
      <c r="L593" s="158"/>
      <c r="M593" s="131"/>
      <c r="N593" s="116"/>
      <c r="O593" s="116"/>
      <c r="P593" s="116"/>
      <c r="Q593" s="158"/>
      <c r="R593" s="131"/>
      <c r="S593" s="116"/>
      <c r="T593" s="116"/>
      <c r="U593" s="116"/>
      <c r="V593" s="158"/>
      <c r="W593" s="131"/>
      <c r="X593" s="116"/>
      <c r="Y593" s="116"/>
      <c r="Z593" s="116"/>
      <c r="AA593" s="158"/>
      <c r="AB593" s="161"/>
    </row>
    <row r="594" spans="1:28" ht="14.25" customHeight="1" thickTop="1" x14ac:dyDescent="0.25">
      <c r="A594" s="162">
        <f>ESCUADRAS!B116</f>
        <v>110</v>
      </c>
      <c r="B594" s="136">
        <f>ESCUADRAS!C120</f>
        <v>0</v>
      </c>
      <c r="C594" s="93"/>
      <c r="D594" s="123"/>
      <c r="E594" s="123"/>
      <c r="F594" s="123"/>
      <c r="G594" s="164"/>
      <c r="H594" s="93"/>
      <c r="I594" s="123"/>
      <c r="J594" s="123"/>
      <c r="K594" s="123"/>
      <c r="L594" s="164"/>
      <c r="M594" s="93"/>
      <c r="N594" s="123"/>
      <c r="O594" s="123"/>
      <c r="P594" s="123"/>
      <c r="Q594" s="164"/>
      <c r="R594" s="93"/>
      <c r="S594" s="123"/>
      <c r="T594" s="123"/>
      <c r="U594" s="123"/>
      <c r="V594" s="164"/>
      <c r="W594" s="129"/>
      <c r="X594" s="114"/>
      <c r="Y594" s="114"/>
      <c r="Z594" s="114"/>
      <c r="AA594" s="156"/>
      <c r="AB594" s="159"/>
    </row>
    <row r="595" spans="1:28" ht="14.25" customHeight="1" x14ac:dyDescent="0.25">
      <c r="A595" s="141"/>
      <c r="B595" s="137"/>
      <c r="C595" s="94"/>
      <c r="D595" s="124"/>
      <c r="E595" s="124"/>
      <c r="F595" s="124"/>
      <c r="G595" s="165"/>
      <c r="H595" s="94"/>
      <c r="I595" s="124"/>
      <c r="J595" s="124"/>
      <c r="K595" s="124"/>
      <c r="L595" s="165"/>
      <c r="M595" s="94"/>
      <c r="N595" s="124"/>
      <c r="O595" s="124"/>
      <c r="P595" s="124"/>
      <c r="Q595" s="165"/>
      <c r="R595" s="94"/>
      <c r="S595" s="124"/>
      <c r="T595" s="124"/>
      <c r="U595" s="124"/>
      <c r="V595" s="165"/>
      <c r="W595" s="130"/>
      <c r="X595" s="115"/>
      <c r="Y595" s="115"/>
      <c r="Z595" s="115"/>
      <c r="AA595" s="157"/>
      <c r="AB595" s="160"/>
    </row>
    <row r="596" spans="1:28" ht="13.5" customHeight="1" thickBot="1" x14ac:dyDescent="0.3">
      <c r="A596" s="163"/>
      <c r="B596" s="138"/>
      <c r="C596" s="95"/>
      <c r="D596" s="125"/>
      <c r="E596" s="125"/>
      <c r="F596" s="125"/>
      <c r="G596" s="166"/>
      <c r="H596" s="95"/>
      <c r="I596" s="125"/>
      <c r="J596" s="125"/>
      <c r="K596" s="125"/>
      <c r="L596" s="166"/>
      <c r="M596" s="95"/>
      <c r="N596" s="125"/>
      <c r="O596" s="125"/>
      <c r="P596" s="125"/>
      <c r="Q596" s="166"/>
      <c r="R596" s="95"/>
      <c r="S596" s="125"/>
      <c r="T596" s="125"/>
      <c r="U596" s="125"/>
      <c r="V596" s="166"/>
      <c r="W596" s="131"/>
      <c r="X596" s="116"/>
      <c r="Y596" s="116"/>
      <c r="Z596" s="116"/>
      <c r="AA596" s="158"/>
      <c r="AB596" s="161"/>
    </row>
    <row r="597" spans="1:28" ht="14.25" customHeight="1" thickTop="1" x14ac:dyDescent="0.25">
      <c r="A597" s="150">
        <f>ESCUADRAS!B117</f>
        <v>111</v>
      </c>
      <c r="B597" s="153">
        <f>ESCUADRAS!C115</f>
        <v>0</v>
      </c>
      <c r="C597" s="93"/>
      <c r="D597" s="123"/>
      <c r="E597" s="123"/>
      <c r="F597" s="123"/>
      <c r="G597" s="164"/>
      <c r="H597" s="93"/>
      <c r="I597" s="123"/>
      <c r="J597" s="123"/>
      <c r="K597" s="123"/>
      <c r="L597" s="164"/>
      <c r="M597" s="93"/>
      <c r="N597" s="123"/>
      <c r="O597" s="123"/>
      <c r="P597" s="123"/>
      <c r="Q597" s="164"/>
      <c r="R597" s="129"/>
      <c r="S597" s="114"/>
      <c r="T597" s="114"/>
      <c r="U597" s="114"/>
      <c r="V597" s="156"/>
      <c r="W597" s="93"/>
      <c r="X597" s="123"/>
      <c r="Y597" s="123"/>
      <c r="Z597" s="123"/>
      <c r="AA597" s="164"/>
      <c r="AB597" s="159"/>
    </row>
    <row r="598" spans="1:28" ht="14.25" customHeight="1" x14ac:dyDescent="0.25">
      <c r="A598" s="151"/>
      <c r="B598" s="154"/>
      <c r="C598" s="94"/>
      <c r="D598" s="124"/>
      <c r="E598" s="124"/>
      <c r="F598" s="124"/>
      <c r="G598" s="165"/>
      <c r="H598" s="94"/>
      <c r="I598" s="124"/>
      <c r="J598" s="124"/>
      <c r="K598" s="124"/>
      <c r="L598" s="165"/>
      <c r="M598" s="94"/>
      <c r="N598" s="124"/>
      <c r="O598" s="124"/>
      <c r="P598" s="124"/>
      <c r="Q598" s="165"/>
      <c r="R598" s="130"/>
      <c r="S598" s="115"/>
      <c r="T598" s="115"/>
      <c r="U598" s="115"/>
      <c r="V598" s="157"/>
      <c r="W598" s="94"/>
      <c r="X598" s="124"/>
      <c r="Y598" s="124"/>
      <c r="Z598" s="124"/>
      <c r="AA598" s="165"/>
      <c r="AB598" s="160"/>
    </row>
    <row r="599" spans="1:28" ht="13.5" customHeight="1" thickBot="1" x14ac:dyDescent="0.3">
      <c r="A599" s="152"/>
      <c r="B599" s="155"/>
      <c r="C599" s="95"/>
      <c r="D599" s="125"/>
      <c r="E599" s="125"/>
      <c r="F599" s="125"/>
      <c r="G599" s="166"/>
      <c r="H599" s="95"/>
      <c r="I599" s="125"/>
      <c r="J599" s="125"/>
      <c r="K599" s="125"/>
      <c r="L599" s="166"/>
      <c r="M599" s="95"/>
      <c r="N599" s="125"/>
      <c r="O599" s="125"/>
      <c r="P599" s="125"/>
      <c r="Q599" s="166"/>
      <c r="R599" s="131"/>
      <c r="S599" s="116"/>
      <c r="T599" s="116"/>
      <c r="U599" s="116"/>
      <c r="V599" s="158"/>
      <c r="W599" s="95"/>
      <c r="X599" s="125"/>
      <c r="Y599" s="125"/>
      <c r="Z599" s="125"/>
      <c r="AA599" s="166"/>
      <c r="AB599" s="161"/>
    </row>
    <row r="600" spans="1:28" ht="13.5" customHeight="1" thickTop="1" x14ac:dyDescent="0.25">
      <c r="A600" s="162">
        <f>ESCUADRAS!B118</f>
        <v>112</v>
      </c>
      <c r="B600" s="136">
        <f>ESCUADRAS!C116</f>
        <v>0</v>
      </c>
      <c r="C600" s="93"/>
      <c r="D600" s="123"/>
      <c r="E600" s="123"/>
      <c r="F600" s="123"/>
      <c r="G600" s="164"/>
      <c r="H600" s="93"/>
      <c r="I600" s="123"/>
      <c r="J600" s="123"/>
      <c r="K600" s="123"/>
      <c r="L600" s="164"/>
      <c r="M600" s="129"/>
      <c r="N600" s="114"/>
      <c r="O600" s="114"/>
      <c r="P600" s="114"/>
      <c r="Q600" s="156"/>
      <c r="R600" s="93"/>
      <c r="S600" s="123"/>
      <c r="T600" s="123"/>
      <c r="U600" s="123"/>
      <c r="V600" s="164"/>
      <c r="W600" s="93"/>
      <c r="X600" s="123"/>
      <c r="Y600" s="123"/>
      <c r="Z600" s="123"/>
      <c r="AA600" s="164"/>
      <c r="AB600" s="159"/>
    </row>
    <row r="601" spans="1:28" ht="14.25" customHeight="1" x14ac:dyDescent="0.25">
      <c r="A601" s="141"/>
      <c r="B601" s="137"/>
      <c r="C601" s="94"/>
      <c r="D601" s="124"/>
      <c r="E601" s="124"/>
      <c r="F601" s="124"/>
      <c r="G601" s="165"/>
      <c r="H601" s="94"/>
      <c r="I601" s="124"/>
      <c r="J601" s="124"/>
      <c r="K601" s="124"/>
      <c r="L601" s="165"/>
      <c r="M601" s="130"/>
      <c r="N601" s="115"/>
      <c r="O601" s="115"/>
      <c r="P601" s="115"/>
      <c r="Q601" s="157"/>
      <c r="R601" s="94"/>
      <c r="S601" s="124"/>
      <c r="T601" s="124"/>
      <c r="U601" s="124"/>
      <c r="V601" s="165"/>
      <c r="W601" s="94"/>
      <c r="X601" s="124"/>
      <c r="Y601" s="124"/>
      <c r="Z601" s="124"/>
      <c r="AA601" s="165"/>
      <c r="AB601" s="160"/>
    </row>
    <row r="602" spans="1:28" ht="13.5" customHeight="1" thickBot="1" x14ac:dyDescent="0.3">
      <c r="A602" s="163"/>
      <c r="B602" s="138"/>
      <c r="C602" s="95"/>
      <c r="D602" s="125"/>
      <c r="E602" s="125"/>
      <c r="F602" s="125"/>
      <c r="G602" s="166"/>
      <c r="H602" s="95"/>
      <c r="I602" s="125"/>
      <c r="J602" s="125"/>
      <c r="K602" s="125"/>
      <c r="L602" s="166"/>
      <c r="M602" s="131"/>
      <c r="N602" s="116"/>
      <c r="O602" s="116"/>
      <c r="P602" s="116"/>
      <c r="Q602" s="158"/>
      <c r="R602" s="95"/>
      <c r="S602" s="125"/>
      <c r="T602" s="125"/>
      <c r="U602" s="125"/>
      <c r="V602" s="166"/>
      <c r="W602" s="95"/>
      <c r="X602" s="125"/>
      <c r="Y602" s="125"/>
      <c r="Z602" s="125"/>
      <c r="AA602" s="166"/>
      <c r="AB602" s="161"/>
    </row>
    <row r="603" spans="1:28" ht="14.25" customHeight="1" thickTop="1" x14ac:dyDescent="0.25">
      <c r="A603" s="150">
        <f>ESCUADRAS!B119</f>
        <v>113</v>
      </c>
      <c r="B603" s="153">
        <f>ESCUADRAS!C117</f>
        <v>0</v>
      </c>
      <c r="C603" s="93"/>
      <c r="D603" s="123"/>
      <c r="E603" s="123"/>
      <c r="F603" s="123"/>
      <c r="G603" s="164"/>
      <c r="H603" s="129"/>
      <c r="I603" s="114"/>
      <c r="J603" s="114"/>
      <c r="K603" s="114"/>
      <c r="L603" s="156"/>
      <c r="M603" s="93"/>
      <c r="N603" s="123"/>
      <c r="O603" s="123"/>
      <c r="P603" s="123"/>
      <c r="Q603" s="164"/>
      <c r="R603" s="93"/>
      <c r="S603" s="123"/>
      <c r="T603" s="123"/>
      <c r="U603" s="123"/>
      <c r="V603" s="164"/>
      <c r="W603" s="93"/>
      <c r="X603" s="123"/>
      <c r="Y603" s="123"/>
      <c r="Z603" s="123"/>
      <c r="AA603" s="164"/>
      <c r="AB603" s="159"/>
    </row>
    <row r="604" spans="1:28" ht="14.25" customHeight="1" x14ac:dyDescent="0.25">
      <c r="A604" s="151"/>
      <c r="B604" s="154"/>
      <c r="C604" s="94"/>
      <c r="D604" s="124"/>
      <c r="E604" s="124"/>
      <c r="F604" s="124"/>
      <c r="G604" s="165"/>
      <c r="H604" s="130"/>
      <c r="I604" s="115"/>
      <c r="J604" s="115"/>
      <c r="K604" s="115"/>
      <c r="L604" s="157"/>
      <c r="M604" s="94"/>
      <c r="N604" s="124"/>
      <c r="O604" s="124"/>
      <c r="P604" s="124"/>
      <c r="Q604" s="165"/>
      <c r="R604" s="94"/>
      <c r="S604" s="124"/>
      <c r="T604" s="124"/>
      <c r="U604" s="124"/>
      <c r="V604" s="165"/>
      <c r="W604" s="94"/>
      <c r="X604" s="124"/>
      <c r="Y604" s="124"/>
      <c r="Z604" s="124"/>
      <c r="AA604" s="165"/>
      <c r="AB604" s="160"/>
    </row>
    <row r="605" spans="1:28" ht="13.5" customHeight="1" thickBot="1" x14ac:dyDescent="0.3">
      <c r="A605" s="152"/>
      <c r="B605" s="155"/>
      <c r="C605" s="95"/>
      <c r="D605" s="125"/>
      <c r="E605" s="125"/>
      <c r="F605" s="125"/>
      <c r="G605" s="166"/>
      <c r="H605" s="131"/>
      <c r="I605" s="116"/>
      <c r="J605" s="116"/>
      <c r="K605" s="116"/>
      <c r="L605" s="158"/>
      <c r="M605" s="95"/>
      <c r="N605" s="125"/>
      <c r="O605" s="125"/>
      <c r="P605" s="125"/>
      <c r="Q605" s="166"/>
      <c r="R605" s="95"/>
      <c r="S605" s="125"/>
      <c r="T605" s="125"/>
      <c r="U605" s="125"/>
      <c r="V605" s="166"/>
      <c r="W605" s="95"/>
      <c r="X605" s="125"/>
      <c r="Y605" s="125"/>
      <c r="Z605" s="125"/>
      <c r="AA605" s="166"/>
      <c r="AB605" s="161"/>
    </row>
    <row r="606" spans="1:28" ht="13.5" customHeight="1" thickTop="1" x14ac:dyDescent="0.25">
      <c r="A606" s="162">
        <f>ESCUADRAS!B120</f>
        <v>114</v>
      </c>
      <c r="B606" s="136">
        <f>ESCUADRAS!C118</f>
        <v>0</v>
      </c>
      <c r="C606" s="129"/>
      <c r="D606" s="114"/>
      <c r="E606" s="114"/>
      <c r="F606" s="114"/>
      <c r="G606" s="156"/>
      <c r="H606" s="93"/>
      <c r="I606" s="123"/>
      <c r="J606" s="123"/>
      <c r="K606" s="123"/>
      <c r="L606" s="164"/>
      <c r="M606" s="93"/>
      <c r="N606" s="123"/>
      <c r="O606" s="123"/>
      <c r="P606" s="123"/>
      <c r="Q606" s="164"/>
      <c r="R606" s="93"/>
      <c r="S606" s="123"/>
      <c r="T606" s="123"/>
      <c r="U606" s="123"/>
      <c r="V606" s="164"/>
      <c r="W606" s="93"/>
      <c r="X606" s="123"/>
      <c r="Y606" s="123"/>
      <c r="Z606" s="123"/>
      <c r="AA606" s="164"/>
      <c r="AB606" s="159"/>
    </row>
    <row r="607" spans="1:28" ht="14.25" customHeight="1" x14ac:dyDescent="0.25">
      <c r="A607" s="141"/>
      <c r="B607" s="137"/>
      <c r="C607" s="130"/>
      <c r="D607" s="115"/>
      <c r="E607" s="115"/>
      <c r="F607" s="115"/>
      <c r="G607" s="157"/>
      <c r="H607" s="94"/>
      <c r="I607" s="124"/>
      <c r="J607" s="124"/>
      <c r="K607" s="124"/>
      <c r="L607" s="165"/>
      <c r="M607" s="94"/>
      <c r="N607" s="124"/>
      <c r="O607" s="124"/>
      <c r="P607" s="124"/>
      <c r="Q607" s="165"/>
      <c r="R607" s="94"/>
      <c r="S607" s="124"/>
      <c r="T607" s="124"/>
      <c r="U607" s="124"/>
      <c r="V607" s="165"/>
      <c r="W607" s="94"/>
      <c r="X607" s="124"/>
      <c r="Y607" s="124"/>
      <c r="Z607" s="124"/>
      <c r="AA607" s="165"/>
      <c r="AB607" s="160"/>
    </row>
    <row r="608" spans="1:28" ht="13.5" customHeight="1" thickBot="1" x14ac:dyDescent="0.3">
      <c r="A608" s="142"/>
      <c r="B608" s="138"/>
      <c r="C608" s="131"/>
      <c r="D608" s="116"/>
      <c r="E608" s="116"/>
      <c r="F608" s="116"/>
      <c r="G608" s="158"/>
      <c r="H608" s="95"/>
      <c r="I608" s="125"/>
      <c r="J608" s="125"/>
      <c r="K608" s="125"/>
      <c r="L608" s="166"/>
      <c r="M608" s="95"/>
      <c r="N608" s="125"/>
      <c r="O608" s="125"/>
      <c r="P608" s="125"/>
      <c r="Q608" s="166"/>
      <c r="R608" s="95"/>
      <c r="S608" s="125"/>
      <c r="T608" s="125"/>
      <c r="U608" s="125"/>
      <c r="V608" s="166"/>
      <c r="W608" s="95"/>
      <c r="X608" s="125"/>
      <c r="Y608" s="125"/>
      <c r="Z608" s="125"/>
      <c r="AA608" s="166"/>
      <c r="AB608" s="161"/>
    </row>
    <row r="610" spans="1:32" ht="15" x14ac:dyDescent="0.25">
      <c r="A610" s="28"/>
      <c r="B610" s="26" t="s">
        <v>35</v>
      </c>
      <c r="E610" s="21" t="s">
        <v>41</v>
      </c>
      <c r="I610" s="21" t="s">
        <v>42</v>
      </c>
      <c r="M610" s="21" t="s">
        <v>43</v>
      </c>
      <c r="Q610" s="21" t="s">
        <v>44</v>
      </c>
      <c r="U610" s="21" t="s">
        <v>45</v>
      </c>
      <c r="Y610" s="21" t="s">
        <v>46</v>
      </c>
    </row>
    <row r="616" spans="1:32" ht="27" customHeight="1" x14ac:dyDescent="0.25">
      <c r="A616" s="144" t="str">
        <f>'INSCRIPCION '!A$1</f>
        <v>TIRADA</v>
      </c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</row>
    <row r="617" spans="1:32" ht="24.6" customHeight="1" x14ac:dyDescent="0.4">
      <c r="A617" s="23"/>
      <c r="B617" s="23"/>
    </row>
    <row r="618" spans="1:32" ht="22.8" x14ac:dyDescent="0.25">
      <c r="A618" s="132" t="str">
        <f>'INSCRIPCION '!A$2</f>
        <v>CAMPO DE TIRO LA ISLA</v>
      </c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</row>
    <row r="619" spans="1:32" ht="20.399999999999999" x14ac:dyDescent="0.25">
      <c r="A619" s="143" t="str">
        <f>'INSCRIPCION '!A$3</f>
        <v>XXX PLATOS</v>
      </c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</row>
    <row r="620" spans="1:32" ht="22.8" x14ac:dyDescent="0.25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</row>
    <row r="621" spans="1:32" ht="22.8" x14ac:dyDescent="0.4">
      <c r="A621" s="24"/>
      <c r="B621" s="24"/>
    </row>
    <row r="622" spans="1:32" ht="17.399999999999999" x14ac:dyDescent="0.3">
      <c r="A622" s="25" t="s">
        <v>29</v>
      </c>
      <c r="B622" s="25"/>
      <c r="J622" s="9" t="s">
        <v>6</v>
      </c>
      <c r="K622" s="9"/>
      <c r="L622" s="9"/>
      <c r="M622" s="9"/>
      <c r="N622" s="9"/>
      <c r="O622" s="22">
        <v>2</v>
      </c>
      <c r="P622" s="22"/>
      <c r="Q622" s="8"/>
      <c r="R622" s="8"/>
      <c r="S622" s="7"/>
      <c r="T622" s="8"/>
      <c r="U622" s="8"/>
      <c r="V622" s="9" t="s">
        <v>7</v>
      </c>
      <c r="W622" s="9"/>
      <c r="X622" s="9"/>
      <c r="Y622" s="9"/>
      <c r="Z622" s="22">
        <v>3</v>
      </c>
      <c r="AA622" s="22"/>
    </row>
    <row r="623" spans="1:32" ht="13.8" thickBot="1" x14ac:dyDescent="0.3"/>
    <row r="624" spans="1:32" ht="15.6" thickBot="1" x14ac:dyDescent="0.3">
      <c r="A624" s="27" t="s">
        <v>0</v>
      </c>
      <c r="B624" s="27" t="s">
        <v>8</v>
      </c>
      <c r="C624" s="47">
        <v>1</v>
      </c>
      <c r="D624" s="48">
        <v>2</v>
      </c>
      <c r="E624" s="48">
        <v>3</v>
      </c>
      <c r="F624" s="48">
        <v>4</v>
      </c>
      <c r="G624" s="49">
        <v>5</v>
      </c>
      <c r="H624" s="47">
        <v>6</v>
      </c>
      <c r="I624" s="48">
        <v>7</v>
      </c>
      <c r="J624" s="48">
        <v>8</v>
      </c>
      <c r="K624" s="48">
        <v>9</v>
      </c>
      <c r="L624" s="49">
        <v>10</v>
      </c>
      <c r="M624" s="47">
        <v>11</v>
      </c>
      <c r="N624" s="48">
        <v>12</v>
      </c>
      <c r="O624" s="48">
        <v>13</v>
      </c>
      <c r="P624" s="48">
        <v>14</v>
      </c>
      <c r="Q624" s="49">
        <v>15</v>
      </c>
      <c r="R624" s="47">
        <v>16</v>
      </c>
      <c r="S624" s="48">
        <v>17</v>
      </c>
      <c r="T624" s="48">
        <v>18</v>
      </c>
      <c r="U624" s="48">
        <v>19</v>
      </c>
      <c r="V624" s="49">
        <v>20</v>
      </c>
      <c r="W624" s="47">
        <v>21</v>
      </c>
      <c r="X624" s="48">
        <v>22</v>
      </c>
      <c r="Y624" s="48">
        <v>23</v>
      </c>
      <c r="Z624" s="48">
        <v>24</v>
      </c>
      <c r="AA624" s="49">
        <v>25</v>
      </c>
      <c r="AB624" s="30" t="s">
        <v>1</v>
      </c>
    </row>
    <row r="625" spans="1:28" ht="12.75" customHeight="1" thickTop="1" x14ac:dyDescent="0.25">
      <c r="A625" s="150">
        <f>ESCUADRAS!B121</f>
        <v>115</v>
      </c>
      <c r="B625" s="153">
        <f>ESCUADRAS!C125</f>
        <v>0</v>
      </c>
      <c r="C625" s="129"/>
      <c r="D625" s="114"/>
      <c r="E625" s="114"/>
      <c r="F625" s="114"/>
      <c r="G625" s="156"/>
      <c r="H625" s="129"/>
      <c r="I625" s="114"/>
      <c r="J625" s="114"/>
      <c r="K625" s="114"/>
      <c r="L625" s="156"/>
      <c r="M625" s="129"/>
      <c r="N625" s="114"/>
      <c r="O625" s="114"/>
      <c r="P625" s="114"/>
      <c r="Q625" s="156"/>
      <c r="R625" s="129"/>
      <c r="S625" s="114"/>
      <c r="T625" s="114"/>
      <c r="U625" s="114"/>
      <c r="V625" s="156"/>
      <c r="W625" s="129"/>
      <c r="X625" s="114"/>
      <c r="Y625" s="114"/>
      <c r="Z625" s="114"/>
      <c r="AA625" s="156"/>
      <c r="AB625" s="159"/>
    </row>
    <row r="626" spans="1:28" ht="14.25" customHeight="1" x14ac:dyDescent="0.25">
      <c r="A626" s="151"/>
      <c r="B626" s="154"/>
      <c r="C626" s="130"/>
      <c r="D626" s="115"/>
      <c r="E626" s="115"/>
      <c r="F626" s="115"/>
      <c r="G626" s="157"/>
      <c r="H626" s="130"/>
      <c r="I626" s="115"/>
      <c r="J626" s="115"/>
      <c r="K626" s="115"/>
      <c r="L626" s="157"/>
      <c r="M626" s="130"/>
      <c r="N626" s="115"/>
      <c r="O626" s="115"/>
      <c r="P626" s="115"/>
      <c r="Q626" s="157"/>
      <c r="R626" s="130"/>
      <c r="S626" s="115"/>
      <c r="T626" s="115"/>
      <c r="U626" s="115"/>
      <c r="V626" s="157"/>
      <c r="W626" s="130"/>
      <c r="X626" s="115"/>
      <c r="Y626" s="115"/>
      <c r="Z626" s="115"/>
      <c r="AA626" s="157"/>
      <c r="AB626" s="160"/>
    </row>
    <row r="627" spans="1:28" ht="13.5" customHeight="1" thickBot="1" x14ac:dyDescent="0.3">
      <c r="A627" s="152"/>
      <c r="B627" s="155"/>
      <c r="C627" s="131"/>
      <c r="D627" s="116"/>
      <c r="E627" s="116"/>
      <c r="F627" s="116"/>
      <c r="G627" s="158"/>
      <c r="H627" s="131"/>
      <c r="I627" s="116"/>
      <c r="J627" s="116"/>
      <c r="K627" s="116"/>
      <c r="L627" s="158"/>
      <c r="M627" s="131"/>
      <c r="N627" s="116"/>
      <c r="O627" s="116"/>
      <c r="P627" s="116"/>
      <c r="Q627" s="158"/>
      <c r="R627" s="131"/>
      <c r="S627" s="116"/>
      <c r="T627" s="116"/>
      <c r="U627" s="116"/>
      <c r="V627" s="158"/>
      <c r="W627" s="131"/>
      <c r="X627" s="116"/>
      <c r="Y627" s="116"/>
      <c r="Z627" s="116"/>
      <c r="AA627" s="158"/>
      <c r="AB627" s="161"/>
    </row>
    <row r="628" spans="1:28" ht="14.25" customHeight="1" thickTop="1" x14ac:dyDescent="0.25">
      <c r="A628" s="162">
        <f>ESCUADRAS!B122</f>
        <v>116</v>
      </c>
      <c r="B628" s="136">
        <f>ESCUADRAS!C126</f>
        <v>0</v>
      </c>
      <c r="C628" s="93"/>
      <c r="D628" s="123"/>
      <c r="E628" s="123"/>
      <c r="F628" s="123"/>
      <c r="G628" s="164"/>
      <c r="H628" s="93"/>
      <c r="I628" s="123"/>
      <c r="J628" s="123"/>
      <c r="K628" s="123"/>
      <c r="L628" s="164"/>
      <c r="M628" s="93"/>
      <c r="N628" s="123"/>
      <c r="O628" s="123"/>
      <c r="P628" s="123"/>
      <c r="Q628" s="164"/>
      <c r="R628" s="93"/>
      <c r="S628" s="123"/>
      <c r="T628" s="123"/>
      <c r="U628" s="123"/>
      <c r="V628" s="164"/>
      <c r="W628" s="129"/>
      <c r="X628" s="114"/>
      <c r="Y628" s="114"/>
      <c r="Z628" s="114"/>
      <c r="AA628" s="156"/>
      <c r="AB628" s="159"/>
    </row>
    <row r="629" spans="1:28" ht="14.25" customHeight="1" x14ac:dyDescent="0.25">
      <c r="A629" s="141"/>
      <c r="B629" s="137"/>
      <c r="C629" s="94"/>
      <c r="D629" s="124"/>
      <c r="E629" s="124"/>
      <c r="F629" s="124"/>
      <c r="G629" s="165"/>
      <c r="H629" s="94"/>
      <c r="I629" s="124"/>
      <c r="J629" s="124"/>
      <c r="K629" s="124"/>
      <c r="L629" s="165"/>
      <c r="M629" s="94"/>
      <c r="N629" s="124"/>
      <c r="O629" s="124"/>
      <c r="P629" s="124"/>
      <c r="Q629" s="165"/>
      <c r="R629" s="94"/>
      <c r="S629" s="124"/>
      <c r="T629" s="124"/>
      <c r="U629" s="124"/>
      <c r="V629" s="165"/>
      <c r="W629" s="130"/>
      <c r="X629" s="115"/>
      <c r="Y629" s="115"/>
      <c r="Z629" s="115"/>
      <c r="AA629" s="157"/>
      <c r="AB629" s="160"/>
    </row>
    <row r="630" spans="1:28" ht="13.5" customHeight="1" thickBot="1" x14ac:dyDescent="0.3">
      <c r="A630" s="163"/>
      <c r="B630" s="138"/>
      <c r="C630" s="95"/>
      <c r="D630" s="125"/>
      <c r="E630" s="125"/>
      <c r="F630" s="125"/>
      <c r="G630" s="166"/>
      <c r="H630" s="95"/>
      <c r="I630" s="125"/>
      <c r="J630" s="125"/>
      <c r="K630" s="125"/>
      <c r="L630" s="166"/>
      <c r="M630" s="95"/>
      <c r="N630" s="125"/>
      <c r="O630" s="125"/>
      <c r="P630" s="125"/>
      <c r="Q630" s="166"/>
      <c r="R630" s="95"/>
      <c r="S630" s="125"/>
      <c r="T630" s="125"/>
      <c r="U630" s="125"/>
      <c r="V630" s="166"/>
      <c r="W630" s="131"/>
      <c r="X630" s="116"/>
      <c r="Y630" s="116"/>
      <c r="Z630" s="116"/>
      <c r="AA630" s="158"/>
      <c r="AB630" s="161"/>
    </row>
    <row r="631" spans="1:28" ht="14.25" customHeight="1" thickTop="1" x14ac:dyDescent="0.25">
      <c r="A631" s="150">
        <f>ESCUADRAS!B123</f>
        <v>117</v>
      </c>
      <c r="B631" s="153">
        <f>ESCUADRAS!C121</f>
        <v>0</v>
      </c>
      <c r="C631" s="93"/>
      <c r="D631" s="123"/>
      <c r="E631" s="123"/>
      <c r="F631" s="123"/>
      <c r="G631" s="164"/>
      <c r="H631" s="93"/>
      <c r="I631" s="123"/>
      <c r="J631" s="123"/>
      <c r="K631" s="123"/>
      <c r="L631" s="164"/>
      <c r="M631" s="93"/>
      <c r="N631" s="123"/>
      <c r="O631" s="123"/>
      <c r="P631" s="123"/>
      <c r="Q631" s="164"/>
      <c r="R631" s="129"/>
      <c r="S631" s="114"/>
      <c r="T631" s="114"/>
      <c r="U631" s="114"/>
      <c r="V631" s="156"/>
      <c r="W631" s="93"/>
      <c r="X631" s="123"/>
      <c r="Y631" s="123"/>
      <c r="Z631" s="123"/>
      <c r="AA631" s="164"/>
      <c r="AB631" s="159"/>
    </row>
    <row r="632" spans="1:28" ht="14.25" customHeight="1" x14ac:dyDescent="0.25">
      <c r="A632" s="151"/>
      <c r="B632" s="154"/>
      <c r="C632" s="94"/>
      <c r="D632" s="124"/>
      <c r="E632" s="124"/>
      <c r="F632" s="124"/>
      <c r="G632" s="165"/>
      <c r="H632" s="94"/>
      <c r="I632" s="124"/>
      <c r="J632" s="124"/>
      <c r="K632" s="124"/>
      <c r="L632" s="165"/>
      <c r="M632" s="94"/>
      <c r="N632" s="124"/>
      <c r="O632" s="124"/>
      <c r="P632" s="124"/>
      <c r="Q632" s="165"/>
      <c r="R632" s="130"/>
      <c r="S632" s="115"/>
      <c r="T632" s="115"/>
      <c r="U632" s="115"/>
      <c r="V632" s="157"/>
      <c r="W632" s="94"/>
      <c r="X632" s="124"/>
      <c r="Y632" s="124"/>
      <c r="Z632" s="124"/>
      <c r="AA632" s="165"/>
      <c r="AB632" s="160"/>
    </row>
    <row r="633" spans="1:28" ht="13.5" customHeight="1" thickBot="1" x14ac:dyDescent="0.3">
      <c r="A633" s="152"/>
      <c r="B633" s="155"/>
      <c r="C633" s="95"/>
      <c r="D633" s="125"/>
      <c r="E633" s="125"/>
      <c r="F633" s="125"/>
      <c r="G633" s="166"/>
      <c r="H633" s="95"/>
      <c r="I633" s="125"/>
      <c r="J633" s="125"/>
      <c r="K633" s="125"/>
      <c r="L633" s="166"/>
      <c r="M633" s="95"/>
      <c r="N633" s="125"/>
      <c r="O633" s="125"/>
      <c r="P633" s="125"/>
      <c r="Q633" s="166"/>
      <c r="R633" s="131"/>
      <c r="S633" s="116"/>
      <c r="T633" s="116"/>
      <c r="U633" s="116"/>
      <c r="V633" s="158"/>
      <c r="W633" s="95"/>
      <c r="X633" s="125"/>
      <c r="Y633" s="125"/>
      <c r="Z633" s="125"/>
      <c r="AA633" s="166"/>
      <c r="AB633" s="161"/>
    </row>
    <row r="634" spans="1:28" ht="13.5" customHeight="1" thickTop="1" x14ac:dyDescent="0.25">
      <c r="A634" s="162">
        <f>ESCUADRAS!B124</f>
        <v>118</v>
      </c>
      <c r="B634" s="136">
        <f>ESCUADRAS!C122</f>
        <v>0</v>
      </c>
      <c r="C634" s="93"/>
      <c r="D634" s="123"/>
      <c r="E634" s="123"/>
      <c r="F634" s="123"/>
      <c r="G634" s="164"/>
      <c r="H634" s="93"/>
      <c r="I634" s="123"/>
      <c r="J634" s="123"/>
      <c r="K634" s="123"/>
      <c r="L634" s="164"/>
      <c r="M634" s="129"/>
      <c r="N634" s="114"/>
      <c r="O634" s="114"/>
      <c r="P634" s="114"/>
      <c r="Q634" s="156"/>
      <c r="R634" s="93"/>
      <c r="S634" s="123"/>
      <c r="T634" s="123"/>
      <c r="U634" s="123"/>
      <c r="V634" s="164"/>
      <c r="W634" s="93"/>
      <c r="X634" s="123"/>
      <c r="Y634" s="123"/>
      <c r="Z634" s="123"/>
      <c r="AA634" s="164"/>
      <c r="AB634" s="159"/>
    </row>
    <row r="635" spans="1:28" ht="14.25" customHeight="1" x14ac:dyDescent="0.25">
      <c r="A635" s="141"/>
      <c r="B635" s="137"/>
      <c r="C635" s="94"/>
      <c r="D635" s="124"/>
      <c r="E635" s="124"/>
      <c r="F635" s="124"/>
      <c r="G635" s="165"/>
      <c r="H635" s="94"/>
      <c r="I635" s="124"/>
      <c r="J635" s="124"/>
      <c r="K635" s="124"/>
      <c r="L635" s="165"/>
      <c r="M635" s="130"/>
      <c r="N635" s="115"/>
      <c r="O635" s="115"/>
      <c r="P635" s="115"/>
      <c r="Q635" s="157"/>
      <c r="R635" s="94"/>
      <c r="S635" s="124"/>
      <c r="T635" s="124"/>
      <c r="U635" s="124"/>
      <c r="V635" s="165"/>
      <c r="W635" s="94"/>
      <c r="X635" s="124"/>
      <c r="Y635" s="124"/>
      <c r="Z635" s="124"/>
      <c r="AA635" s="165"/>
      <c r="AB635" s="160"/>
    </row>
    <row r="636" spans="1:28" ht="13.5" customHeight="1" thickBot="1" x14ac:dyDescent="0.3">
      <c r="A636" s="163"/>
      <c r="B636" s="138"/>
      <c r="C636" s="95"/>
      <c r="D636" s="125"/>
      <c r="E636" s="125"/>
      <c r="F636" s="125"/>
      <c r="G636" s="166"/>
      <c r="H636" s="95"/>
      <c r="I636" s="125"/>
      <c r="J636" s="125"/>
      <c r="K636" s="125"/>
      <c r="L636" s="166"/>
      <c r="M636" s="131"/>
      <c r="N636" s="116"/>
      <c r="O636" s="116"/>
      <c r="P636" s="116"/>
      <c r="Q636" s="158"/>
      <c r="R636" s="95"/>
      <c r="S636" s="125"/>
      <c r="T636" s="125"/>
      <c r="U636" s="125"/>
      <c r="V636" s="166"/>
      <c r="W636" s="95"/>
      <c r="X636" s="125"/>
      <c r="Y636" s="125"/>
      <c r="Z636" s="125"/>
      <c r="AA636" s="166"/>
      <c r="AB636" s="161"/>
    </row>
    <row r="637" spans="1:28" ht="13.5" customHeight="1" thickTop="1" x14ac:dyDescent="0.25">
      <c r="A637" s="150">
        <f>ESCUADRAS!B125</f>
        <v>119</v>
      </c>
      <c r="B637" s="153">
        <f>ESCUADRAS!C123</f>
        <v>0</v>
      </c>
      <c r="C637" s="93"/>
      <c r="D637" s="123"/>
      <c r="E637" s="123"/>
      <c r="F637" s="123"/>
      <c r="G637" s="164"/>
      <c r="H637" s="129"/>
      <c r="I637" s="114"/>
      <c r="J637" s="114"/>
      <c r="K637" s="114"/>
      <c r="L637" s="156"/>
      <c r="M637" s="93"/>
      <c r="N637" s="123"/>
      <c r="O637" s="123"/>
      <c r="P637" s="123"/>
      <c r="Q637" s="164"/>
      <c r="R637" s="93"/>
      <c r="S637" s="123"/>
      <c r="T637" s="123"/>
      <c r="U637" s="123"/>
      <c r="V637" s="164"/>
      <c r="W637" s="93"/>
      <c r="X637" s="123"/>
      <c r="Y637" s="123"/>
      <c r="Z637" s="123"/>
      <c r="AA637" s="164"/>
      <c r="AB637" s="159"/>
    </row>
    <row r="638" spans="1:28" ht="14.25" customHeight="1" x14ac:dyDescent="0.25">
      <c r="A638" s="151"/>
      <c r="B638" s="154"/>
      <c r="C638" s="94"/>
      <c r="D638" s="124"/>
      <c r="E638" s="124"/>
      <c r="F638" s="124"/>
      <c r="G638" s="165"/>
      <c r="H638" s="130"/>
      <c r="I638" s="115"/>
      <c r="J638" s="115"/>
      <c r="K638" s="115"/>
      <c r="L638" s="157"/>
      <c r="M638" s="94"/>
      <c r="N638" s="124"/>
      <c r="O638" s="124"/>
      <c r="P638" s="124"/>
      <c r="Q638" s="165"/>
      <c r="R638" s="94"/>
      <c r="S638" s="124"/>
      <c r="T638" s="124"/>
      <c r="U638" s="124"/>
      <c r="V638" s="165"/>
      <c r="W638" s="94"/>
      <c r="X638" s="124"/>
      <c r="Y638" s="124"/>
      <c r="Z638" s="124"/>
      <c r="AA638" s="165"/>
      <c r="AB638" s="160"/>
    </row>
    <row r="639" spans="1:28" ht="13.5" customHeight="1" thickBot="1" x14ac:dyDescent="0.3">
      <c r="A639" s="152"/>
      <c r="B639" s="155"/>
      <c r="C639" s="95"/>
      <c r="D639" s="125"/>
      <c r="E639" s="125"/>
      <c r="F639" s="125"/>
      <c r="G639" s="166"/>
      <c r="H639" s="131"/>
      <c r="I639" s="116"/>
      <c r="J639" s="116"/>
      <c r="K639" s="116"/>
      <c r="L639" s="158"/>
      <c r="M639" s="95"/>
      <c r="N639" s="125"/>
      <c r="O639" s="125"/>
      <c r="P639" s="125"/>
      <c r="Q639" s="166"/>
      <c r="R639" s="95"/>
      <c r="S639" s="125"/>
      <c r="T639" s="125"/>
      <c r="U639" s="125"/>
      <c r="V639" s="166"/>
      <c r="W639" s="95"/>
      <c r="X639" s="125"/>
      <c r="Y639" s="125"/>
      <c r="Z639" s="125"/>
      <c r="AA639" s="166"/>
      <c r="AB639" s="161"/>
    </row>
    <row r="640" spans="1:28" ht="12.75" customHeight="1" thickTop="1" x14ac:dyDescent="0.25">
      <c r="A640" s="162">
        <f>ESCUADRAS!B126</f>
        <v>120</v>
      </c>
      <c r="B640" s="136">
        <f>ESCUADRAS!C124</f>
        <v>0</v>
      </c>
      <c r="C640" s="129"/>
      <c r="D640" s="114"/>
      <c r="E640" s="114"/>
      <c r="F640" s="114"/>
      <c r="G640" s="156"/>
      <c r="H640" s="93"/>
      <c r="I640" s="123"/>
      <c r="J640" s="123"/>
      <c r="K640" s="123"/>
      <c r="L640" s="164"/>
      <c r="M640" s="93"/>
      <c r="N640" s="123"/>
      <c r="O640" s="123"/>
      <c r="P640" s="123"/>
      <c r="Q640" s="164"/>
      <c r="R640" s="93"/>
      <c r="S640" s="123"/>
      <c r="T640" s="123"/>
      <c r="U640" s="123"/>
      <c r="V640" s="164"/>
      <c r="W640" s="93"/>
      <c r="X640" s="123"/>
      <c r="Y640" s="123"/>
      <c r="Z640" s="123"/>
      <c r="AA640" s="164"/>
      <c r="AB640" s="159"/>
    </row>
    <row r="641" spans="1:32" ht="14.25" customHeight="1" x14ac:dyDescent="0.25">
      <c r="A641" s="141"/>
      <c r="B641" s="137"/>
      <c r="C641" s="130"/>
      <c r="D641" s="115"/>
      <c r="E641" s="115"/>
      <c r="F641" s="115"/>
      <c r="G641" s="157"/>
      <c r="H641" s="94"/>
      <c r="I641" s="124"/>
      <c r="J641" s="124"/>
      <c r="K641" s="124"/>
      <c r="L641" s="165"/>
      <c r="M641" s="94"/>
      <c r="N641" s="124"/>
      <c r="O641" s="124"/>
      <c r="P641" s="124"/>
      <c r="Q641" s="165"/>
      <c r="R641" s="94"/>
      <c r="S641" s="124"/>
      <c r="T641" s="124"/>
      <c r="U641" s="124"/>
      <c r="V641" s="165"/>
      <c r="W641" s="94"/>
      <c r="X641" s="124"/>
      <c r="Y641" s="124"/>
      <c r="Z641" s="124"/>
      <c r="AA641" s="165"/>
      <c r="AB641" s="160"/>
    </row>
    <row r="642" spans="1:32" ht="13.5" customHeight="1" thickBot="1" x14ac:dyDescent="0.3">
      <c r="A642" s="142"/>
      <c r="B642" s="138"/>
      <c r="C642" s="131"/>
      <c r="D642" s="116"/>
      <c r="E642" s="116"/>
      <c r="F642" s="116"/>
      <c r="G642" s="158"/>
      <c r="H642" s="95"/>
      <c r="I642" s="125"/>
      <c r="J642" s="125"/>
      <c r="K642" s="125"/>
      <c r="L642" s="166"/>
      <c r="M642" s="95"/>
      <c r="N642" s="125"/>
      <c r="O642" s="125"/>
      <c r="P642" s="125"/>
      <c r="Q642" s="166"/>
      <c r="R642" s="95"/>
      <c r="S642" s="125"/>
      <c r="T642" s="125"/>
      <c r="U642" s="125"/>
      <c r="V642" s="166"/>
      <c r="W642" s="95"/>
      <c r="X642" s="125"/>
      <c r="Y642" s="125"/>
      <c r="Z642" s="125"/>
      <c r="AA642" s="166"/>
      <c r="AB642" s="161"/>
    </row>
    <row r="644" spans="1:32" ht="15" x14ac:dyDescent="0.25">
      <c r="A644" s="28"/>
      <c r="B644" s="26" t="s">
        <v>35</v>
      </c>
      <c r="E644" s="21" t="s">
        <v>41</v>
      </c>
      <c r="I644" s="21" t="s">
        <v>42</v>
      </c>
      <c r="M644" s="21" t="s">
        <v>43</v>
      </c>
      <c r="Q644" s="21" t="s">
        <v>44</v>
      </c>
      <c r="U644" s="21" t="s">
        <v>45</v>
      </c>
      <c r="Y644" s="21" t="s">
        <v>46</v>
      </c>
    </row>
    <row r="651" spans="1:32" ht="24.6" x14ac:dyDescent="0.25">
      <c r="A651" s="144" t="str">
        <f>'INSCRIPCION '!A$1</f>
        <v>TIRADA</v>
      </c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</row>
    <row r="652" spans="1:32" ht="24.6" x14ac:dyDescent="0.4">
      <c r="A652" s="23"/>
      <c r="B652" s="23"/>
    </row>
    <row r="653" spans="1:32" ht="22.8" x14ac:dyDescent="0.25">
      <c r="A653" s="132" t="str">
        <f>'INSCRIPCION '!A$2</f>
        <v>CAMPO DE TIRO LA ISLA</v>
      </c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</row>
    <row r="654" spans="1:32" ht="20.399999999999999" x14ac:dyDescent="0.25">
      <c r="A654" s="143" t="str">
        <f>'INSCRIPCION '!A$3</f>
        <v>XXX PLATOS</v>
      </c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</row>
    <row r="655" spans="1:32" ht="22.8" x14ac:dyDescent="0.4">
      <c r="A655" s="24"/>
      <c r="B655" s="24"/>
    </row>
    <row r="656" spans="1:32" ht="17.399999999999999" x14ac:dyDescent="0.3">
      <c r="A656" s="25" t="s">
        <v>30</v>
      </c>
      <c r="B656" s="25"/>
      <c r="J656" s="9" t="s">
        <v>6</v>
      </c>
      <c r="K656" s="9"/>
      <c r="L656" s="9"/>
      <c r="M656" s="9"/>
      <c r="N656" s="9"/>
      <c r="O656" s="22">
        <v>3</v>
      </c>
      <c r="P656" s="22"/>
      <c r="Q656" s="8"/>
      <c r="R656" s="8"/>
      <c r="S656" s="7"/>
      <c r="T656" s="8"/>
      <c r="U656" s="8"/>
      <c r="V656" s="9" t="s">
        <v>7</v>
      </c>
      <c r="W656" s="9"/>
      <c r="X656" s="9"/>
      <c r="Y656" s="9"/>
      <c r="Z656" s="22">
        <v>3</v>
      </c>
      <c r="AA656" s="22"/>
    </row>
    <row r="657" spans="1:28" ht="13.8" thickBot="1" x14ac:dyDescent="0.3"/>
    <row r="658" spans="1:28" ht="15.6" thickBot="1" x14ac:dyDescent="0.3">
      <c r="A658" s="27" t="s">
        <v>0</v>
      </c>
      <c r="B658" s="27" t="s">
        <v>8</v>
      </c>
      <c r="C658" s="47">
        <v>1</v>
      </c>
      <c r="D658" s="48">
        <v>2</v>
      </c>
      <c r="E658" s="48">
        <v>3</v>
      </c>
      <c r="F658" s="48">
        <v>4</v>
      </c>
      <c r="G658" s="49">
        <v>5</v>
      </c>
      <c r="H658" s="47">
        <v>6</v>
      </c>
      <c r="I658" s="48">
        <v>7</v>
      </c>
      <c r="J658" s="48">
        <v>8</v>
      </c>
      <c r="K658" s="48">
        <v>9</v>
      </c>
      <c r="L658" s="49">
        <v>10</v>
      </c>
      <c r="M658" s="47">
        <v>11</v>
      </c>
      <c r="N658" s="48">
        <v>12</v>
      </c>
      <c r="O658" s="48">
        <v>13</v>
      </c>
      <c r="P658" s="48">
        <v>14</v>
      </c>
      <c r="Q658" s="49">
        <v>15</v>
      </c>
      <c r="R658" s="47">
        <v>16</v>
      </c>
      <c r="S658" s="48">
        <v>17</v>
      </c>
      <c r="T658" s="48">
        <v>18</v>
      </c>
      <c r="U658" s="48">
        <v>19</v>
      </c>
      <c r="V658" s="49">
        <v>20</v>
      </c>
      <c r="W658" s="47">
        <v>21</v>
      </c>
      <c r="X658" s="48">
        <v>22</v>
      </c>
      <c r="Y658" s="48">
        <v>23</v>
      </c>
      <c r="Z658" s="48">
        <v>24</v>
      </c>
      <c r="AA658" s="49">
        <v>25</v>
      </c>
      <c r="AB658" s="30" t="s">
        <v>1</v>
      </c>
    </row>
    <row r="659" spans="1:28" ht="14.25" customHeight="1" thickTop="1" x14ac:dyDescent="0.25">
      <c r="A659" s="150">
        <f>ESCUADRAS!B127</f>
        <v>121</v>
      </c>
      <c r="B659" s="153">
        <f>ESCUADRAS!C131</f>
        <v>0</v>
      </c>
      <c r="C659" s="129"/>
      <c r="D659" s="114"/>
      <c r="E659" s="114"/>
      <c r="F659" s="114"/>
      <c r="G659" s="156"/>
      <c r="H659" s="129"/>
      <c r="I659" s="114"/>
      <c r="J659" s="114"/>
      <c r="K659" s="114"/>
      <c r="L659" s="156"/>
      <c r="M659" s="129"/>
      <c r="N659" s="114"/>
      <c r="O659" s="114"/>
      <c r="P659" s="114"/>
      <c r="Q659" s="156"/>
      <c r="R659" s="129"/>
      <c r="S659" s="114"/>
      <c r="T659" s="114"/>
      <c r="U659" s="114"/>
      <c r="V659" s="156"/>
      <c r="W659" s="129"/>
      <c r="X659" s="114"/>
      <c r="Y659" s="114"/>
      <c r="Z659" s="114"/>
      <c r="AA659" s="156"/>
      <c r="AB659" s="159"/>
    </row>
    <row r="660" spans="1:28" ht="14.25" customHeight="1" x14ac:dyDescent="0.25">
      <c r="A660" s="151"/>
      <c r="B660" s="154"/>
      <c r="C660" s="130"/>
      <c r="D660" s="115"/>
      <c r="E660" s="115"/>
      <c r="F660" s="115"/>
      <c r="G660" s="157"/>
      <c r="H660" s="130"/>
      <c r="I660" s="115"/>
      <c r="J660" s="115"/>
      <c r="K660" s="115"/>
      <c r="L660" s="157"/>
      <c r="M660" s="130"/>
      <c r="N660" s="115"/>
      <c r="O660" s="115"/>
      <c r="P660" s="115"/>
      <c r="Q660" s="157"/>
      <c r="R660" s="130"/>
      <c r="S660" s="115"/>
      <c r="T660" s="115"/>
      <c r="U660" s="115"/>
      <c r="V660" s="157"/>
      <c r="W660" s="130"/>
      <c r="X660" s="115"/>
      <c r="Y660" s="115"/>
      <c r="Z660" s="115"/>
      <c r="AA660" s="157"/>
      <c r="AB660" s="160"/>
    </row>
    <row r="661" spans="1:28" ht="13.5" customHeight="1" thickBot="1" x14ac:dyDescent="0.3">
      <c r="A661" s="152"/>
      <c r="B661" s="155"/>
      <c r="C661" s="131"/>
      <c r="D661" s="116"/>
      <c r="E661" s="116"/>
      <c r="F661" s="116"/>
      <c r="G661" s="158"/>
      <c r="H661" s="131"/>
      <c r="I661" s="116"/>
      <c r="J661" s="116"/>
      <c r="K661" s="116"/>
      <c r="L661" s="158"/>
      <c r="M661" s="131"/>
      <c r="N661" s="116"/>
      <c r="O661" s="116"/>
      <c r="P661" s="116"/>
      <c r="Q661" s="158"/>
      <c r="R661" s="131"/>
      <c r="S661" s="116"/>
      <c r="T661" s="116"/>
      <c r="U661" s="116"/>
      <c r="V661" s="158"/>
      <c r="W661" s="131"/>
      <c r="X661" s="116"/>
      <c r="Y661" s="116"/>
      <c r="Z661" s="116"/>
      <c r="AA661" s="158"/>
      <c r="AB661" s="161"/>
    </row>
    <row r="662" spans="1:28" ht="14.25" customHeight="1" thickTop="1" x14ac:dyDescent="0.25">
      <c r="A662" s="162">
        <f>ESCUADRAS!B128</f>
        <v>122</v>
      </c>
      <c r="B662" s="136">
        <f>ESCUADRAS!C132</f>
        <v>0</v>
      </c>
      <c r="C662" s="93"/>
      <c r="D662" s="123"/>
      <c r="E662" s="123"/>
      <c r="F662" s="123"/>
      <c r="G662" s="164"/>
      <c r="H662" s="93"/>
      <c r="I662" s="123"/>
      <c r="J662" s="123"/>
      <c r="K662" s="123"/>
      <c r="L662" s="164"/>
      <c r="M662" s="93"/>
      <c r="N662" s="123"/>
      <c r="O662" s="123"/>
      <c r="P662" s="123"/>
      <c r="Q662" s="164"/>
      <c r="R662" s="93"/>
      <c r="S662" s="123"/>
      <c r="T662" s="123"/>
      <c r="U662" s="123"/>
      <c r="V662" s="164"/>
      <c r="W662" s="129"/>
      <c r="X662" s="114"/>
      <c r="Y662" s="114"/>
      <c r="Z662" s="114"/>
      <c r="AA662" s="156"/>
      <c r="AB662" s="159"/>
    </row>
    <row r="663" spans="1:28" ht="14.25" customHeight="1" x14ac:dyDescent="0.25">
      <c r="A663" s="141"/>
      <c r="B663" s="137"/>
      <c r="C663" s="94"/>
      <c r="D663" s="124"/>
      <c r="E663" s="124"/>
      <c r="F663" s="124"/>
      <c r="G663" s="165"/>
      <c r="H663" s="94"/>
      <c r="I663" s="124"/>
      <c r="J663" s="124"/>
      <c r="K663" s="124"/>
      <c r="L663" s="165"/>
      <c r="M663" s="94"/>
      <c r="N663" s="124"/>
      <c r="O663" s="124"/>
      <c r="P663" s="124"/>
      <c r="Q663" s="165"/>
      <c r="R663" s="94"/>
      <c r="S663" s="124"/>
      <c r="T663" s="124"/>
      <c r="U663" s="124"/>
      <c r="V663" s="165"/>
      <c r="W663" s="130"/>
      <c r="X663" s="115"/>
      <c r="Y663" s="115"/>
      <c r="Z663" s="115"/>
      <c r="AA663" s="157"/>
      <c r="AB663" s="160"/>
    </row>
    <row r="664" spans="1:28" ht="13.5" customHeight="1" thickBot="1" x14ac:dyDescent="0.3">
      <c r="A664" s="163"/>
      <c r="B664" s="138"/>
      <c r="C664" s="95"/>
      <c r="D664" s="125"/>
      <c r="E664" s="125"/>
      <c r="F664" s="125"/>
      <c r="G664" s="166"/>
      <c r="H664" s="95"/>
      <c r="I664" s="125"/>
      <c r="J664" s="125"/>
      <c r="K664" s="125"/>
      <c r="L664" s="166"/>
      <c r="M664" s="95"/>
      <c r="N664" s="125"/>
      <c r="O664" s="125"/>
      <c r="P664" s="125"/>
      <c r="Q664" s="166"/>
      <c r="R664" s="95"/>
      <c r="S664" s="125"/>
      <c r="T664" s="125"/>
      <c r="U664" s="125"/>
      <c r="V664" s="166"/>
      <c r="W664" s="131"/>
      <c r="X664" s="116"/>
      <c r="Y664" s="116"/>
      <c r="Z664" s="116"/>
      <c r="AA664" s="158"/>
      <c r="AB664" s="161"/>
    </row>
    <row r="665" spans="1:28" ht="14.25" customHeight="1" thickTop="1" x14ac:dyDescent="0.25">
      <c r="A665" s="150">
        <f>ESCUADRAS!B129</f>
        <v>123</v>
      </c>
      <c r="B665" s="153">
        <f>ESCUADRAS!C127</f>
        <v>0</v>
      </c>
      <c r="C665" s="93"/>
      <c r="D665" s="123"/>
      <c r="E665" s="123"/>
      <c r="F665" s="123"/>
      <c r="G665" s="164"/>
      <c r="H665" s="93"/>
      <c r="I665" s="123"/>
      <c r="J665" s="123"/>
      <c r="K665" s="123"/>
      <c r="L665" s="164"/>
      <c r="M665" s="93"/>
      <c r="N665" s="123"/>
      <c r="O665" s="123"/>
      <c r="P665" s="123"/>
      <c r="Q665" s="164"/>
      <c r="R665" s="129"/>
      <c r="S665" s="114"/>
      <c r="T665" s="114"/>
      <c r="U665" s="114"/>
      <c r="V665" s="156"/>
      <c r="W665" s="93"/>
      <c r="X665" s="123"/>
      <c r="Y665" s="123"/>
      <c r="Z665" s="123"/>
      <c r="AA665" s="164"/>
      <c r="AB665" s="159"/>
    </row>
    <row r="666" spans="1:28" ht="14.25" customHeight="1" x14ac:dyDescent="0.25">
      <c r="A666" s="151"/>
      <c r="B666" s="154"/>
      <c r="C666" s="94"/>
      <c r="D666" s="124"/>
      <c r="E666" s="124"/>
      <c r="F666" s="124"/>
      <c r="G666" s="165"/>
      <c r="H666" s="94"/>
      <c r="I666" s="124"/>
      <c r="J666" s="124"/>
      <c r="K666" s="124"/>
      <c r="L666" s="165"/>
      <c r="M666" s="94"/>
      <c r="N666" s="124"/>
      <c r="O666" s="124"/>
      <c r="P666" s="124"/>
      <c r="Q666" s="165"/>
      <c r="R666" s="130"/>
      <c r="S666" s="115"/>
      <c r="T666" s="115"/>
      <c r="U666" s="115"/>
      <c r="V666" s="157"/>
      <c r="W666" s="94"/>
      <c r="X666" s="124"/>
      <c r="Y666" s="124"/>
      <c r="Z666" s="124"/>
      <c r="AA666" s="165"/>
      <c r="AB666" s="160"/>
    </row>
    <row r="667" spans="1:28" ht="13.5" customHeight="1" thickBot="1" x14ac:dyDescent="0.3">
      <c r="A667" s="152"/>
      <c r="B667" s="155"/>
      <c r="C667" s="95"/>
      <c r="D667" s="125"/>
      <c r="E667" s="125"/>
      <c r="F667" s="125"/>
      <c r="G667" s="166"/>
      <c r="H667" s="95"/>
      <c r="I667" s="125"/>
      <c r="J667" s="125"/>
      <c r="K667" s="125"/>
      <c r="L667" s="166"/>
      <c r="M667" s="95"/>
      <c r="N667" s="125"/>
      <c r="O667" s="125"/>
      <c r="P667" s="125"/>
      <c r="Q667" s="166"/>
      <c r="R667" s="131"/>
      <c r="S667" s="116"/>
      <c r="T667" s="116"/>
      <c r="U667" s="116"/>
      <c r="V667" s="158"/>
      <c r="W667" s="95"/>
      <c r="X667" s="125"/>
      <c r="Y667" s="125"/>
      <c r="Z667" s="125"/>
      <c r="AA667" s="166"/>
      <c r="AB667" s="161"/>
    </row>
    <row r="668" spans="1:28" ht="13.5" customHeight="1" thickTop="1" x14ac:dyDescent="0.25">
      <c r="A668" s="162">
        <f>ESCUADRAS!B130</f>
        <v>124</v>
      </c>
      <c r="B668" s="136">
        <f>ESCUADRAS!C128</f>
        <v>0</v>
      </c>
      <c r="C668" s="93"/>
      <c r="D668" s="123"/>
      <c r="E668" s="123"/>
      <c r="F668" s="123"/>
      <c r="G668" s="164"/>
      <c r="H668" s="93"/>
      <c r="I668" s="123"/>
      <c r="J668" s="123"/>
      <c r="K668" s="123"/>
      <c r="L668" s="164"/>
      <c r="M668" s="129"/>
      <c r="N668" s="114"/>
      <c r="O668" s="114"/>
      <c r="P668" s="114"/>
      <c r="Q668" s="156"/>
      <c r="R668" s="93"/>
      <c r="S668" s="123"/>
      <c r="T668" s="123"/>
      <c r="U668" s="123"/>
      <c r="V668" s="164"/>
      <c r="W668" s="93"/>
      <c r="X668" s="123"/>
      <c r="Y668" s="123"/>
      <c r="Z668" s="123"/>
      <c r="AA668" s="164"/>
      <c r="AB668" s="159"/>
    </row>
    <row r="669" spans="1:28" ht="14.25" customHeight="1" x14ac:dyDescent="0.25">
      <c r="A669" s="141"/>
      <c r="B669" s="137"/>
      <c r="C669" s="94"/>
      <c r="D669" s="124"/>
      <c r="E669" s="124"/>
      <c r="F669" s="124"/>
      <c r="G669" s="165"/>
      <c r="H669" s="94"/>
      <c r="I669" s="124"/>
      <c r="J669" s="124"/>
      <c r="K669" s="124"/>
      <c r="L669" s="165"/>
      <c r="M669" s="130"/>
      <c r="N669" s="115"/>
      <c r="O669" s="115"/>
      <c r="P669" s="115"/>
      <c r="Q669" s="157"/>
      <c r="R669" s="94"/>
      <c r="S669" s="124"/>
      <c r="T669" s="124"/>
      <c r="U669" s="124"/>
      <c r="V669" s="165"/>
      <c r="W669" s="94"/>
      <c r="X669" s="124"/>
      <c r="Y669" s="124"/>
      <c r="Z669" s="124"/>
      <c r="AA669" s="165"/>
      <c r="AB669" s="160"/>
    </row>
    <row r="670" spans="1:28" ht="13.5" customHeight="1" thickBot="1" x14ac:dyDescent="0.3">
      <c r="A670" s="163"/>
      <c r="B670" s="138"/>
      <c r="C670" s="95"/>
      <c r="D670" s="125"/>
      <c r="E670" s="125"/>
      <c r="F670" s="125"/>
      <c r="G670" s="166"/>
      <c r="H670" s="95"/>
      <c r="I670" s="125"/>
      <c r="J670" s="125"/>
      <c r="K670" s="125"/>
      <c r="L670" s="166"/>
      <c r="M670" s="131"/>
      <c r="N670" s="116"/>
      <c r="O670" s="116"/>
      <c r="P670" s="116"/>
      <c r="Q670" s="158"/>
      <c r="R670" s="95"/>
      <c r="S670" s="125"/>
      <c r="T670" s="125"/>
      <c r="U670" s="125"/>
      <c r="V670" s="166"/>
      <c r="W670" s="95"/>
      <c r="X670" s="125"/>
      <c r="Y670" s="125"/>
      <c r="Z670" s="125"/>
      <c r="AA670" s="166"/>
      <c r="AB670" s="161"/>
    </row>
    <row r="671" spans="1:28" ht="14.25" customHeight="1" thickTop="1" x14ac:dyDescent="0.25">
      <c r="A671" s="150">
        <f>ESCUADRAS!B131</f>
        <v>125</v>
      </c>
      <c r="B671" s="153">
        <f>ESCUADRAS!C129</f>
        <v>0</v>
      </c>
      <c r="C671" s="93"/>
      <c r="D671" s="123"/>
      <c r="E671" s="123"/>
      <c r="F671" s="123"/>
      <c r="G671" s="164"/>
      <c r="H671" s="129"/>
      <c r="I671" s="114"/>
      <c r="J671" s="114"/>
      <c r="K671" s="114"/>
      <c r="L671" s="156"/>
      <c r="M671" s="93"/>
      <c r="N671" s="123"/>
      <c r="O671" s="123"/>
      <c r="P671" s="123"/>
      <c r="Q671" s="164"/>
      <c r="R671" s="93"/>
      <c r="S671" s="123"/>
      <c r="T671" s="123"/>
      <c r="U671" s="123"/>
      <c r="V671" s="164"/>
      <c r="W671" s="93"/>
      <c r="X671" s="123"/>
      <c r="Y671" s="123"/>
      <c r="Z671" s="123"/>
      <c r="AA671" s="164"/>
      <c r="AB671" s="159"/>
    </row>
    <row r="672" spans="1:28" ht="14.25" customHeight="1" x14ac:dyDescent="0.25">
      <c r="A672" s="151"/>
      <c r="B672" s="154"/>
      <c r="C672" s="94"/>
      <c r="D672" s="124"/>
      <c r="E672" s="124"/>
      <c r="F672" s="124"/>
      <c r="G672" s="165"/>
      <c r="H672" s="130"/>
      <c r="I672" s="115"/>
      <c r="J672" s="115"/>
      <c r="K672" s="115"/>
      <c r="L672" s="157"/>
      <c r="M672" s="94"/>
      <c r="N672" s="124"/>
      <c r="O672" s="124"/>
      <c r="P672" s="124"/>
      <c r="Q672" s="165"/>
      <c r="R672" s="94"/>
      <c r="S672" s="124"/>
      <c r="T672" s="124"/>
      <c r="U672" s="124"/>
      <c r="V672" s="165"/>
      <c r="W672" s="94"/>
      <c r="X672" s="124"/>
      <c r="Y672" s="124"/>
      <c r="Z672" s="124"/>
      <c r="AA672" s="165"/>
      <c r="AB672" s="160"/>
    </row>
    <row r="673" spans="1:32" ht="13.5" customHeight="1" thickBot="1" x14ac:dyDescent="0.3">
      <c r="A673" s="152"/>
      <c r="B673" s="155"/>
      <c r="C673" s="95"/>
      <c r="D673" s="125"/>
      <c r="E673" s="125"/>
      <c r="F673" s="125"/>
      <c r="G673" s="166"/>
      <c r="H673" s="131"/>
      <c r="I673" s="116"/>
      <c r="J673" s="116"/>
      <c r="K673" s="116"/>
      <c r="L673" s="158"/>
      <c r="M673" s="95"/>
      <c r="N673" s="125"/>
      <c r="O673" s="125"/>
      <c r="P673" s="125"/>
      <c r="Q673" s="166"/>
      <c r="R673" s="95"/>
      <c r="S673" s="125"/>
      <c r="T673" s="125"/>
      <c r="U673" s="125"/>
      <c r="V673" s="166"/>
      <c r="W673" s="95"/>
      <c r="X673" s="125"/>
      <c r="Y673" s="125"/>
      <c r="Z673" s="125"/>
      <c r="AA673" s="166"/>
      <c r="AB673" s="161"/>
    </row>
    <row r="674" spans="1:32" ht="13.5" customHeight="1" thickTop="1" x14ac:dyDescent="0.25">
      <c r="A674" s="162">
        <f>ESCUADRAS!B132</f>
        <v>126</v>
      </c>
      <c r="B674" s="136">
        <f>ESCUADRAS!C130</f>
        <v>0</v>
      </c>
      <c r="C674" s="129"/>
      <c r="D674" s="114"/>
      <c r="E674" s="114"/>
      <c r="F674" s="114"/>
      <c r="G674" s="156"/>
      <c r="H674" s="93"/>
      <c r="I674" s="123"/>
      <c r="J674" s="123"/>
      <c r="K674" s="123"/>
      <c r="L674" s="164"/>
      <c r="M674" s="93"/>
      <c r="N674" s="123"/>
      <c r="O674" s="123"/>
      <c r="P674" s="123"/>
      <c r="Q674" s="164"/>
      <c r="R674" s="93"/>
      <c r="S674" s="123"/>
      <c r="T674" s="123"/>
      <c r="U674" s="123"/>
      <c r="V674" s="164"/>
      <c r="W674" s="93"/>
      <c r="X674" s="123"/>
      <c r="Y674" s="123"/>
      <c r="Z674" s="123"/>
      <c r="AA674" s="164"/>
      <c r="AB674" s="159"/>
    </row>
    <row r="675" spans="1:32" ht="14.25" customHeight="1" x14ac:dyDescent="0.25">
      <c r="A675" s="141"/>
      <c r="B675" s="137"/>
      <c r="C675" s="130"/>
      <c r="D675" s="115"/>
      <c r="E675" s="115"/>
      <c r="F675" s="115"/>
      <c r="G675" s="157"/>
      <c r="H675" s="94"/>
      <c r="I675" s="124"/>
      <c r="J675" s="124"/>
      <c r="K675" s="124"/>
      <c r="L675" s="165"/>
      <c r="M675" s="94"/>
      <c r="N675" s="124"/>
      <c r="O675" s="124"/>
      <c r="P675" s="124"/>
      <c r="Q675" s="165"/>
      <c r="R675" s="94"/>
      <c r="S675" s="124"/>
      <c r="T675" s="124"/>
      <c r="U675" s="124"/>
      <c r="V675" s="165"/>
      <c r="W675" s="94"/>
      <c r="X675" s="124"/>
      <c r="Y675" s="124"/>
      <c r="Z675" s="124"/>
      <c r="AA675" s="165"/>
      <c r="AB675" s="160"/>
    </row>
    <row r="676" spans="1:32" ht="13.5" customHeight="1" thickBot="1" x14ac:dyDescent="0.3">
      <c r="A676" s="142"/>
      <c r="B676" s="138"/>
      <c r="C676" s="131"/>
      <c r="D676" s="116"/>
      <c r="E676" s="116"/>
      <c r="F676" s="116"/>
      <c r="G676" s="158"/>
      <c r="H676" s="95"/>
      <c r="I676" s="125"/>
      <c r="J676" s="125"/>
      <c r="K676" s="125"/>
      <c r="L676" s="166"/>
      <c r="M676" s="95"/>
      <c r="N676" s="125"/>
      <c r="O676" s="125"/>
      <c r="P676" s="125"/>
      <c r="Q676" s="166"/>
      <c r="R676" s="95"/>
      <c r="S676" s="125"/>
      <c r="T676" s="125"/>
      <c r="U676" s="125"/>
      <c r="V676" s="166"/>
      <c r="W676" s="95"/>
      <c r="X676" s="125"/>
      <c r="Y676" s="125"/>
      <c r="Z676" s="125"/>
      <c r="AA676" s="166"/>
      <c r="AB676" s="161"/>
    </row>
    <row r="678" spans="1:32" ht="15" x14ac:dyDescent="0.25">
      <c r="A678" s="28"/>
      <c r="B678" s="26" t="s">
        <v>35</v>
      </c>
      <c r="E678" s="21" t="s">
        <v>41</v>
      </c>
      <c r="I678" s="21" t="s">
        <v>42</v>
      </c>
      <c r="M678" s="21" t="s">
        <v>43</v>
      </c>
      <c r="Q678" s="21" t="s">
        <v>44</v>
      </c>
      <c r="U678" s="21" t="s">
        <v>45</v>
      </c>
      <c r="Y678" s="21" t="s">
        <v>46</v>
      </c>
    </row>
    <row r="685" spans="1:32" ht="24.6" x14ac:dyDescent="0.25">
      <c r="A685" s="144" t="str">
        <f>'INSCRIPCION '!A$1</f>
        <v>TIRADA</v>
      </c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</row>
    <row r="686" spans="1:32" ht="24.6" x14ac:dyDescent="0.4">
      <c r="A686" s="23"/>
      <c r="B686" s="23"/>
    </row>
    <row r="687" spans="1:32" ht="22.8" x14ac:dyDescent="0.25">
      <c r="A687" s="132" t="str">
        <f>'INSCRIPCION '!A$2</f>
        <v>CAMPO DE TIRO LA ISLA</v>
      </c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</row>
    <row r="688" spans="1:32" ht="20.399999999999999" x14ac:dyDescent="0.25">
      <c r="A688" s="143" t="str">
        <f>'INSCRIPCION '!A$3</f>
        <v>XXX PLATOS</v>
      </c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</row>
    <row r="689" spans="1:28" ht="22.8" x14ac:dyDescent="0.4">
      <c r="A689" s="24"/>
      <c r="B689" s="24"/>
    </row>
    <row r="690" spans="1:28" ht="17.399999999999999" x14ac:dyDescent="0.3">
      <c r="A690" s="25" t="s">
        <v>31</v>
      </c>
      <c r="B690" s="25"/>
      <c r="J690" s="9" t="s">
        <v>6</v>
      </c>
      <c r="K690" s="9"/>
      <c r="L690" s="9"/>
      <c r="M690" s="9"/>
      <c r="N690" s="9"/>
      <c r="O690" s="22">
        <v>4</v>
      </c>
      <c r="P690" s="22"/>
      <c r="Q690" s="8"/>
      <c r="R690" s="8"/>
      <c r="S690" s="7"/>
      <c r="T690" s="8"/>
      <c r="U690" s="8"/>
      <c r="V690" s="9" t="s">
        <v>7</v>
      </c>
      <c r="W690" s="9"/>
      <c r="X690" s="9"/>
      <c r="Y690" s="9"/>
      <c r="Z690" s="22">
        <v>3</v>
      </c>
      <c r="AA690" s="22"/>
    </row>
    <row r="691" spans="1:28" ht="13.8" thickBot="1" x14ac:dyDescent="0.3"/>
    <row r="692" spans="1:28" ht="15.6" thickBot="1" x14ac:dyDescent="0.3">
      <c r="A692" s="27" t="s">
        <v>0</v>
      </c>
      <c r="B692" s="27" t="s">
        <v>8</v>
      </c>
      <c r="C692" s="47">
        <v>1</v>
      </c>
      <c r="D692" s="48">
        <v>2</v>
      </c>
      <c r="E692" s="48">
        <v>3</v>
      </c>
      <c r="F692" s="48">
        <v>4</v>
      </c>
      <c r="G692" s="49">
        <v>5</v>
      </c>
      <c r="H692" s="47">
        <v>6</v>
      </c>
      <c r="I692" s="48">
        <v>7</v>
      </c>
      <c r="J692" s="48">
        <v>8</v>
      </c>
      <c r="K692" s="48">
        <v>9</v>
      </c>
      <c r="L692" s="49">
        <v>10</v>
      </c>
      <c r="M692" s="47">
        <v>11</v>
      </c>
      <c r="N692" s="48">
        <v>12</v>
      </c>
      <c r="O692" s="48">
        <v>13</v>
      </c>
      <c r="P692" s="48">
        <v>14</v>
      </c>
      <c r="Q692" s="49">
        <v>15</v>
      </c>
      <c r="R692" s="47">
        <v>16</v>
      </c>
      <c r="S692" s="48">
        <v>17</v>
      </c>
      <c r="T692" s="48">
        <v>18</v>
      </c>
      <c r="U692" s="48">
        <v>19</v>
      </c>
      <c r="V692" s="49">
        <v>20</v>
      </c>
      <c r="W692" s="47">
        <v>21</v>
      </c>
      <c r="X692" s="48">
        <v>22</v>
      </c>
      <c r="Y692" s="48">
        <v>23</v>
      </c>
      <c r="Z692" s="48">
        <v>24</v>
      </c>
      <c r="AA692" s="49">
        <v>25</v>
      </c>
      <c r="AB692" s="30" t="s">
        <v>1</v>
      </c>
    </row>
    <row r="693" spans="1:28" ht="12.75" customHeight="1" thickTop="1" x14ac:dyDescent="0.25">
      <c r="A693" s="150">
        <f>ESCUADRAS!B133</f>
        <v>127</v>
      </c>
      <c r="B693" s="153">
        <f>ESCUADRAS!C137</f>
        <v>0</v>
      </c>
      <c r="C693" s="129"/>
      <c r="D693" s="114"/>
      <c r="E693" s="114"/>
      <c r="F693" s="114"/>
      <c r="G693" s="156"/>
      <c r="H693" s="129"/>
      <c r="I693" s="114"/>
      <c r="J693" s="114"/>
      <c r="K693" s="114"/>
      <c r="L693" s="156"/>
      <c r="M693" s="129"/>
      <c r="N693" s="114"/>
      <c r="O693" s="114"/>
      <c r="P693" s="114"/>
      <c r="Q693" s="156"/>
      <c r="R693" s="129"/>
      <c r="S693" s="114"/>
      <c r="T693" s="114"/>
      <c r="U693" s="114"/>
      <c r="V693" s="156"/>
      <c r="W693" s="129"/>
      <c r="X693" s="114"/>
      <c r="Y693" s="114"/>
      <c r="Z693" s="114"/>
      <c r="AA693" s="156"/>
      <c r="AB693" s="159"/>
    </row>
    <row r="694" spans="1:28" ht="14.25" customHeight="1" x14ac:dyDescent="0.25">
      <c r="A694" s="151"/>
      <c r="B694" s="154"/>
      <c r="C694" s="130"/>
      <c r="D694" s="115"/>
      <c r="E694" s="115"/>
      <c r="F694" s="115"/>
      <c r="G694" s="157"/>
      <c r="H694" s="130"/>
      <c r="I694" s="115"/>
      <c r="J694" s="115"/>
      <c r="K694" s="115"/>
      <c r="L694" s="157"/>
      <c r="M694" s="130"/>
      <c r="N694" s="115"/>
      <c r="O694" s="115"/>
      <c r="P694" s="115"/>
      <c r="Q694" s="157"/>
      <c r="R694" s="130"/>
      <c r="S694" s="115"/>
      <c r="T694" s="115"/>
      <c r="U694" s="115"/>
      <c r="V694" s="157"/>
      <c r="W694" s="130"/>
      <c r="X694" s="115"/>
      <c r="Y694" s="115"/>
      <c r="Z694" s="115"/>
      <c r="AA694" s="157"/>
      <c r="AB694" s="160"/>
    </row>
    <row r="695" spans="1:28" ht="13.5" customHeight="1" thickBot="1" x14ac:dyDescent="0.3">
      <c r="A695" s="152"/>
      <c r="B695" s="155"/>
      <c r="C695" s="131"/>
      <c r="D695" s="116"/>
      <c r="E695" s="116"/>
      <c r="F695" s="116"/>
      <c r="G695" s="158"/>
      <c r="H695" s="131"/>
      <c r="I695" s="116"/>
      <c r="J695" s="116"/>
      <c r="K695" s="116"/>
      <c r="L695" s="158"/>
      <c r="M695" s="131"/>
      <c r="N695" s="116"/>
      <c r="O695" s="116"/>
      <c r="P695" s="116"/>
      <c r="Q695" s="158"/>
      <c r="R695" s="131"/>
      <c r="S695" s="116"/>
      <c r="T695" s="116"/>
      <c r="U695" s="116"/>
      <c r="V695" s="158"/>
      <c r="W695" s="131"/>
      <c r="X695" s="116"/>
      <c r="Y695" s="116"/>
      <c r="Z695" s="116"/>
      <c r="AA695" s="158"/>
      <c r="AB695" s="161"/>
    </row>
    <row r="696" spans="1:28" ht="14.25" customHeight="1" thickTop="1" x14ac:dyDescent="0.25">
      <c r="A696" s="162">
        <f>ESCUADRAS!B134</f>
        <v>128</v>
      </c>
      <c r="B696" s="136">
        <f>ESCUADRAS!C138</f>
        <v>0</v>
      </c>
      <c r="C696" s="93"/>
      <c r="D696" s="123"/>
      <c r="E696" s="123"/>
      <c r="F696" s="123"/>
      <c r="G696" s="164"/>
      <c r="H696" s="93"/>
      <c r="I696" s="123"/>
      <c r="J696" s="123"/>
      <c r="K696" s="123"/>
      <c r="L696" s="164"/>
      <c r="M696" s="93"/>
      <c r="N696" s="123"/>
      <c r="O696" s="123"/>
      <c r="P696" s="123"/>
      <c r="Q696" s="164"/>
      <c r="R696" s="93"/>
      <c r="S696" s="123"/>
      <c r="T696" s="123"/>
      <c r="U696" s="123"/>
      <c r="V696" s="164"/>
      <c r="W696" s="129"/>
      <c r="X696" s="114"/>
      <c r="Y696" s="114"/>
      <c r="Z696" s="114"/>
      <c r="AA696" s="156"/>
      <c r="AB696" s="159"/>
    </row>
    <row r="697" spans="1:28" ht="14.25" customHeight="1" x14ac:dyDescent="0.25">
      <c r="A697" s="141"/>
      <c r="B697" s="137"/>
      <c r="C697" s="94"/>
      <c r="D697" s="124"/>
      <c r="E697" s="124"/>
      <c r="F697" s="124"/>
      <c r="G697" s="165"/>
      <c r="H697" s="94"/>
      <c r="I697" s="124"/>
      <c r="J697" s="124"/>
      <c r="K697" s="124"/>
      <c r="L697" s="165"/>
      <c r="M697" s="94"/>
      <c r="N697" s="124"/>
      <c r="O697" s="124"/>
      <c r="P697" s="124"/>
      <c r="Q697" s="165"/>
      <c r="R697" s="94"/>
      <c r="S697" s="124"/>
      <c r="T697" s="124"/>
      <c r="U697" s="124"/>
      <c r="V697" s="165"/>
      <c r="W697" s="130"/>
      <c r="X697" s="115"/>
      <c r="Y697" s="115"/>
      <c r="Z697" s="115"/>
      <c r="AA697" s="157"/>
      <c r="AB697" s="160"/>
    </row>
    <row r="698" spans="1:28" ht="13.5" customHeight="1" thickBot="1" x14ac:dyDescent="0.3">
      <c r="A698" s="163"/>
      <c r="B698" s="138"/>
      <c r="C698" s="95"/>
      <c r="D698" s="125"/>
      <c r="E698" s="125"/>
      <c r="F698" s="125"/>
      <c r="G698" s="166"/>
      <c r="H698" s="95"/>
      <c r="I698" s="125"/>
      <c r="J698" s="125"/>
      <c r="K698" s="125"/>
      <c r="L698" s="166"/>
      <c r="M698" s="95"/>
      <c r="N698" s="125"/>
      <c r="O698" s="125"/>
      <c r="P698" s="125"/>
      <c r="Q698" s="166"/>
      <c r="R698" s="95"/>
      <c r="S698" s="125"/>
      <c r="T698" s="125"/>
      <c r="U698" s="125"/>
      <c r="V698" s="166"/>
      <c r="W698" s="131"/>
      <c r="X698" s="116"/>
      <c r="Y698" s="116"/>
      <c r="Z698" s="116"/>
      <c r="AA698" s="158"/>
      <c r="AB698" s="161"/>
    </row>
    <row r="699" spans="1:28" ht="14.25" customHeight="1" thickTop="1" x14ac:dyDescent="0.25">
      <c r="A699" s="150">
        <f>ESCUADRAS!B135</f>
        <v>129</v>
      </c>
      <c r="B699" s="153">
        <f>ESCUADRAS!C133</f>
        <v>0</v>
      </c>
      <c r="C699" s="93"/>
      <c r="D699" s="123"/>
      <c r="E699" s="123"/>
      <c r="F699" s="123"/>
      <c r="G699" s="164"/>
      <c r="H699" s="93"/>
      <c r="I699" s="123"/>
      <c r="J699" s="123"/>
      <c r="K699" s="123"/>
      <c r="L699" s="164"/>
      <c r="M699" s="93"/>
      <c r="N699" s="123"/>
      <c r="O699" s="123"/>
      <c r="P699" s="123"/>
      <c r="Q699" s="164"/>
      <c r="R699" s="129"/>
      <c r="S699" s="114"/>
      <c r="T699" s="114"/>
      <c r="U699" s="114"/>
      <c r="V699" s="156"/>
      <c r="W699" s="93"/>
      <c r="X699" s="123"/>
      <c r="Y699" s="123"/>
      <c r="Z699" s="123"/>
      <c r="AA699" s="164"/>
      <c r="AB699" s="159"/>
    </row>
    <row r="700" spans="1:28" ht="14.25" customHeight="1" x14ac:dyDescent="0.25">
      <c r="A700" s="151"/>
      <c r="B700" s="154"/>
      <c r="C700" s="94"/>
      <c r="D700" s="124"/>
      <c r="E700" s="124"/>
      <c r="F700" s="124"/>
      <c r="G700" s="165"/>
      <c r="H700" s="94"/>
      <c r="I700" s="124"/>
      <c r="J700" s="124"/>
      <c r="K700" s="124"/>
      <c r="L700" s="165"/>
      <c r="M700" s="94"/>
      <c r="N700" s="124"/>
      <c r="O700" s="124"/>
      <c r="P700" s="124"/>
      <c r="Q700" s="165"/>
      <c r="R700" s="130"/>
      <c r="S700" s="115"/>
      <c r="T700" s="115"/>
      <c r="U700" s="115"/>
      <c r="V700" s="157"/>
      <c r="W700" s="94"/>
      <c r="X700" s="124"/>
      <c r="Y700" s="124"/>
      <c r="Z700" s="124"/>
      <c r="AA700" s="165"/>
      <c r="AB700" s="160"/>
    </row>
    <row r="701" spans="1:28" ht="13.5" customHeight="1" thickBot="1" x14ac:dyDescent="0.3">
      <c r="A701" s="152"/>
      <c r="B701" s="155"/>
      <c r="C701" s="95"/>
      <c r="D701" s="125"/>
      <c r="E701" s="125"/>
      <c r="F701" s="125"/>
      <c r="G701" s="166"/>
      <c r="H701" s="95"/>
      <c r="I701" s="125"/>
      <c r="J701" s="125"/>
      <c r="K701" s="125"/>
      <c r="L701" s="166"/>
      <c r="M701" s="95"/>
      <c r="N701" s="125"/>
      <c r="O701" s="125"/>
      <c r="P701" s="125"/>
      <c r="Q701" s="166"/>
      <c r="R701" s="131"/>
      <c r="S701" s="116"/>
      <c r="T701" s="116"/>
      <c r="U701" s="116"/>
      <c r="V701" s="158"/>
      <c r="W701" s="95"/>
      <c r="X701" s="125"/>
      <c r="Y701" s="125"/>
      <c r="Z701" s="125"/>
      <c r="AA701" s="166"/>
      <c r="AB701" s="161"/>
    </row>
    <row r="702" spans="1:28" ht="13.5" customHeight="1" thickTop="1" x14ac:dyDescent="0.25">
      <c r="A702" s="162">
        <f>ESCUADRAS!B136</f>
        <v>130</v>
      </c>
      <c r="B702" s="136">
        <f>ESCUADRAS!C134</f>
        <v>0</v>
      </c>
      <c r="C702" s="93"/>
      <c r="D702" s="123"/>
      <c r="E702" s="123"/>
      <c r="F702" s="123"/>
      <c r="G702" s="164"/>
      <c r="H702" s="93"/>
      <c r="I702" s="123"/>
      <c r="J702" s="123"/>
      <c r="K702" s="123"/>
      <c r="L702" s="164"/>
      <c r="M702" s="129"/>
      <c r="N702" s="114"/>
      <c r="O702" s="114"/>
      <c r="P702" s="114"/>
      <c r="Q702" s="156"/>
      <c r="R702" s="93"/>
      <c r="S702" s="123"/>
      <c r="T702" s="123"/>
      <c r="U702" s="123"/>
      <c r="V702" s="164"/>
      <c r="W702" s="93"/>
      <c r="X702" s="123"/>
      <c r="Y702" s="123"/>
      <c r="Z702" s="123"/>
      <c r="AA702" s="164"/>
      <c r="AB702" s="159"/>
    </row>
    <row r="703" spans="1:28" ht="14.25" customHeight="1" x14ac:dyDescent="0.25">
      <c r="A703" s="141"/>
      <c r="B703" s="137"/>
      <c r="C703" s="94"/>
      <c r="D703" s="124"/>
      <c r="E703" s="124"/>
      <c r="F703" s="124"/>
      <c r="G703" s="165"/>
      <c r="H703" s="94"/>
      <c r="I703" s="124"/>
      <c r="J703" s="124"/>
      <c r="K703" s="124"/>
      <c r="L703" s="165"/>
      <c r="M703" s="130"/>
      <c r="N703" s="115"/>
      <c r="O703" s="115"/>
      <c r="P703" s="115"/>
      <c r="Q703" s="157"/>
      <c r="R703" s="94"/>
      <c r="S703" s="124"/>
      <c r="T703" s="124"/>
      <c r="U703" s="124"/>
      <c r="V703" s="165"/>
      <c r="W703" s="94"/>
      <c r="X703" s="124"/>
      <c r="Y703" s="124"/>
      <c r="Z703" s="124"/>
      <c r="AA703" s="165"/>
      <c r="AB703" s="160"/>
    </row>
    <row r="704" spans="1:28" ht="13.5" customHeight="1" thickBot="1" x14ac:dyDescent="0.3">
      <c r="A704" s="163"/>
      <c r="B704" s="138"/>
      <c r="C704" s="95"/>
      <c r="D704" s="125"/>
      <c r="E704" s="125"/>
      <c r="F704" s="125"/>
      <c r="G704" s="166"/>
      <c r="H704" s="95"/>
      <c r="I704" s="125"/>
      <c r="J704" s="125"/>
      <c r="K704" s="125"/>
      <c r="L704" s="166"/>
      <c r="M704" s="131"/>
      <c r="N704" s="116"/>
      <c r="O704" s="116"/>
      <c r="P704" s="116"/>
      <c r="Q704" s="158"/>
      <c r="R704" s="95"/>
      <c r="S704" s="125"/>
      <c r="T704" s="125"/>
      <c r="U704" s="125"/>
      <c r="V704" s="166"/>
      <c r="W704" s="95"/>
      <c r="X704" s="125"/>
      <c r="Y704" s="125"/>
      <c r="Z704" s="125"/>
      <c r="AA704" s="166"/>
      <c r="AB704" s="161"/>
    </row>
    <row r="705" spans="1:32" ht="13.5" customHeight="1" thickTop="1" x14ac:dyDescent="0.25">
      <c r="A705" s="150">
        <f>ESCUADRAS!B137</f>
        <v>131</v>
      </c>
      <c r="B705" s="153">
        <f>ESCUADRAS!C135</f>
        <v>0</v>
      </c>
      <c r="C705" s="93"/>
      <c r="D705" s="123"/>
      <c r="E705" s="123"/>
      <c r="F705" s="123"/>
      <c r="G705" s="164"/>
      <c r="H705" s="129"/>
      <c r="I705" s="114"/>
      <c r="J705" s="114"/>
      <c r="K705" s="114"/>
      <c r="L705" s="156"/>
      <c r="M705" s="93"/>
      <c r="N705" s="123"/>
      <c r="O705" s="123"/>
      <c r="P705" s="123"/>
      <c r="Q705" s="164"/>
      <c r="R705" s="93"/>
      <c r="S705" s="123"/>
      <c r="T705" s="123"/>
      <c r="U705" s="123"/>
      <c r="V705" s="164"/>
      <c r="W705" s="93"/>
      <c r="X705" s="123"/>
      <c r="Y705" s="123"/>
      <c r="Z705" s="123"/>
      <c r="AA705" s="164"/>
      <c r="AB705" s="159"/>
    </row>
    <row r="706" spans="1:32" ht="14.25" customHeight="1" x14ac:dyDescent="0.25">
      <c r="A706" s="151"/>
      <c r="B706" s="154"/>
      <c r="C706" s="94"/>
      <c r="D706" s="124"/>
      <c r="E706" s="124"/>
      <c r="F706" s="124"/>
      <c r="G706" s="165"/>
      <c r="H706" s="130"/>
      <c r="I706" s="115"/>
      <c r="J706" s="115"/>
      <c r="K706" s="115"/>
      <c r="L706" s="157"/>
      <c r="M706" s="94"/>
      <c r="N706" s="124"/>
      <c r="O706" s="124"/>
      <c r="P706" s="124"/>
      <c r="Q706" s="165"/>
      <c r="R706" s="94"/>
      <c r="S706" s="124"/>
      <c r="T706" s="124"/>
      <c r="U706" s="124"/>
      <c r="V706" s="165"/>
      <c r="W706" s="94"/>
      <c r="X706" s="124"/>
      <c r="Y706" s="124"/>
      <c r="Z706" s="124"/>
      <c r="AA706" s="165"/>
      <c r="AB706" s="160"/>
    </row>
    <row r="707" spans="1:32" ht="13.5" customHeight="1" thickBot="1" x14ac:dyDescent="0.3">
      <c r="A707" s="152"/>
      <c r="B707" s="155"/>
      <c r="C707" s="95"/>
      <c r="D707" s="125"/>
      <c r="E707" s="125"/>
      <c r="F707" s="125"/>
      <c r="G707" s="166"/>
      <c r="H707" s="131"/>
      <c r="I707" s="116"/>
      <c r="J707" s="116"/>
      <c r="K707" s="116"/>
      <c r="L707" s="158"/>
      <c r="M707" s="95"/>
      <c r="N707" s="125"/>
      <c r="O707" s="125"/>
      <c r="P707" s="125"/>
      <c r="Q707" s="166"/>
      <c r="R707" s="95"/>
      <c r="S707" s="125"/>
      <c r="T707" s="125"/>
      <c r="U707" s="125"/>
      <c r="V707" s="166"/>
      <c r="W707" s="95"/>
      <c r="X707" s="125"/>
      <c r="Y707" s="125"/>
      <c r="Z707" s="125"/>
      <c r="AA707" s="166"/>
      <c r="AB707" s="161"/>
    </row>
    <row r="708" spans="1:32" ht="12.75" customHeight="1" thickTop="1" x14ac:dyDescent="0.25">
      <c r="A708" s="162">
        <f>ESCUADRAS!B138</f>
        <v>132</v>
      </c>
      <c r="B708" s="136">
        <f>ESCUADRAS!C136</f>
        <v>0</v>
      </c>
      <c r="C708" s="129"/>
      <c r="D708" s="114"/>
      <c r="E708" s="114"/>
      <c r="F708" s="114"/>
      <c r="G708" s="156"/>
      <c r="H708" s="93"/>
      <c r="I708" s="123"/>
      <c r="J708" s="123"/>
      <c r="K708" s="123"/>
      <c r="L708" s="164"/>
      <c r="M708" s="93"/>
      <c r="N708" s="123"/>
      <c r="O708" s="123"/>
      <c r="P708" s="123"/>
      <c r="Q708" s="164"/>
      <c r="R708" s="93"/>
      <c r="S708" s="123"/>
      <c r="T708" s="123"/>
      <c r="U708" s="123"/>
      <c r="V708" s="164"/>
      <c r="W708" s="93"/>
      <c r="X708" s="123"/>
      <c r="Y708" s="123"/>
      <c r="Z708" s="123"/>
      <c r="AA708" s="164"/>
      <c r="AB708" s="159"/>
    </row>
    <row r="709" spans="1:32" ht="14.25" customHeight="1" x14ac:dyDescent="0.25">
      <c r="A709" s="141"/>
      <c r="B709" s="137"/>
      <c r="C709" s="130"/>
      <c r="D709" s="115"/>
      <c r="E709" s="115"/>
      <c r="F709" s="115"/>
      <c r="G709" s="157"/>
      <c r="H709" s="94"/>
      <c r="I709" s="124"/>
      <c r="J709" s="124"/>
      <c r="K709" s="124"/>
      <c r="L709" s="165"/>
      <c r="M709" s="94"/>
      <c r="N709" s="124"/>
      <c r="O709" s="124"/>
      <c r="P709" s="124"/>
      <c r="Q709" s="165"/>
      <c r="R709" s="94"/>
      <c r="S709" s="124"/>
      <c r="T709" s="124"/>
      <c r="U709" s="124"/>
      <c r="V709" s="165"/>
      <c r="W709" s="94"/>
      <c r="X709" s="124"/>
      <c r="Y709" s="124"/>
      <c r="Z709" s="124"/>
      <c r="AA709" s="165"/>
      <c r="AB709" s="160"/>
    </row>
    <row r="710" spans="1:32" ht="13.5" customHeight="1" thickBot="1" x14ac:dyDescent="0.3">
      <c r="A710" s="142"/>
      <c r="B710" s="138"/>
      <c r="C710" s="131"/>
      <c r="D710" s="116"/>
      <c r="E710" s="116"/>
      <c r="F710" s="116"/>
      <c r="G710" s="158"/>
      <c r="H710" s="95"/>
      <c r="I710" s="125"/>
      <c r="J710" s="125"/>
      <c r="K710" s="125"/>
      <c r="L710" s="166"/>
      <c r="M710" s="95"/>
      <c r="N710" s="125"/>
      <c r="O710" s="125"/>
      <c r="P710" s="125"/>
      <c r="Q710" s="166"/>
      <c r="R710" s="95"/>
      <c r="S710" s="125"/>
      <c r="T710" s="125"/>
      <c r="U710" s="125"/>
      <c r="V710" s="166"/>
      <c r="W710" s="95"/>
      <c r="X710" s="125"/>
      <c r="Y710" s="125"/>
      <c r="Z710" s="125"/>
      <c r="AA710" s="166"/>
      <c r="AB710" s="161"/>
    </row>
    <row r="712" spans="1:32" ht="15" x14ac:dyDescent="0.25">
      <c r="A712" s="28"/>
      <c r="B712" s="26" t="s">
        <v>35</v>
      </c>
      <c r="E712" s="21" t="s">
        <v>41</v>
      </c>
      <c r="I712" s="21" t="s">
        <v>42</v>
      </c>
      <c r="M712" s="21" t="s">
        <v>43</v>
      </c>
      <c r="Q712" s="21" t="s">
        <v>44</v>
      </c>
      <c r="U712" s="21" t="s">
        <v>45</v>
      </c>
      <c r="Y712" s="21" t="s">
        <v>46</v>
      </c>
    </row>
    <row r="719" spans="1:32" ht="24.6" x14ac:dyDescent="0.25">
      <c r="A719" s="144" t="str">
        <f>'INSCRIPCION '!A$1</f>
        <v>TIRADA</v>
      </c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</row>
    <row r="720" spans="1:32" ht="24.6" x14ac:dyDescent="0.4">
      <c r="A720" s="23"/>
      <c r="B720" s="23"/>
    </row>
    <row r="721" spans="1:32" ht="22.8" x14ac:dyDescent="0.25">
      <c r="A721" s="132" t="str">
        <f>'INSCRIPCION '!A$2</f>
        <v>CAMPO DE TIRO LA ISLA</v>
      </c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</row>
    <row r="722" spans="1:32" ht="20.399999999999999" x14ac:dyDescent="0.25">
      <c r="A722" s="143" t="str">
        <f>'INSCRIPCION '!A$3</f>
        <v>XXX PLATOS</v>
      </c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</row>
    <row r="723" spans="1:32" ht="22.8" x14ac:dyDescent="0.4">
      <c r="A723" s="24"/>
      <c r="B723" s="24"/>
    </row>
    <row r="724" spans="1:32" ht="17.399999999999999" x14ac:dyDescent="0.3">
      <c r="A724" s="25" t="s">
        <v>32</v>
      </c>
      <c r="B724" s="25"/>
      <c r="J724" s="9" t="s">
        <v>6</v>
      </c>
      <c r="K724" s="9"/>
      <c r="L724" s="9"/>
      <c r="M724" s="9"/>
      <c r="N724" s="9"/>
      <c r="O724" s="22">
        <v>1</v>
      </c>
      <c r="P724" s="22"/>
      <c r="Q724" s="8"/>
      <c r="R724" s="8"/>
      <c r="S724" s="7"/>
      <c r="T724" s="8"/>
      <c r="U724" s="8"/>
      <c r="V724" s="9" t="s">
        <v>7</v>
      </c>
      <c r="W724" s="9"/>
      <c r="X724" s="9"/>
      <c r="Y724" s="9"/>
      <c r="Z724" s="22">
        <v>3</v>
      </c>
      <c r="AA724" s="22"/>
    </row>
    <row r="725" spans="1:32" ht="13.8" thickBot="1" x14ac:dyDescent="0.3"/>
    <row r="726" spans="1:32" ht="15.6" thickBot="1" x14ac:dyDescent="0.3">
      <c r="A726" s="27" t="s">
        <v>0</v>
      </c>
      <c r="B726" s="27" t="s">
        <v>8</v>
      </c>
      <c r="C726" s="47">
        <v>1</v>
      </c>
      <c r="D726" s="48">
        <v>2</v>
      </c>
      <c r="E726" s="48">
        <v>3</v>
      </c>
      <c r="F726" s="48">
        <v>4</v>
      </c>
      <c r="G726" s="49">
        <v>5</v>
      </c>
      <c r="H726" s="47">
        <v>6</v>
      </c>
      <c r="I726" s="48">
        <v>7</v>
      </c>
      <c r="J726" s="48">
        <v>8</v>
      </c>
      <c r="K726" s="48">
        <v>9</v>
      </c>
      <c r="L726" s="49">
        <v>10</v>
      </c>
      <c r="M726" s="47">
        <v>11</v>
      </c>
      <c r="N726" s="48">
        <v>12</v>
      </c>
      <c r="O726" s="48">
        <v>13</v>
      </c>
      <c r="P726" s="48">
        <v>14</v>
      </c>
      <c r="Q726" s="49">
        <v>15</v>
      </c>
      <c r="R726" s="47">
        <v>16</v>
      </c>
      <c r="S726" s="48">
        <v>17</v>
      </c>
      <c r="T726" s="48">
        <v>18</v>
      </c>
      <c r="U726" s="48">
        <v>19</v>
      </c>
      <c r="V726" s="49">
        <v>20</v>
      </c>
      <c r="W726" s="47">
        <v>21</v>
      </c>
      <c r="X726" s="48">
        <v>22</v>
      </c>
      <c r="Y726" s="48">
        <v>23</v>
      </c>
      <c r="Z726" s="48">
        <v>24</v>
      </c>
      <c r="AA726" s="49">
        <v>25</v>
      </c>
      <c r="AB726" s="30" t="s">
        <v>1</v>
      </c>
    </row>
    <row r="727" spans="1:32" ht="12.75" customHeight="1" x14ac:dyDescent="0.25">
      <c r="A727" s="153">
        <f>ESCUADRAS!B143</f>
        <v>137</v>
      </c>
      <c r="B727" s="153">
        <f>ESCUADRAS!C143</f>
        <v>0</v>
      </c>
      <c r="C727" s="129"/>
      <c r="D727" s="114"/>
      <c r="E727" s="114"/>
      <c r="F727" s="114"/>
      <c r="G727" s="156"/>
      <c r="H727" s="129"/>
      <c r="I727" s="114"/>
      <c r="J727" s="114"/>
      <c r="K727" s="114"/>
      <c r="L727" s="156"/>
      <c r="M727" s="129"/>
      <c r="N727" s="114"/>
      <c r="O727" s="114"/>
      <c r="P727" s="114"/>
      <c r="Q727" s="156"/>
      <c r="R727" s="129"/>
      <c r="S727" s="114"/>
      <c r="T727" s="114"/>
      <c r="U727" s="114"/>
      <c r="V727" s="156"/>
      <c r="W727" s="129"/>
      <c r="X727" s="114"/>
      <c r="Y727" s="114"/>
      <c r="Z727" s="114"/>
      <c r="AA727" s="156"/>
      <c r="AB727" s="159"/>
    </row>
    <row r="728" spans="1:32" ht="14.25" customHeight="1" x14ac:dyDescent="0.25">
      <c r="A728" s="154"/>
      <c r="B728" s="154"/>
      <c r="C728" s="130"/>
      <c r="D728" s="115"/>
      <c r="E728" s="115"/>
      <c r="F728" s="115"/>
      <c r="G728" s="157"/>
      <c r="H728" s="130"/>
      <c r="I728" s="115"/>
      <c r="J728" s="115"/>
      <c r="K728" s="115"/>
      <c r="L728" s="157"/>
      <c r="M728" s="130"/>
      <c r="N728" s="115"/>
      <c r="O728" s="115"/>
      <c r="P728" s="115"/>
      <c r="Q728" s="157"/>
      <c r="R728" s="130"/>
      <c r="S728" s="115"/>
      <c r="T728" s="115"/>
      <c r="U728" s="115"/>
      <c r="V728" s="157"/>
      <c r="W728" s="130"/>
      <c r="X728" s="115"/>
      <c r="Y728" s="115"/>
      <c r="Z728" s="115"/>
      <c r="AA728" s="157"/>
      <c r="AB728" s="160"/>
    </row>
    <row r="729" spans="1:32" ht="13.5" customHeight="1" thickBot="1" x14ac:dyDescent="0.3">
      <c r="A729" s="155"/>
      <c r="B729" s="155"/>
      <c r="C729" s="131"/>
      <c r="D729" s="116"/>
      <c r="E729" s="116"/>
      <c r="F729" s="116"/>
      <c r="G729" s="158"/>
      <c r="H729" s="131"/>
      <c r="I729" s="116"/>
      <c r="J729" s="116"/>
      <c r="K729" s="116"/>
      <c r="L729" s="158"/>
      <c r="M729" s="131"/>
      <c r="N729" s="116"/>
      <c r="O729" s="116"/>
      <c r="P729" s="116"/>
      <c r="Q729" s="158"/>
      <c r="R729" s="131"/>
      <c r="S729" s="116"/>
      <c r="T729" s="116"/>
      <c r="U729" s="116"/>
      <c r="V729" s="158"/>
      <c r="W729" s="131"/>
      <c r="X729" s="116"/>
      <c r="Y729" s="116"/>
      <c r="Z729" s="116"/>
      <c r="AA729" s="158"/>
      <c r="AB729" s="161"/>
    </row>
    <row r="730" spans="1:32" ht="14.25" customHeight="1" x14ac:dyDescent="0.25">
      <c r="A730" s="136">
        <f>ESCUADRAS!B144</f>
        <v>138</v>
      </c>
      <c r="B730" s="136">
        <f>ESCUADRAS!C144</f>
        <v>0</v>
      </c>
      <c r="C730" s="93"/>
      <c r="D730" s="123"/>
      <c r="E730" s="123"/>
      <c r="F730" s="123"/>
      <c r="G730" s="164"/>
      <c r="H730" s="93"/>
      <c r="I730" s="123"/>
      <c r="J730" s="123"/>
      <c r="K730" s="123"/>
      <c r="L730" s="164"/>
      <c r="M730" s="93"/>
      <c r="N730" s="123"/>
      <c r="O730" s="123"/>
      <c r="P730" s="123"/>
      <c r="Q730" s="164"/>
      <c r="R730" s="93"/>
      <c r="S730" s="123"/>
      <c r="T730" s="123"/>
      <c r="U730" s="123"/>
      <c r="V730" s="164"/>
      <c r="W730" s="129"/>
      <c r="X730" s="114"/>
      <c r="Y730" s="114"/>
      <c r="Z730" s="114"/>
      <c r="AA730" s="156"/>
      <c r="AB730" s="159"/>
    </row>
    <row r="731" spans="1:32" ht="14.25" customHeight="1" x14ac:dyDescent="0.25">
      <c r="A731" s="137"/>
      <c r="B731" s="137"/>
      <c r="C731" s="94"/>
      <c r="D731" s="124"/>
      <c r="E731" s="124"/>
      <c r="F731" s="124"/>
      <c r="G731" s="165"/>
      <c r="H731" s="94"/>
      <c r="I731" s="124"/>
      <c r="J731" s="124"/>
      <c r="K731" s="124"/>
      <c r="L731" s="165"/>
      <c r="M731" s="94"/>
      <c r="N731" s="124"/>
      <c r="O731" s="124"/>
      <c r="P731" s="124"/>
      <c r="Q731" s="165"/>
      <c r="R731" s="94"/>
      <c r="S731" s="124"/>
      <c r="T731" s="124"/>
      <c r="U731" s="124"/>
      <c r="V731" s="165"/>
      <c r="W731" s="130"/>
      <c r="X731" s="115"/>
      <c r="Y731" s="115"/>
      <c r="Z731" s="115"/>
      <c r="AA731" s="157"/>
      <c r="AB731" s="160"/>
    </row>
    <row r="732" spans="1:32" ht="13.5" customHeight="1" thickBot="1" x14ac:dyDescent="0.3">
      <c r="A732" s="138"/>
      <c r="B732" s="138"/>
      <c r="C732" s="95"/>
      <c r="D732" s="125"/>
      <c r="E732" s="125"/>
      <c r="F732" s="125"/>
      <c r="G732" s="166"/>
      <c r="H732" s="95"/>
      <c r="I732" s="125"/>
      <c r="J732" s="125"/>
      <c r="K732" s="125"/>
      <c r="L732" s="166"/>
      <c r="M732" s="95"/>
      <c r="N732" s="125"/>
      <c r="O732" s="125"/>
      <c r="P732" s="125"/>
      <c r="Q732" s="166"/>
      <c r="R732" s="95"/>
      <c r="S732" s="125"/>
      <c r="T732" s="125"/>
      <c r="U732" s="125"/>
      <c r="V732" s="166"/>
      <c r="W732" s="131"/>
      <c r="X732" s="116"/>
      <c r="Y732" s="116"/>
      <c r="Z732" s="116"/>
      <c r="AA732" s="158"/>
      <c r="AB732" s="161"/>
    </row>
    <row r="733" spans="1:32" ht="14.25" customHeight="1" x14ac:dyDescent="0.25">
      <c r="A733" s="153">
        <f>ESCUADRAS!B139</f>
        <v>133</v>
      </c>
      <c r="B733" s="153">
        <f>ESCUADRAS!C139</f>
        <v>0</v>
      </c>
      <c r="C733" s="93"/>
      <c r="D733" s="123"/>
      <c r="E733" s="123"/>
      <c r="F733" s="123"/>
      <c r="G733" s="164"/>
      <c r="H733" s="93"/>
      <c r="I733" s="123"/>
      <c r="J733" s="123"/>
      <c r="K733" s="123"/>
      <c r="L733" s="164"/>
      <c r="M733" s="93"/>
      <c r="N733" s="123"/>
      <c r="O733" s="123"/>
      <c r="P733" s="123"/>
      <c r="Q733" s="164"/>
      <c r="R733" s="129"/>
      <c r="S733" s="114"/>
      <c r="T733" s="114"/>
      <c r="U733" s="114"/>
      <c r="V733" s="156"/>
      <c r="W733" s="93"/>
      <c r="X733" s="123"/>
      <c r="Y733" s="123"/>
      <c r="Z733" s="123"/>
      <c r="AA733" s="164"/>
      <c r="AB733" s="159"/>
    </row>
    <row r="734" spans="1:32" ht="14.25" customHeight="1" x14ac:dyDescent="0.25">
      <c r="A734" s="154"/>
      <c r="B734" s="154"/>
      <c r="C734" s="94"/>
      <c r="D734" s="124"/>
      <c r="E734" s="124"/>
      <c r="F734" s="124"/>
      <c r="G734" s="165"/>
      <c r="H734" s="94"/>
      <c r="I734" s="124"/>
      <c r="J734" s="124"/>
      <c r="K734" s="124"/>
      <c r="L734" s="165"/>
      <c r="M734" s="94"/>
      <c r="N734" s="124"/>
      <c r="O734" s="124"/>
      <c r="P734" s="124"/>
      <c r="Q734" s="165"/>
      <c r="R734" s="130"/>
      <c r="S734" s="115"/>
      <c r="T734" s="115"/>
      <c r="U734" s="115"/>
      <c r="V734" s="157"/>
      <c r="W734" s="94"/>
      <c r="X734" s="124"/>
      <c r="Y734" s="124"/>
      <c r="Z734" s="124"/>
      <c r="AA734" s="165"/>
      <c r="AB734" s="160"/>
    </row>
    <row r="735" spans="1:32" ht="13.5" customHeight="1" thickBot="1" x14ac:dyDescent="0.3">
      <c r="A735" s="155"/>
      <c r="B735" s="155"/>
      <c r="C735" s="95"/>
      <c r="D735" s="125"/>
      <c r="E735" s="125"/>
      <c r="F735" s="125"/>
      <c r="G735" s="166"/>
      <c r="H735" s="95"/>
      <c r="I735" s="125"/>
      <c r="J735" s="125"/>
      <c r="K735" s="125"/>
      <c r="L735" s="166"/>
      <c r="M735" s="95"/>
      <c r="N735" s="125"/>
      <c r="O735" s="125"/>
      <c r="P735" s="125"/>
      <c r="Q735" s="166"/>
      <c r="R735" s="131"/>
      <c r="S735" s="116"/>
      <c r="T735" s="116"/>
      <c r="U735" s="116"/>
      <c r="V735" s="158"/>
      <c r="W735" s="95"/>
      <c r="X735" s="125"/>
      <c r="Y735" s="125"/>
      <c r="Z735" s="125"/>
      <c r="AA735" s="166"/>
      <c r="AB735" s="161"/>
    </row>
    <row r="736" spans="1:32" ht="13.5" customHeight="1" x14ac:dyDescent="0.25">
      <c r="A736" s="136">
        <f>ESCUADRAS!B140</f>
        <v>134</v>
      </c>
      <c r="B736" s="136">
        <f>ESCUADRAS!C140</f>
        <v>0</v>
      </c>
      <c r="C736" s="93"/>
      <c r="D736" s="123"/>
      <c r="E736" s="123"/>
      <c r="F736" s="123"/>
      <c r="G736" s="164"/>
      <c r="H736" s="93"/>
      <c r="I736" s="123"/>
      <c r="J736" s="123"/>
      <c r="K736" s="123"/>
      <c r="L736" s="164"/>
      <c r="M736" s="129"/>
      <c r="N736" s="114"/>
      <c r="O736" s="114"/>
      <c r="P736" s="114"/>
      <c r="Q736" s="156"/>
      <c r="R736" s="93"/>
      <c r="S736" s="123"/>
      <c r="T736" s="123"/>
      <c r="U736" s="123"/>
      <c r="V736" s="164"/>
      <c r="W736" s="93"/>
      <c r="X736" s="123"/>
      <c r="Y736" s="123"/>
      <c r="Z736" s="123"/>
      <c r="AA736" s="164"/>
      <c r="AB736" s="159"/>
    </row>
    <row r="737" spans="1:28" ht="14.25" customHeight="1" x14ac:dyDescent="0.25">
      <c r="A737" s="137"/>
      <c r="B737" s="137"/>
      <c r="C737" s="94"/>
      <c r="D737" s="124"/>
      <c r="E737" s="124"/>
      <c r="F737" s="124"/>
      <c r="G737" s="165"/>
      <c r="H737" s="94"/>
      <c r="I737" s="124"/>
      <c r="J737" s="124"/>
      <c r="K737" s="124"/>
      <c r="L737" s="165"/>
      <c r="M737" s="130"/>
      <c r="N737" s="115"/>
      <c r="O737" s="115"/>
      <c r="P737" s="115"/>
      <c r="Q737" s="157"/>
      <c r="R737" s="94"/>
      <c r="S737" s="124"/>
      <c r="T737" s="124"/>
      <c r="U737" s="124"/>
      <c r="V737" s="165"/>
      <c r="W737" s="94"/>
      <c r="X737" s="124"/>
      <c r="Y737" s="124"/>
      <c r="Z737" s="124"/>
      <c r="AA737" s="165"/>
      <c r="AB737" s="160"/>
    </row>
    <row r="738" spans="1:28" ht="13.5" customHeight="1" thickBot="1" x14ac:dyDescent="0.3">
      <c r="A738" s="138"/>
      <c r="B738" s="138"/>
      <c r="C738" s="95"/>
      <c r="D738" s="125"/>
      <c r="E738" s="125"/>
      <c r="F738" s="125"/>
      <c r="G738" s="166"/>
      <c r="H738" s="95"/>
      <c r="I738" s="125"/>
      <c r="J738" s="125"/>
      <c r="K738" s="125"/>
      <c r="L738" s="166"/>
      <c r="M738" s="131"/>
      <c r="N738" s="116"/>
      <c r="O738" s="116"/>
      <c r="P738" s="116"/>
      <c r="Q738" s="158"/>
      <c r="R738" s="95"/>
      <c r="S738" s="125"/>
      <c r="T738" s="125"/>
      <c r="U738" s="125"/>
      <c r="V738" s="166"/>
      <c r="W738" s="95"/>
      <c r="X738" s="125"/>
      <c r="Y738" s="125"/>
      <c r="Z738" s="125"/>
      <c r="AA738" s="166"/>
      <c r="AB738" s="161"/>
    </row>
    <row r="739" spans="1:28" ht="13.5" customHeight="1" x14ac:dyDescent="0.25">
      <c r="A739" s="153">
        <f>ESCUADRAS!B141</f>
        <v>135</v>
      </c>
      <c r="B739" s="153">
        <f>ESCUADRAS!C141</f>
        <v>0</v>
      </c>
      <c r="C739" s="93"/>
      <c r="D739" s="123"/>
      <c r="E739" s="123"/>
      <c r="F739" s="123"/>
      <c r="G739" s="164"/>
      <c r="H739" s="129"/>
      <c r="I739" s="114"/>
      <c r="J739" s="114"/>
      <c r="K739" s="114"/>
      <c r="L739" s="156"/>
      <c r="M739" s="93"/>
      <c r="N739" s="123"/>
      <c r="O739" s="123"/>
      <c r="P739" s="123"/>
      <c r="Q739" s="164"/>
      <c r="R739" s="93"/>
      <c r="S739" s="123"/>
      <c r="T739" s="123"/>
      <c r="U739" s="123"/>
      <c r="V739" s="164"/>
      <c r="W739" s="93"/>
      <c r="X739" s="123"/>
      <c r="Y739" s="123"/>
      <c r="Z739" s="123"/>
      <c r="AA739" s="164"/>
      <c r="AB739" s="159"/>
    </row>
    <row r="740" spans="1:28" ht="14.25" customHeight="1" x14ac:dyDescent="0.25">
      <c r="A740" s="154"/>
      <c r="B740" s="154"/>
      <c r="C740" s="94"/>
      <c r="D740" s="124"/>
      <c r="E740" s="124"/>
      <c r="F740" s="124"/>
      <c r="G740" s="165"/>
      <c r="H740" s="130"/>
      <c r="I740" s="115"/>
      <c r="J740" s="115"/>
      <c r="K740" s="115"/>
      <c r="L740" s="157"/>
      <c r="M740" s="94"/>
      <c r="N740" s="124"/>
      <c r="O740" s="124"/>
      <c r="P740" s="124"/>
      <c r="Q740" s="165"/>
      <c r="R740" s="94"/>
      <c r="S740" s="124"/>
      <c r="T740" s="124"/>
      <c r="U740" s="124"/>
      <c r="V740" s="165"/>
      <c r="W740" s="94"/>
      <c r="X740" s="124"/>
      <c r="Y740" s="124"/>
      <c r="Z740" s="124"/>
      <c r="AA740" s="165"/>
      <c r="AB740" s="160"/>
    </row>
    <row r="741" spans="1:28" ht="13.5" customHeight="1" thickBot="1" x14ac:dyDescent="0.3">
      <c r="A741" s="155"/>
      <c r="B741" s="155"/>
      <c r="C741" s="95"/>
      <c r="D741" s="125"/>
      <c r="E741" s="125"/>
      <c r="F741" s="125"/>
      <c r="G741" s="166"/>
      <c r="H741" s="131"/>
      <c r="I741" s="116"/>
      <c r="J741" s="116"/>
      <c r="K741" s="116"/>
      <c r="L741" s="158"/>
      <c r="M741" s="95"/>
      <c r="N741" s="125"/>
      <c r="O741" s="125"/>
      <c r="P741" s="125"/>
      <c r="Q741" s="166"/>
      <c r="R741" s="95"/>
      <c r="S741" s="125"/>
      <c r="T741" s="125"/>
      <c r="U741" s="125"/>
      <c r="V741" s="166"/>
      <c r="W741" s="95"/>
      <c r="X741" s="125"/>
      <c r="Y741" s="125"/>
      <c r="Z741" s="125"/>
      <c r="AA741" s="166"/>
      <c r="AB741" s="161"/>
    </row>
    <row r="742" spans="1:28" ht="12.75" customHeight="1" x14ac:dyDescent="0.25">
      <c r="A742" s="136">
        <f>ESCUADRAS!B142</f>
        <v>136</v>
      </c>
      <c r="B742" s="136">
        <f>ESCUADRAS!C142</f>
        <v>0</v>
      </c>
      <c r="C742" s="129"/>
      <c r="D742" s="114"/>
      <c r="E742" s="114"/>
      <c r="F742" s="114"/>
      <c r="G742" s="156"/>
      <c r="H742" s="93"/>
      <c r="I742" s="123"/>
      <c r="J742" s="123"/>
      <c r="K742" s="123"/>
      <c r="L742" s="164"/>
      <c r="M742" s="93"/>
      <c r="N742" s="123"/>
      <c r="O742" s="123"/>
      <c r="P742" s="123"/>
      <c r="Q742" s="164"/>
      <c r="R742" s="93"/>
      <c r="S742" s="123"/>
      <c r="T742" s="123"/>
      <c r="U742" s="123"/>
      <c r="V742" s="164"/>
      <c r="W742" s="93"/>
      <c r="X742" s="123"/>
      <c r="Y742" s="123"/>
      <c r="Z742" s="123"/>
      <c r="AA742" s="164"/>
      <c r="AB742" s="159"/>
    </row>
    <row r="743" spans="1:28" ht="14.25" customHeight="1" x14ac:dyDescent="0.25">
      <c r="A743" s="137"/>
      <c r="B743" s="137"/>
      <c r="C743" s="130"/>
      <c r="D743" s="115"/>
      <c r="E743" s="115"/>
      <c r="F743" s="115"/>
      <c r="G743" s="157"/>
      <c r="H743" s="94"/>
      <c r="I743" s="124"/>
      <c r="J743" s="124"/>
      <c r="K743" s="124"/>
      <c r="L743" s="165"/>
      <c r="M743" s="94"/>
      <c r="N743" s="124"/>
      <c r="O743" s="124"/>
      <c r="P743" s="124"/>
      <c r="Q743" s="165"/>
      <c r="R743" s="94"/>
      <c r="S743" s="124"/>
      <c r="T743" s="124"/>
      <c r="U743" s="124"/>
      <c r="V743" s="165"/>
      <c r="W743" s="94"/>
      <c r="X743" s="124"/>
      <c r="Y743" s="124"/>
      <c r="Z743" s="124"/>
      <c r="AA743" s="165"/>
      <c r="AB743" s="160"/>
    </row>
    <row r="744" spans="1:28" ht="13.5" customHeight="1" thickBot="1" x14ac:dyDescent="0.3">
      <c r="A744" s="138"/>
      <c r="B744" s="138"/>
      <c r="C744" s="131"/>
      <c r="D744" s="116"/>
      <c r="E744" s="116"/>
      <c r="F744" s="116"/>
      <c r="G744" s="158"/>
      <c r="H744" s="95"/>
      <c r="I744" s="125"/>
      <c r="J744" s="125"/>
      <c r="K744" s="125"/>
      <c r="L744" s="166"/>
      <c r="M744" s="95"/>
      <c r="N744" s="125"/>
      <c r="O744" s="125"/>
      <c r="P744" s="125"/>
      <c r="Q744" s="166"/>
      <c r="R744" s="95"/>
      <c r="S744" s="125"/>
      <c r="T744" s="125"/>
      <c r="U744" s="125"/>
      <c r="V744" s="166"/>
      <c r="W744" s="95"/>
      <c r="X744" s="125"/>
      <c r="Y744" s="125"/>
      <c r="Z744" s="125"/>
      <c r="AA744" s="166"/>
      <c r="AB744" s="161"/>
    </row>
    <row r="746" spans="1:28" ht="15" x14ac:dyDescent="0.25">
      <c r="A746" s="28"/>
      <c r="B746" s="26" t="s">
        <v>35</v>
      </c>
      <c r="E746" s="21" t="s">
        <v>41</v>
      </c>
      <c r="I746" s="21" t="s">
        <v>42</v>
      </c>
      <c r="M746" s="21" t="s">
        <v>43</v>
      </c>
      <c r="Q746" s="21" t="s">
        <v>44</v>
      </c>
      <c r="U746" s="21" t="s">
        <v>45</v>
      </c>
      <c r="Y746" s="21" t="s">
        <v>46</v>
      </c>
    </row>
    <row r="753" spans="1:32" ht="24.6" x14ac:dyDescent="0.25">
      <c r="A753" s="144" t="str">
        <f>'INSCRIPCION '!A$1</f>
        <v>TIRADA</v>
      </c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</row>
    <row r="754" spans="1:32" ht="24.6" x14ac:dyDescent="0.4">
      <c r="A754" s="23"/>
      <c r="B754" s="23"/>
    </row>
    <row r="755" spans="1:32" ht="22.8" x14ac:dyDescent="0.25">
      <c r="A755" s="132" t="str">
        <f>'INSCRIPCION '!A$2</f>
        <v>CAMPO DE TIRO LA ISLA</v>
      </c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</row>
    <row r="756" spans="1:32" ht="20.399999999999999" x14ac:dyDescent="0.25">
      <c r="A756" s="143" t="str">
        <f>'INSCRIPCION '!A$3</f>
        <v>XXX PLATOS</v>
      </c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</row>
    <row r="757" spans="1:32" ht="22.8" x14ac:dyDescent="0.4">
      <c r="A757" s="24"/>
      <c r="B757" s="24"/>
    </row>
    <row r="758" spans="1:32" ht="17.399999999999999" x14ac:dyDescent="0.3">
      <c r="A758" s="25" t="s">
        <v>33</v>
      </c>
      <c r="B758" s="25"/>
      <c r="J758" s="9" t="s">
        <v>6</v>
      </c>
      <c r="K758" s="9"/>
      <c r="L758" s="9"/>
      <c r="M758" s="9"/>
      <c r="N758" s="9"/>
      <c r="O758" s="22">
        <v>2</v>
      </c>
      <c r="P758" s="22"/>
      <c r="Q758" s="8"/>
      <c r="R758" s="8"/>
      <c r="S758" s="7"/>
      <c r="T758" s="8"/>
      <c r="U758" s="8"/>
      <c r="V758" s="9" t="s">
        <v>7</v>
      </c>
      <c r="W758" s="9"/>
      <c r="X758" s="9"/>
      <c r="Y758" s="9"/>
      <c r="Z758" s="22">
        <v>3</v>
      </c>
      <c r="AA758" s="22"/>
    </row>
    <row r="759" spans="1:32" ht="13.8" thickBot="1" x14ac:dyDescent="0.3"/>
    <row r="760" spans="1:32" ht="15.6" thickBot="1" x14ac:dyDescent="0.3">
      <c r="A760" s="27" t="s">
        <v>0</v>
      </c>
      <c r="B760" s="27" t="s">
        <v>8</v>
      </c>
      <c r="C760" s="47">
        <v>1</v>
      </c>
      <c r="D760" s="48">
        <v>2</v>
      </c>
      <c r="E760" s="48">
        <v>3</v>
      </c>
      <c r="F760" s="48">
        <v>4</v>
      </c>
      <c r="G760" s="49">
        <v>5</v>
      </c>
      <c r="H760" s="47">
        <v>6</v>
      </c>
      <c r="I760" s="48">
        <v>7</v>
      </c>
      <c r="J760" s="48">
        <v>8</v>
      </c>
      <c r="K760" s="48">
        <v>9</v>
      </c>
      <c r="L760" s="49">
        <v>10</v>
      </c>
      <c r="M760" s="47">
        <v>11</v>
      </c>
      <c r="N760" s="48">
        <v>12</v>
      </c>
      <c r="O760" s="48">
        <v>13</v>
      </c>
      <c r="P760" s="48">
        <v>14</v>
      </c>
      <c r="Q760" s="49">
        <v>15</v>
      </c>
      <c r="R760" s="47">
        <v>16</v>
      </c>
      <c r="S760" s="48">
        <v>17</v>
      </c>
      <c r="T760" s="48">
        <v>18</v>
      </c>
      <c r="U760" s="48">
        <v>19</v>
      </c>
      <c r="V760" s="49">
        <v>20</v>
      </c>
      <c r="W760" s="47">
        <v>21</v>
      </c>
      <c r="X760" s="48">
        <v>22</v>
      </c>
      <c r="Y760" s="48">
        <v>23</v>
      </c>
      <c r="Z760" s="48">
        <v>24</v>
      </c>
      <c r="AA760" s="49">
        <v>25</v>
      </c>
      <c r="AB760" s="30" t="s">
        <v>1</v>
      </c>
    </row>
    <row r="761" spans="1:32" ht="14.25" customHeight="1" thickTop="1" x14ac:dyDescent="0.25">
      <c r="A761" s="150">
        <f>ESCUADRAS!B145</f>
        <v>139</v>
      </c>
      <c r="B761" s="153">
        <f>ESCUADRAS!C149</f>
        <v>0</v>
      </c>
      <c r="C761" s="129"/>
      <c r="D761" s="114"/>
      <c r="E761" s="114"/>
      <c r="F761" s="114"/>
      <c r="G761" s="156"/>
      <c r="H761" s="129"/>
      <c r="I761" s="114"/>
      <c r="J761" s="114"/>
      <c r="K761" s="114"/>
      <c r="L761" s="156"/>
      <c r="M761" s="129"/>
      <c r="N761" s="114"/>
      <c r="O761" s="114"/>
      <c r="P761" s="114"/>
      <c r="Q761" s="156"/>
      <c r="R761" s="129"/>
      <c r="S761" s="114"/>
      <c r="T761" s="114"/>
      <c r="U761" s="114"/>
      <c r="V761" s="156"/>
      <c r="W761" s="129"/>
      <c r="X761" s="114"/>
      <c r="Y761" s="114"/>
      <c r="Z761" s="114"/>
      <c r="AA761" s="156"/>
      <c r="AB761" s="159"/>
    </row>
    <row r="762" spans="1:32" ht="14.25" customHeight="1" x14ac:dyDescent="0.25">
      <c r="A762" s="151"/>
      <c r="B762" s="154"/>
      <c r="C762" s="130"/>
      <c r="D762" s="115"/>
      <c r="E762" s="115"/>
      <c r="F762" s="115"/>
      <c r="G762" s="157"/>
      <c r="H762" s="130"/>
      <c r="I762" s="115"/>
      <c r="J762" s="115"/>
      <c r="K762" s="115"/>
      <c r="L762" s="157"/>
      <c r="M762" s="130"/>
      <c r="N762" s="115"/>
      <c r="O762" s="115"/>
      <c r="P762" s="115"/>
      <c r="Q762" s="157"/>
      <c r="R762" s="130"/>
      <c r="S762" s="115"/>
      <c r="T762" s="115"/>
      <c r="U762" s="115"/>
      <c r="V762" s="157"/>
      <c r="W762" s="130"/>
      <c r="X762" s="115"/>
      <c r="Y762" s="115"/>
      <c r="Z762" s="115"/>
      <c r="AA762" s="157"/>
      <c r="AB762" s="160"/>
    </row>
    <row r="763" spans="1:32" ht="13.5" customHeight="1" thickBot="1" x14ac:dyDescent="0.3">
      <c r="A763" s="152"/>
      <c r="B763" s="155"/>
      <c r="C763" s="131"/>
      <c r="D763" s="116"/>
      <c r="E763" s="116"/>
      <c r="F763" s="116"/>
      <c r="G763" s="158"/>
      <c r="H763" s="131"/>
      <c r="I763" s="116"/>
      <c r="J763" s="116"/>
      <c r="K763" s="116"/>
      <c r="L763" s="158"/>
      <c r="M763" s="131"/>
      <c r="N763" s="116"/>
      <c r="O763" s="116"/>
      <c r="P763" s="116"/>
      <c r="Q763" s="158"/>
      <c r="R763" s="131"/>
      <c r="S763" s="116"/>
      <c r="T763" s="116"/>
      <c r="U763" s="116"/>
      <c r="V763" s="158"/>
      <c r="W763" s="131"/>
      <c r="X763" s="116"/>
      <c r="Y763" s="116"/>
      <c r="Z763" s="116"/>
      <c r="AA763" s="158"/>
      <c r="AB763" s="161"/>
    </row>
    <row r="764" spans="1:32" ht="14.25" customHeight="1" thickTop="1" x14ac:dyDescent="0.25">
      <c r="A764" s="162">
        <f>ESCUADRAS!B146</f>
        <v>140</v>
      </c>
      <c r="B764" s="136">
        <f>ESCUADRAS!C150</f>
        <v>0</v>
      </c>
      <c r="C764" s="93"/>
      <c r="D764" s="123"/>
      <c r="E764" s="123"/>
      <c r="F764" s="123"/>
      <c r="G764" s="164"/>
      <c r="H764" s="93"/>
      <c r="I764" s="123"/>
      <c r="J764" s="123"/>
      <c r="K764" s="123"/>
      <c r="L764" s="164"/>
      <c r="M764" s="93"/>
      <c r="N764" s="123"/>
      <c r="O764" s="123"/>
      <c r="P764" s="123"/>
      <c r="Q764" s="164"/>
      <c r="R764" s="93"/>
      <c r="S764" s="123"/>
      <c r="T764" s="123"/>
      <c r="U764" s="123"/>
      <c r="V764" s="164"/>
      <c r="W764" s="129"/>
      <c r="X764" s="114"/>
      <c r="Y764" s="114"/>
      <c r="Z764" s="114"/>
      <c r="AA764" s="156"/>
      <c r="AB764" s="159"/>
    </row>
    <row r="765" spans="1:32" ht="14.25" customHeight="1" x14ac:dyDescent="0.25">
      <c r="A765" s="141"/>
      <c r="B765" s="137"/>
      <c r="C765" s="94"/>
      <c r="D765" s="124"/>
      <c r="E765" s="124"/>
      <c r="F765" s="124"/>
      <c r="G765" s="165"/>
      <c r="H765" s="94"/>
      <c r="I765" s="124"/>
      <c r="J765" s="124"/>
      <c r="K765" s="124"/>
      <c r="L765" s="165"/>
      <c r="M765" s="94"/>
      <c r="N765" s="124"/>
      <c r="O765" s="124"/>
      <c r="P765" s="124"/>
      <c r="Q765" s="165"/>
      <c r="R765" s="94"/>
      <c r="S765" s="124"/>
      <c r="T765" s="124"/>
      <c r="U765" s="124"/>
      <c r="V765" s="165"/>
      <c r="W765" s="130"/>
      <c r="X765" s="115"/>
      <c r="Y765" s="115"/>
      <c r="Z765" s="115"/>
      <c r="AA765" s="157"/>
      <c r="AB765" s="160"/>
    </row>
    <row r="766" spans="1:32" ht="13.5" customHeight="1" thickBot="1" x14ac:dyDescent="0.3">
      <c r="A766" s="163"/>
      <c r="B766" s="138"/>
      <c r="C766" s="95"/>
      <c r="D766" s="125"/>
      <c r="E766" s="125"/>
      <c r="F766" s="125"/>
      <c r="G766" s="166"/>
      <c r="H766" s="95"/>
      <c r="I766" s="125"/>
      <c r="J766" s="125"/>
      <c r="K766" s="125"/>
      <c r="L766" s="166"/>
      <c r="M766" s="95"/>
      <c r="N766" s="125"/>
      <c r="O766" s="125"/>
      <c r="P766" s="125"/>
      <c r="Q766" s="166"/>
      <c r="R766" s="95"/>
      <c r="S766" s="125"/>
      <c r="T766" s="125"/>
      <c r="U766" s="125"/>
      <c r="V766" s="166"/>
      <c r="W766" s="131"/>
      <c r="X766" s="116"/>
      <c r="Y766" s="116"/>
      <c r="Z766" s="116"/>
      <c r="AA766" s="158"/>
      <c r="AB766" s="161"/>
    </row>
    <row r="767" spans="1:32" ht="14.25" customHeight="1" thickTop="1" x14ac:dyDescent="0.25">
      <c r="A767" s="150">
        <f>ESCUADRAS!B147</f>
        <v>141</v>
      </c>
      <c r="B767" s="153">
        <f>ESCUADRAS!C145</f>
        <v>0</v>
      </c>
      <c r="C767" s="93"/>
      <c r="D767" s="123"/>
      <c r="E767" s="123"/>
      <c r="F767" s="123"/>
      <c r="G767" s="164"/>
      <c r="H767" s="93"/>
      <c r="I767" s="123"/>
      <c r="J767" s="123"/>
      <c r="K767" s="123"/>
      <c r="L767" s="164"/>
      <c r="M767" s="93"/>
      <c r="N767" s="123"/>
      <c r="O767" s="123"/>
      <c r="P767" s="123"/>
      <c r="Q767" s="164"/>
      <c r="R767" s="129"/>
      <c r="S767" s="114"/>
      <c r="T767" s="114"/>
      <c r="U767" s="114"/>
      <c r="V767" s="156"/>
      <c r="W767" s="93"/>
      <c r="X767" s="123"/>
      <c r="Y767" s="123"/>
      <c r="Z767" s="123"/>
      <c r="AA767" s="164"/>
      <c r="AB767" s="159"/>
    </row>
    <row r="768" spans="1:32" ht="14.25" customHeight="1" x14ac:dyDescent="0.25">
      <c r="A768" s="151"/>
      <c r="B768" s="154"/>
      <c r="C768" s="94"/>
      <c r="D768" s="124"/>
      <c r="E768" s="124"/>
      <c r="F768" s="124"/>
      <c r="G768" s="165"/>
      <c r="H768" s="94"/>
      <c r="I768" s="124"/>
      <c r="J768" s="124"/>
      <c r="K768" s="124"/>
      <c r="L768" s="165"/>
      <c r="M768" s="94"/>
      <c r="N768" s="124"/>
      <c r="O768" s="124"/>
      <c r="P768" s="124"/>
      <c r="Q768" s="165"/>
      <c r="R768" s="130"/>
      <c r="S768" s="115"/>
      <c r="T768" s="115"/>
      <c r="U768" s="115"/>
      <c r="V768" s="157"/>
      <c r="W768" s="94"/>
      <c r="X768" s="124"/>
      <c r="Y768" s="124"/>
      <c r="Z768" s="124"/>
      <c r="AA768" s="165"/>
      <c r="AB768" s="160"/>
    </row>
    <row r="769" spans="1:28" ht="13.5" customHeight="1" thickBot="1" x14ac:dyDescent="0.3">
      <c r="A769" s="152"/>
      <c r="B769" s="155"/>
      <c r="C769" s="95"/>
      <c r="D769" s="125"/>
      <c r="E769" s="125"/>
      <c r="F769" s="125"/>
      <c r="G769" s="166"/>
      <c r="H769" s="95"/>
      <c r="I769" s="125"/>
      <c r="J769" s="125"/>
      <c r="K769" s="125"/>
      <c r="L769" s="166"/>
      <c r="M769" s="95"/>
      <c r="N769" s="125"/>
      <c r="O769" s="125"/>
      <c r="P769" s="125"/>
      <c r="Q769" s="166"/>
      <c r="R769" s="131"/>
      <c r="S769" s="116"/>
      <c r="T769" s="116"/>
      <c r="U769" s="116"/>
      <c r="V769" s="158"/>
      <c r="W769" s="95"/>
      <c r="X769" s="125"/>
      <c r="Y769" s="125"/>
      <c r="Z769" s="125"/>
      <c r="AA769" s="166"/>
      <c r="AB769" s="161"/>
    </row>
    <row r="770" spans="1:28" ht="13.5" customHeight="1" thickTop="1" x14ac:dyDescent="0.25">
      <c r="A770" s="162">
        <f>ESCUADRAS!B148</f>
        <v>142</v>
      </c>
      <c r="B770" s="136">
        <f>ESCUADRAS!C146</f>
        <v>0</v>
      </c>
      <c r="C770" s="93"/>
      <c r="D770" s="123"/>
      <c r="E770" s="123"/>
      <c r="F770" s="123"/>
      <c r="G770" s="164"/>
      <c r="H770" s="93"/>
      <c r="I770" s="123"/>
      <c r="J770" s="123"/>
      <c r="K770" s="123"/>
      <c r="L770" s="164"/>
      <c r="M770" s="129"/>
      <c r="N770" s="114"/>
      <c r="O770" s="114"/>
      <c r="P770" s="114"/>
      <c r="Q770" s="156"/>
      <c r="R770" s="93"/>
      <c r="S770" s="123"/>
      <c r="T770" s="123"/>
      <c r="U770" s="123"/>
      <c r="V770" s="164"/>
      <c r="W770" s="93"/>
      <c r="X770" s="123"/>
      <c r="Y770" s="123"/>
      <c r="Z770" s="123"/>
      <c r="AA770" s="164"/>
      <c r="AB770" s="159"/>
    </row>
    <row r="771" spans="1:28" ht="14.25" customHeight="1" x14ac:dyDescent="0.25">
      <c r="A771" s="141"/>
      <c r="B771" s="137"/>
      <c r="C771" s="94"/>
      <c r="D771" s="124"/>
      <c r="E771" s="124"/>
      <c r="F771" s="124"/>
      <c r="G771" s="165"/>
      <c r="H771" s="94"/>
      <c r="I771" s="124"/>
      <c r="J771" s="124"/>
      <c r="K771" s="124"/>
      <c r="L771" s="165"/>
      <c r="M771" s="130"/>
      <c r="N771" s="115"/>
      <c r="O771" s="115"/>
      <c r="P771" s="115"/>
      <c r="Q771" s="157"/>
      <c r="R771" s="94"/>
      <c r="S771" s="124"/>
      <c r="T771" s="124"/>
      <c r="U771" s="124"/>
      <c r="V771" s="165"/>
      <c r="W771" s="94"/>
      <c r="X771" s="124"/>
      <c r="Y771" s="124"/>
      <c r="Z771" s="124"/>
      <c r="AA771" s="165"/>
      <c r="AB771" s="160"/>
    </row>
    <row r="772" spans="1:28" ht="13.5" customHeight="1" thickBot="1" x14ac:dyDescent="0.3">
      <c r="A772" s="163"/>
      <c r="B772" s="138"/>
      <c r="C772" s="95"/>
      <c r="D772" s="125"/>
      <c r="E772" s="125"/>
      <c r="F772" s="125"/>
      <c r="G772" s="166"/>
      <c r="H772" s="95"/>
      <c r="I772" s="125"/>
      <c r="J772" s="125"/>
      <c r="K772" s="125"/>
      <c r="L772" s="166"/>
      <c r="M772" s="131"/>
      <c r="N772" s="116"/>
      <c r="O772" s="116"/>
      <c r="P772" s="116"/>
      <c r="Q772" s="158"/>
      <c r="R772" s="95"/>
      <c r="S772" s="125"/>
      <c r="T772" s="125"/>
      <c r="U772" s="125"/>
      <c r="V772" s="166"/>
      <c r="W772" s="95"/>
      <c r="X772" s="125"/>
      <c r="Y772" s="125"/>
      <c r="Z772" s="125"/>
      <c r="AA772" s="166"/>
      <c r="AB772" s="161"/>
    </row>
    <row r="773" spans="1:28" ht="14.25" customHeight="1" thickTop="1" x14ac:dyDescent="0.25">
      <c r="A773" s="150">
        <f>ESCUADRAS!B149</f>
        <v>143</v>
      </c>
      <c r="B773" s="153">
        <f>ESCUADRAS!C147</f>
        <v>0</v>
      </c>
      <c r="C773" s="93"/>
      <c r="D773" s="123"/>
      <c r="E773" s="123"/>
      <c r="F773" s="123"/>
      <c r="G773" s="164"/>
      <c r="H773" s="129"/>
      <c r="I773" s="114"/>
      <c r="J773" s="114"/>
      <c r="K773" s="114"/>
      <c r="L773" s="156"/>
      <c r="M773" s="93"/>
      <c r="N773" s="123"/>
      <c r="O773" s="123"/>
      <c r="P773" s="123"/>
      <c r="Q773" s="164"/>
      <c r="R773" s="93"/>
      <c r="S773" s="123"/>
      <c r="T773" s="123"/>
      <c r="U773" s="123"/>
      <c r="V773" s="164"/>
      <c r="W773" s="93"/>
      <c r="X773" s="123"/>
      <c r="Y773" s="123"/>
      <c r="Z773" s="123"/>
      <c r="AA773" s="164"/>
      <c r="AB773" s="159"/>
    </row>
    <row r="774" spans="1:28" ht="14.25" customHeight="1" x14ac:dyDescent="0.25">
      <c r="A774" s="151"/>
      <c r="B774" s="154"/>
      <c r="C774" s="94"/>
      <c r="D774" s="124"/>
      <c r="E774" s="124"/>
      <c r="F774" s="124"/>
      <c r="G774" s="165"/>
      <c r="H774" s="130"/>
      <c r="I774" s="115"/>
      <c r="J774" s="115"/>
      <c r="K774" s="115"/>
      <c r="L774" s="157"/>
      <c r="M774" s="94"/>
      <c r="N774" s="124"/>
      <c r="O774" s="124"/>
      <c r="P774" s="124"/>
      <c r="Q774" s="165"/>
      <c r="R774" s="94"/>
      <c r="S774" s="124"/>
      <c r="T774" s="124"/>
      <c r="U774" s="124"/>
      <c r="V774" s="165"/>
      <c r="W774" s="94"/>
      <c r="X774" s="124"/>
      <c r="Y774" s="124"/>
      <c r="Z774" s="124"/>
      <c r="AA774" s="165"/>
      <c r="AB774" s="160"/>
    </row>
    <row r="775" spans="1:28" ht="13.5" customHeight="1" thickBot="1" x14ac:dyDescent="0.3">
      <c r="A775" s="152"/>
      <c r="B775" s="155"/>
      <c r="C775" s="95"/>
      <c r="D775" s="125"/>
      <c r="E775" s="125"/>
      <c r="F775" s="125"/>
      <c r="G775" s="166"/>
      <c r="H775" s="131"/>
      <c r="I775" s="116"/>
      <c r="J775" s="116"/>
      <c r="K775" s="116"/>
      <c r="L775" s="158"/>
      <c r="M775" s="95"/>
      <c r="N775" s="125"/>
      <c r="O775" s="125"/>
      <c r="P775" s="125"/>
      <c r="Q775" s="166"/>
      <c r="R775" s="95"/>
      <c r="S775" s="125"/>
      <c r="T775" s="125"/>
      <c r="U775" s="125"/>
      <c r="V775" s="166"/>
      <c r="W775" s="95"/>
      <c r="X775" s="125"/>
      <c r="Y775" s="125"/>
      <c r="Z775" s="125"/>
      <c r="AA775" s="166"/>
      <c r="AB775" s="161"/>
    </row>
    <row r="776" spans="1:28" ht="13.5" customHeight="1" thickTop="1" x14ac:dyDescent="0.25">
      <c r="A776" s="162">
        <f>ESCUADRAS!B150</f>
        <v>144</v>
      </c>
      <c r="B776" s="136">
        <f>ESCUADRAS!C148</f>
        <v>0</v>
      </c>
      <c r="C776" s="129"/>
      <c r="D776" s="114"/>
      <c r="E776" s="114"/>
      <c r="F776" s="114"/>
      <c r="G776" s="156"/>
      <c r="H776" s="93"/>
      <c r="I776" s="123"/>
      <c r="J776" s="123"/>
      <c r="K776" s="123"/>
      <c r="L776" s="164"/>
      <c r="M776" s="93"/>
      <c r="N776" s="123"/>
      <c r="O776" s="123"/>
      <c r="P776" s="123"/>
      <c r="Q776" s="164"/>
      <c r="R776" s="93"/>
      <c r="S776" s="123"/>
      <c r="T776" s="123"/>
      <c r="U776" s="123"/>
      <c r="V776" s="164"/>
      <c r="W776" s="93"/>
      <c r="X776" s="123"/>
      <c r="Y776" s="123"/>
      <c r="Z776" s="123"/>
      <c r="AA776" s="164"/>
      <c r="AB776" s="159"/>
    </row>
    <row r="777" spans="1:28" ht="14.25" customHeight="1" x14ac:dyDescent="0.25">
      <c r="A777" s="141"/>
      <c r="B777" s="137"/>
      <c r="C777" s="130"/>
      <c r="D777" s="115"/>
      <c r="E777" s="115"/>
      <c r="F777" s="115"/>
      <c r="G777" s="157"/>
      <c r="H777" s="94"/>
      <c r="I777" s="124"/>
      <c r="J777" s="124"/>
      <c r="K777" s="124"/>
      <c r="L777" s="165"/>
      <c r="M777" s="94"/>
      <c r="N777" s="124"/>
      <c r="O777" s="124"/>
      <c r="P777" s="124"/>
      <c r="Q777" s="165"/>
      <c r="R777" s="94"/>
      <c r="S777" s="124"/>
      <c r="T777" s="124"/>
      <c r="U777" s="124"/>
      <c r="V777" s="165"/>
      <c r="W777" s="94"/>
      <c r="X777" s="124"/>
      <c r="Y777" s="124"/>
      <c r="Z777" s="124"/>
      <c r="AA777" s="165"/>
      <c r="AB777" s="160"/>
    </row>
    <row r="778" spans="1:28" ht="13.5" customHeight="1" thickBot="1" x14ac:dyDescent="0.3">
      <c r="A778" s="142"/>
      <c r="B778" s="138"/>
      <c r="C778" s="131"/>
      <c r="D778" s="116"/>
      <c r="E778" s="116"/>
      <c r="F778" s="116"/>
      <c r="G778" s="158"/>
      <c r="H778" s="95"/>
      <c r="I778" s="125"/>
      <c r="J778" s="125"/>
      <c r="K778" s="125"/>
      <c r="L778" s="166"/>
      <c r="M778" s="95"/>
      <c r="N778" s="125"/>
      <c r="O778" s="125"/>
      <c r="P778" s="125"/>
      <c r="Q778" s="166"/>
      <c r="R778" s="95"/>
      <c r="S778" s="125"/>
      <c r="T778" s="125"/>
      <c r="U778" s="125"/>
      <c r="V778" s="166"/>
      <c r="W778" s="95"/>
      <c r="X778" s="125"/>
      <c r="Y778" s="125"/>
      <c r="Z778" s="125"/>
      <c r="AA778" s="166"/>
      <c r="AB778" s="161"/>
    </row>
    <row r="780" spans="1:28" ht="15" x14ac:dyDescent="0.25">
      <c r="A780" s="28"/>
      <c r="B780" s="26" t="s">
        <v>35</v>
      </c>
      <c r="E780" s="21" t="s">
        <v>41</v>
      </c>
      <c r="I780" s="21" t="s">
        <v>42</v>
      </c>
      <c r="M780" s="21" t="s">
        <v>43</v>
      </c>
      <c r="Q780" s="21" t="s">
        <v>44</v>
      </c>
      <c r="U780" s="21" t="s">
        <v>45</v>
      </c>
      <c r="Y780" s="21" t="s">
        <v>46</v>
      </c>
    </row>
    <row r="787" spans="1:32" ht="24.6" x14ac:dyDescent="0.25">
      <c r="A787" s="144" t="str">
        <f>'INSCRIPCION '!A$1</f>
        <v>TIRADA</v>
      </c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</row>
    <row r="788" spans="1:32" ht="24.6" x14ac:dyDescent="0.4">
      <c r="A788" s="23"/>
      <c r="B788" s="23"/>
    </row>
    <row r="789" spans="1:32" ht="22.8" x14ac:dyDescent="0.25">
      <c r="A789" s="132" t="str">
        <f>'INSCRIPCION '!A$2</f>
        <v>CAMPO DE TIRO LA ISLA</v>
      </c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</row>
    <row r="790" spans="1:32" ht="20.399999999999999" x14ac:dyDescent="0.25">
      <c r="A790" s="143" t="str">
        <f>'INSCRIPCION '!A$3</f>
        <v>XXX PLATOS</v>
      </c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</row>
    <row r="791" spans="1:32" ht="22.8" x14ac:dyDescent="0.4">
      <c r="A791" s="24"/>
      <c r="B791" s="24"/>
    </row>
    <row r="792" spans="1:32" ht="17.399999999999999" x14ac:dyDescent="0.3">
      <c r="A792" s="25" t="s">
        <v>34</v>
      </c>
      <c r="B792" s="25"/>
      <c r="J792" s="9" t="s">
        <v>6</v>
      </c>
      <c r="K792" s="9"/>
      <c r="L792" s="9"/>
      <c r="M792" s="9"/>
      <c r="N792" s="9"/>
      <c r="O792" s="22">
        <v>3</v>
      </c>
      <c r="P792" s="22"/>
      <c r="Q792" s="8"/>
      <c r="R792" s="8"/>
      <c r="S792" s="7"/>
      <c r="T792" s="8"/>
      <c r="U792" s="8"/>
      <c r="V792" s="9" t="s">
        <v>7</v>
      </c>
      <c r="W792" s="9"/>
      <c r="X792" s="9"/>
      <c r="Y792" s="9"/>
      <c r="Z792" s="22">
        <v>3</v>
      </c>
      <c r="AA792" s="22"/>
    </row>
    <row r="793" spans="1:32" ht="13.8" thickBot="1" x14ac:dyDescent="0.3"/>
    <row r="794" spans="1:32" ht="15.6" thickBot="1" x14ac:dyDescent="0.3">
      <c r="A794" s="27" t="s">
        <v>0</v>
      </c>
      <c r="B794" s="27" t="s">
        <v>8</v>
      </c>
      <c r="C794" s="47">
        <v>1</v>
      </c>
      <c r="D794" s="48">
        <v>2</v>
      </c>
      <c r="E794" s="48">
        <v>3</v>
      </c>
      <c r="F794" s="48">
        <v>4</v>
      </c>
      <c r="G794" s="49">
        <v>5</v>
      </c>
      <c r="H794" s="47">
        <v>6</v>
      </c>
      <c r="I794" s="48">
        <v>7</v>
      </c>
      <c r="J794" s="48">
        <v>8</v>
      </c>
      <c r="K794" s="48">
        <v>9</v>
      </c>
      <c r="L794" s="49">
        <v>10</v>
      </c>
      <c r="M794" s="47">
        <v>11</v>
      </c>
      <c r="N794" s="48">
        <v>12</v>
      </c>
      <c r="O794" s="48">
        <v>13</v>
      </c>
      <c r="P794" s="48">
        <v>14</v>
      </c>
      <c r="Q794" s="49">
        <v>15</v>
      </c>
      <c r="R794" s="47">
        <v>16</v>
      </c>
      <c r="S794" s="48">
        <v>17</v>
      </c>
      <c r="T794" s="48">
        <v>18</v>
      </c>
      <c r="U794" s="48">
        <v>19</v>
      </c>
      <c r="V794" s="49">
        <v>20</v>
      </c>
      <c r="W794" s="47">
        <v>21</v>
      </c>
      <c r="X794" s="48">
        <v>22</v>
      </c>
      <c r="Y794" s="48">
        <v>23</v>
      </c>
      <c r="Z794" s="48">
        <v>24</v>
      </c>
      <c r="AA794" s="49">
        <v>25</v>
      </c>
      <c r="AB794" s="30" t="s">
        <v>1</v>
      </c>
    </row>
    <row r="795" spans="1:32" ht="14.25" customHeight="1" thickTop="1" x14ac:dyDescent="0.25">
      <c r="A795" s="150">
        <f>ESCUADRAS!B151</f>
        <v>145</v>
      </c>
      <c r="B795" s="153">
        <f>ESCUADRAS!C155</f>
        <v>0</v>
      </c>
      <c r="C795" s="129"/>
      <c r="D795" s="114"/>
      <c r="E795" s="114"/>
      <c r="F795" s="114"/>
      <c r="G795" s="156"/>
      <c r="H795" s="129"/>
      <c r="I795" s="114"/>
      <c r="J795" s="114"/>
      <c r="K795" s="114"/>
      <c r="L795" s="156"/>
      <c r="M795" s="129"/>
      <c r="N795" s="114"/>
      <c r="O795" s="114"/>
      <c r="P795" s="114"/>
      <c r="Q795" s="156"/>
      <c r="R795" s="129"/>
      <c r="S795" s="114"/>
      <c r="T795" s="114"/>
      <c r="U795" s="114"/>
      <c r="V795" s="156"/>
      <c r="W795" s="129"/>
      <c r="X795" s="114"/>
      <c r="Y795" s="114"/>
      <c r="Z795" s="114"/>
      <c r="AA795" s="156"/>
      <c r="AB795" s="159"/>
    </row>
    <row r="796" spans="1:32" ht="14.25" customHeight="1" x14ac:dyDescent="0.25">
      <c r="A796" s="151"/>
      <c r="B796" s="154"/>
      <c r="C796" s="130"/>
      <c r="D796" s="115"/>
      <c r="E796" s="115"/>
      <c r="F796" s="115"/>
      <c r="G796" s="157"/>
      <c r="H796" s="130"/>
      <c r="I796" s="115"/>
      <c r="J796" s="115"/>
      <c r="K796" s="115"/>
      <c r="L796" s="157"/>
      <c r="M796" s="130"/>
      <c r="N796" s="115"/>
      <c r="O796" s="115"/>
      <c r="P796" s="115"/>
      <c r="Q796" s="157"/>
      <c r="R796" s="130"/>
      <c r="S796" s="115"/>
      <c r="T796" s="115"/>
      <c r="U796" s="115"/>
      <c r="V796" s="157"/>
      <c r="W796" s="130"/>
      <c r="X796" s="115"/>
      <c r="Y796" s="115"/>
      <c r="Z796" s="115"/>
      <c r="AA796" s="157"/>
      <c r="AB796" s="160"/>
    </row>
    <row r="797" spans="1:32" ht="13.5" customHeight="1" thickBot="1" x14ac:dyDescent="0.3">
      <c r="A797" s="152"/>
      <c r="B797" s="155"/>
      <c r="C797" s="131"/>
      <c r="D797" s="116"/>
      <c r="E797" s="116"/>
      <c r="F797" s="116"/>
      <c r="G797" s="158"/>
      <c r="H797" s="131"/>
      <c r="I797" s="116"/>
      <c r="J797" s="116"/>
      <c r="K797" s="116"/>
      <c r="L797" s="158"/>
      <c r="M797" s="131"/>
      <c r="N797" s="116"/>
      <c r="O797" s="116"/>
      <c r="P797" s="116"/>
      <c r="Q797" s="158"/>
      <c r="R797" s="131"/>
      <c r="S797" s="116"/>
      <c r="T797" s="116"/>
      <c r="U797" s="116"/>
      <c r="V797" s="158"/>
      <c r="W797" s="131"/>
      <c r="X797" s="116"/>
      <c r="Y797" s="116"/>
      <c r="Z797" s="116"/>
      <c r="AA797" s="158"/>
      <c r="AB797" s="161"/>
    </row>
    <row r="798" spans="1:32" ht="14.25" customHeight="1" thickTop="1" x14ac:dyDescent="0.25">
      <c r="A798" s="162">
        <f>ESCUADRAS!B152</f>
        <v>146</v>
      </c>
      <c r="B798" s="136">
        <f>ESCUADRAS!C156</f>
        <v>0</v>
      </c>
      <c r="C798" s="93"/>
      <c r="D798" s="123"/>
      <c r="E798" s="123"/>
      <c r="F798" s="123"/>
      <c r="G798" s="164"/>
      <c r="H798" s="93"/>
      <c r="I798" s="123"/>
      <c r="J798" s="123"/>
      <c r="K798" s="123"/>
      <c r="L798" s="164"/>
      <c r="M798" s="93"/>
      <c r="N798" s="123"/>
      <c r="O798" s="123"/>
      <c r="P798" s="123"/>
      <c r="Q798" s="164"/>
      <c r="R798" s="93"/>
      <c r="S798" s="123"/>
      <c r="T798" s="123"/>
      <c r="U798" s="123"/>
      <c r="V798" s="164"/>
      <c r="W798" s="129"/>
      <c r="X798" s="114"/>
      <c r="Y798" s="114"/>
      <c r="Z798" s="114"/>
      <c r="AA798" s="156"/>
      <c r="AB798" s="159"/>
    </row>
    <row r="799" spans="1:32" ht="14.25" customHeight="1" x14ac:dyDescent="0.25">
      <c r="A799" s="141"/>
      <c r="B799" s="137"/>
      <c r="C799" s="94"/>
      <c r="D799" s="124"/>
      <c r="E799" s="124"/>
      <c r="F799" s="124"/>
      <c r="G799" s="165"/>
      <c r="H799" s="94"/>
      <c r="I799" s="124"/>
      <c r="J799" s="124"/>
      <c r="K799" s="124"/>
      <c r="L799" s="165"/>
      <c r="M799" s="94"/>
      <c r="N799" s="124"/>
      <c r="O799" s="124"/>
      <c r="P799" s="124"/>
      <c r="Q799" s="165"/>
      <c r="R799" s="94"/>
      <c r="S799" s="124"/>
      <c r="T799" s="124"/>
      <c r="U799" s="124"/>
      <c r="V799" s="165"/>
      <c r="W799" s="130"/>
      <c r="X799" s="115"/>
      <c r="Y799" s="115"/>
      <c r="Z799" s="115"/>
      <c r="AA799" s="157"/>
      <c r="AB799" s="160"/>
    </row>
    <row r="800" spans="1:32" ht="13.5" customHeight="1" thickBot="1" x14ac:dyDescent="0.3">
      <c r="A800" s="163"/>
      <c r="B800" s="138"/>
      <c r="C800" s="95"/>
      <c r="D800" s="125"/>
      <c r="E800" s="125"/>
      <c r="F800" s="125"/>
      <c r="G800" s="166"/>
      <c r="H800" s="95"/>
      <c r="I800" s="125"/>
      <c r="J800" s="125"/>
      <c r="K800" s="125"/>
      <c r="L800" s="166"/>
      <c r="M800" s="95"/>
      <c r="N800" s="125"/>
      <c r="O800" s="125"/>
      <c r="P800" s="125"/>
      <c r="Q800" s="166"/>
      <c r="R800" s="95"/>
      <c r="S800" s="125"/>
      <c r="T800" s="125"/>
      <c r="U800" s="125"/>
      <c r="V800" s="166"/>
      <c r="W800" s="131"/>
      <c r="X800" s="116"/>
      <c r="Y800" s="116"/>
      <c r="Z800" s="116"/>
      <c r="AA800" s="158"/>
      <c r="AB800" s="161"/>
    </row>
    <row r="801" spans="1:28" ht="14.25" customHeight="1" thickTop="1" x14ac:dyDescent="0.25">
      <c r="A801" s="150">
        <f>ESCUADRAS!B153</f>
        <v>147</v>
      </c>
      <c r="B801" s="153">
        <f>ESCUADRAS!C151</f>
        <v>0</v>
      </c>
      <c r="C801" s="93"/>
      <c r="D801" s="123"/>
      <c r="E801" s="123"/>
      <c r="F801" s="123"/>
      <c r="G801" s="164"/>
      <c r="H801" s="93"/>
      <c r="I801" s="123"/>
      <c r="J801" s="123"/>
      <c r="K801" s="123"/>
      <c r="L801" s="164"/>
      <c r="M801" s="93"/>
      <c r="N801" s="123"/>
      <c r="O801" s="123"/>
      <c r="P801" s="123"/>
      <c r="Q801" s="164"/>
      <c r="R801" s="129"/>
      <c r="S801" s="114"/>
      <c r="T801" s="114"/>
      <c r="U801" s="114"/>
      <c r="V801" s="156"/>
      <c r="W801" s="93"/>
      <c r="X801" s="123"/>
      <c r="Y801" s="123"/>
      <c r="Z801" s="123"/>
      <c r="AA801" s="164"/>
      <c r="AB801" s="159"/>
    </row>
    <row r="802" spans="1:28" ht="14.25" customHeight="1" x14ac:dyDescent="0.25">
      <c r="A802" s="151"/>
      <c r="B802" s="154"/>
      <c r="C802" s="94"/>
      <c r="D802" s="124"/>
      <c r="E802" s="124"/>
      <c r="F802" s="124"/>
      <c r="G802" s="165"/>
      <c r="H802" s="94"/>
      <c r="I802" s="124"/>
      <c r="J802" s="124"/>
      <c r="K802" s="124"/>
      <c r="L802" s="165"/>
      <c r="M802" s="94"/>
      <c r="N802" s="124"/>
      <c r="O802" s="124"/>
      <c r="P802" s="124"/>
      <c r="Q802" s="165"/>
      <c r="R802" s="130"/>
      <c r="S802" s="115"/>
      <c r="T802" s="115"/>
      <c r="U802" s="115"/>
      <c r="V802" s="157"/>
      <c r="W802" s="94"/>
      <c r="X802" s="124"/>
      <c r="Y802" s="124"/>
      <c r="Z802" s="124"/>
      <c r="AA802" s="165"/>
      <c r="AB802" s="160"/>
    </row>
    <row r="803" spans="1:28" ht="13.5" customHeight="1" thickBot="1" x14ac:dyDescent="0.3">
      <c r="A803" s="152"/>
      <c r="B803" s="155"/>
      <c r="C803" s="95"/>
      <c r="D803" s="125"/>
      <c r="E803" s="125"/>
      <c r="F803" s="125"/>
      <c r="G803" s="166"/>
      <c r="H803" s="95"/>
      <c r="I803" s="125"/>
      <c r="J803" s="125"/>
      <c r="K803" s="125"/>
      <c r="L803" s="166"/>
      <c r="M803" s="95"/>
      <c r="N803" s="125"/>
      <c r="O803" s="125"/>
      <c r="P803" s="125"/>
      <c r="Q803" s="166"/>
      <c r="R803" s="131"/>
      <c r="S803" s="116"/>
      <c r="T803" s="116"/>
      <c r="U803" s="116"/>
      <c r="V803" s="158"/>
      <c r="W803" s="95"/>
      <c r="X803" s="125"/>
      <c r="Y803" s="125"/>
      <c r="Z803" s="125"/>
      <c r="AA803" s="166"/>
      <c r="AB803" s="161"/>
    </row>
    <row r="804" spans="1:28" ht="13.5" customHeight="1" thickTop="1" x14ac:dyDescent="0.25">
      <c r="A804" s="162">
        <f>ESCUADRAS!B154</f>
        <v>148</v>
      </c>
      <c r="B804" s="136">
        <f>ESCUADRAS!C152</f>
        <v>0</v>
      </c>
      <c r="C804" s="93"/>
      <c r="D804" s="123"/>
      <c r="E804" s="123"/>
      <c r="F804" s="123"/>
      <c r="G804" s="164"/>
      <c r="H804" s="93"/>
      <c r="I804" s="123"/>
      <c r="J804" s="123"/>
      <c r="K804" s="123"/>
      <c r="L804" s="164"/>
      <c r="M804" s="129"/>
      <c r="N804" s="114"/>
      <c r="O804" s="114"/>
      <c r="P804" s="114"/>
      <c r="Q804" s="156"/>
      <c r="R804" s="93"/>
      <c r="S804" s="123"/>
      <c r="T804" s="123"/>
      <c r="U804" s="123"/>
      <c r="V804" s="164"/>
      <c r="W804" s="93"/>
      <c r="X804" s="123"/>
      <c r="Y804" s="123"/>
      <c r="Z804" s="123"/>
      <c r="AA804" s="164"/>
      <c r="AB804" s="159"/>
    </row>
    <row r="805" spans="1:28" ht="14.25" customHeight="1" x14ac:dyDescent="0.25">
      <c r="A805" s="141"/>
      <c r="B805" s="137"/>
      <c r="C805" s="94"/>
      <c r="D805" s="124"/>
      <c r="E805" s="124"/>
      <c r="F805" s="124"/>
      <c r="G805" s="165"/>
      <c r="H805" s="94"/>
      <c r="I805" s="124"/>
      <c r="J805" s="124"/>
      <c r="K805" s="124"/>
      <c r="L805" s="165"/>
      <c r="M805" s="130"/>
      <c r="N805" s="115"/>
      <c r="O805" s="115"/>
      <c r="P805" s="115"/>
      <c r="Q805" s="157"/>
      <c r="R805" s="94"/>
      <c r="S805" s="124"/>
      <c r="T805" s="124"/>
      <c r="U805" s="124"/>
      <c r="V805" s="165"/>
      <c r="W805" s="94"/>
      <c r="X805" s="124"/>
      <c r="Y805" s="124"/>
      <c r="Z805" s="124"/>
      <c r="AA805" s="165"/>
      <c r="AB805" s="160"/>
    </row>
    <row r="806" spans="1:28" ht="13.5" customHeight="1" thickBot="1" x14ac:dyDescent="0.3">
      <c r="A806" s="163"/>
      <c r="B806" s="138"/>
      <c r="C806" s="95"/>
      <c r="D806" s="125"/>
      <c r="E806" s="125"/>
      <c r="F806" s="125"/>
      <c r="G806" s="166"/>
      <c r="H806" s="95"/>
      <c r="I806" s="125"/>
      <c r="J806" s="125"/>
      <c r="K806" s="125"/>
      <c r="L806" s="166"/>
      <c r="M806" s="131"/>
      <c r="N806" s="116"/>
      <c r="O806" s="116"/>
      <c r="P806" s="116"/>
      <c r="Q806" s="158"/>
      <c r="R806" s="95"/>
      <c r="S806" s="125"/>
      <c r="T806" s="125"/>
      <c r="U806" s="125"/>
      <c r="V806" s="166"/>
      <c r="W806" s="95"/>
      <c r="X806" s="125"/>
      <c r="Y806" s="125"/>
      <c r="Z806" s="125"/>
      <c r="AA806" s="166"/>
      <c r="AB806" s="161"/>
    </row>
    <row r="807" spans="1:28" ht="14.25" customHeight="1" thickTop="1" x14ac:dyDescent="0.25">
      <c r="A807" s="150">
        <f>ESCUADRAS!B155</f>
        <v>149</v>
      </c>
      <c r="B807" s="153">
        <f>ESCUADRAS!C153</f>
        <v>0</v>
      </c>
      <c r="C807" s="93"/>
      <c r="D807" s="123"/>
      <c r="E807" s="123"/>
      <c r="F807" s="123"/>
      <c r="G807" s="164"/>
      <c r="H807" s="129"/>
      <c r="I807" s="114"/>
      <c r="J807" s="114"/>
      <c r="K807" s="114"/>
      <c r="L807" s="156"/>
      <c r="M807" s="93"/>
      <c r="N807" s="123"/>
      <c r="O807" s="123"/>
      <c r="P807" s="123"/>
      <c r="Q807" s="164"/>
      <c r="R807" s="93"/>
      <c r="S807" s="123"/>
      <c r="T807" s="123"/>
      <c r="U807" s="123"/>
      <c r="V807" s="164"/>
      <c r="W807" s="93"/>
      <c r="X807" s="123"/>
      <c r="Y807" s="123"/>
      <c r="Z807" s="123"/>
      <c r="AA807" s="164"/>
      <c r="AB807" s="159"/>
    </row>
    <row r="808" spans="1:28" ht="14.25" customHeight="1" x14ac:dyDescent="0.25">
      <c r="A808" s="151"/>
      <c r="B808" s="154"/>
      <c r="C808" s="94"/>
      <c r="D808" s="124"/>
      <c r="E808" s="124"/>
      <c r="F808" s="124"/>
      <c r="G808" s="165"/>
      <c r="H808" s="130"/>
      <c r="I808" s="115"/>
      <c r="J808" s="115"/>
      <c r="K808" s="115"/>
      <c r="L808" s="157"/>
      <c r="M808" s="94"/>
      <c r="N808" s="124"/>
      <c r="O808" s="124"/>
      <c r="P808" s="124"/>
      <c r="Q808" s="165"/>
      <c r="R808" s="94"/>
      <c r="S808" s="124"/>
      <c r="T808" s="124"/>
      <c r="U808" s="124"/>
      <c r="V808" s="165"/>
      <c r="W808" s="94"/>
      <c r="X808" s="124"/>
      <c r="Y808" s="124"/>
      <c r="Z808" s="124"/>
      <c r="AA808" s="165"/>
      <c r="AB808" s="160"/>
    </row>
    <row r="809" spans="1:28" ht="13.5" customHeight="1" thickBot="1" x14ac:dyDescent="0.3">
      <c r="A809" s="152"/>
      <c r="B809" s="155"/>
      <c r="C809" s="95"/>
      <c r="D809" s="125"/>
      <c r="E809" s="125"/>
      <c r="F809" s="125"/>
      <c r="G809" s="166"/>
      <c r="H809" s="131"/>
      <c r="I809" s="116"/>
      <c r="J809" s="116"/>
      <c r="K809" s="116"/>
      <c r="L809" s="158"/>
      <c r="M809" s="95"/>
      <c r="N809" s="125"/>
      <c r="O809" s="125"/>
      <c r="P809" s="125"/>
      <c r="Q809" s="166"/>
      <c r="R809" s="95"/>
      <c r="S809" s="125"/>
      <c r="T809" s="125"/>
      <c r="U809" s="125"/>
      <c r="V809" s="166"/>
      <c r="W809" s="95"/>
      <c r="X809" s="125"/>
      <c r="Y809" s="125"/>
      <c r="Z809" s="125"/>
      <c r="AA809" s="166"/>
      <c r="AB809" s="161"/>
    </row>
    <row r="810" spans="1:28" ht="13.5" customHeight="1" thickTop="1" x14ac:dyDescent="0.25">
      <c r="A810" s="162">
        <f>ESCUADRAS!B156</f>
        <v>150</v>
      </c>
      <c r="B810" s="136">
        <f>ESCUADRAS!C154</f>
        <v>0</v>
      </c>
      <c r="C810" s="129"/>
      <c r="D810" s="114"/>
      <c r="E810" s="114"/>
      <c r="F810" s="114"/>
      <c r="G810" s="156"/>
      <c r="H810" s="93"/>
      <c r="I810" s="123"/>
      <c r="J810" s="123"/>
      <c r="K810" s="123"/>
      <c r="L810" s="164"/>
      <c r="M810" s="93"/>
      <c r="N810" s="123"/>
      <c r="O810" s="123"/>
      <c r="P810" s="123"/>
      <c r="Q810" s="164"/>
      <c r="R810" s="93"/>
      <c r="S810" s="123"/>
      <c r="T810" s="123"/>
      <c r="U810" s="123"/>
      <c r="V810" s="164"/>
      <c r="W810" s="93"/>
      <c r="X810" s="123"/>
      <c r="Y810" s="123"/>
      <c r="Z810" s="123"/>
      <c r="AA810" s="164"/>
      <c r="AB810" s="159"/>
    </row>
    <row r="811" spans="1:28" ht="14.25" customHeight="1" x14ac:dyDescent="0.25">
      <c r="A811" s="141"/>
      <c r="B811" s="137"/>
      <c r="C811" s="130"/>
      <c r="D811" s="115"/>
      <c r="E811" s="115"/>
      <c r="F811" s="115"/>
      <c r="G811" s="157"/>
      <c r="H811" s="94"/>
      <c r="I811" s="124"/>
      <c r="J811" s="124"/>
      <c r="K811" s="124"/>
      <c r="L811" s="165"/>
      <c r="M811" s="94"/>
      <c r="N811" s="124"/>
      <c r="O811" s="124"/>
      <c r="P811" s="124"/>
      <c r="Q811" s="165"/>
      <c r="R811" s="94"/>
      <c r="S811" s="124"/>
      <c r="T811" s="124"/>
      <c r="U811" s="124"/>
      <c r="V811" s="165"/>
      <c r="W811" s="94"/>
      <c r="X811" s="124"/>
      <c r="Y811" s="124"/>
      <c r="Z811" s="124"/>
      <c r="AA811" s="165"/>
      <c r="AB811" s="160"/>
    </row>
    <row r="812" spans="1:28" ht="13.5" customHeight="1" thickBot="1" x14ac:dyDescent="0.3">
      <c r="A812" s="142"/>
      <c r="B812" s="138"/>
      <c r="C812" s="131"/>
      <c r="D812" s="116"/>
      <c r="E812" s="116"/>
      <c r="F812" s="116"/>
      <c r="G812" s="158"/>
      <c r="H812" s="95"/>
      <c r="I812" s="125"/>
      <c r="J812" s="125"/>
      <c r="K812" s="125"/>
      <c r="L812" s="166"/>
      <c r="M812" s="95"/>
      <c r="N812" s="125"/>
      <c r="O812" s="125"/>
      <c r="P812" s="125"/>
      <c r="Q812" s="166"/>
      <c r="R812" s="95"/>
      <c r="S812" s="125"/>
      <c r="T812" s="125"/>
      <c r="U812" s="125"/>
      <c r="V812" s="166"/>
      <c r="W812" s="95"/>
      <c r="X812" s="125"/>
      <c r="Y812" s="125"/>
      <c r="Z812" s="125"/>
      <c r="AA812" s="166"/>
      <c r="AB812" s="161"/>
    </row>
    <row r="814" spans="1:28" ht="15" x14ac:dyDescent="0.25">
      <c r="A814" s="28"/>
      <c r="B814" s="26" t="s">
        <v>35</v>
      </c>
      <c r="E814" s="21" t="s">
        <v>41</v>
      </c>
      <c r="I814" s="21" t="s">
        <v>42</v>
      </c>
      <c r="M814" s="21" t="s">
        <v>43</v>
      </c>
      <c r="Q814" s="21" t="s">
        <v>44</v>
      </c>
      <c r="U814" s="21" t="s">
        <v>45</v>
      </c>
      <c r="Y814" s="21" t="s">
        <v>46</v>
      </c>
    </row>
    <row r="821" spans="1:32" ht="24.6" x14ac:dyDescent="0.25">
      <c r="A821" s="144" t="str">
        <f>'INSCRIPCION '!A$1</f>
        <v>TIRADA</v>
      </c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</row>
    <row r="822" spans="1:32" ht="24.6" x14ac:dyDescent="0.4">
      <c r="A822" s="23"/>
      <c r="B822" s="23"/>
    </row>
    <row r="823" spans="1:32" ht="22.8" x14ac:dyDescent="0.25">
      <c r="A823" s="132" t="str">
        <f>'INSCRIPCION '!A$2</f>
        <v>CAMPO DE TIRO LA ISLA</v>
      </c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</row>
    <row r="824" spans="1:32" ht="20.399999999999999" x14ac:dyDescent="0.25">
      <c r="A824" s="143" t="str">
        <f>'INSCRIPCION '!A$3</f>
        <v>XXX PLATOS</v>
      </c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</row>
    <row r="825" spans="1:32" ht="22.8" x14ac:dyDescent="0.4">
      <c r="A825" s="24"/>
      <c r="B825" s="24"/>
    </row>
    <row r="826" spans="1:32" ht="17.399999999999999" x14ac:dyDescent="0.3">
      <c r="A826" s="25" t="s">
        <v>36</v>
      </c>
      <c r="B826" s="25"/>
      <c r="J826" s="9" t="s">
        <v>6</v>
      </c>
      <c r="K826" s="9"/>
      <c r="L826" s="9"/>
      <c r="M826" s="9"/>
      <c r="N826" s="9"/>
      <c r="O826" s="22">
        <v>4</v>
      </c>
      <c r="P826" s="22"/>
      <c r="Q826" s="8"/>
      <c r="R826" s="8"/>
      <c r="S826" s="7"/>
      <c r="T826" s="8"/>
      <c r="U826" s="8"/>
      <c r="V826" s="9" t="s">
        <v>7</v>
      </c>
      <c r="W826" s="9"/>
      <c r="X826" s="9"/>
      <c r="Y826" s="9"/>
      <c r="Z826" s="22">
        <v>3</v>
      </c>
      <c r="AA826" s="22"/>
    </row>
    <row r="827" spans="1:32" ht="13.8" thickBot="1" x14ac:dyDescent="0.3"/>
    <row r="828" spans="1:32" ht="15.6" thickBot="1" x14ac:dyDescent="0.3">
      <c r="A828" s="27" t="s">
        <v>0</v>
      </c>
      <c r="B828" s="27" t="s">
        <v>8</v>
      </c>
      <c r="C828" s="47">
        <v>1</v>
      </c>
      <c r="D828" s="48">
        <v>2</v>
      </c>
      <c r="E828" s="48">
        <v>3</v>
      </c>
      <c r="F828" s="48">
        <v>4</v>
      </c>
      <c r="G828" s="49">
        <v>5</v>
      </c>
      <c r="H828" s="47">
        <v>6</v>
      </c>
      <c r="I828" s="48">
        <v>7</v>
      </c>
      <c r="J828" s="48">
        <v>8</v>
      </c>
      <c r="K828" s="48">
        <v>9</v>
      </c>
      <c r="L828" s="49">
        <v>10</v>
      </c>
      <c r="M828" s="47">
        <v>11</v>
      </c>
      <c r="N828" s="48">
        <v>12</v>
      </c>
      <c r="O828" s="48">
        <v>13</v>
      </c>
      <c r="P828" s="48">
        <v>14</v>
      </c>
      <c r="Q828" s="49">
        <v>15</v>
      </c>
      <c r="R828" s="47">
        <v>16</v>
      </c>
      <c r="S828" s="48">
        <v>17</v>
      </c>
      <c r="T828" s="48">
        <v>18</v>
      </c>
      <c r="U828" s="48">
        <v>19</v>
      </c>
      <c r="V828" s="49">
        <v>20</v>
      </c>
      <c r="W828" s="47">
        <v>21</v>
      </c>
      <c r="X828" s="48">
        <v>22</v>
      </c>
      <c r="Y828" s="48">
        <v>23</v>
      </c>
      <c r="Z828" s="48">
        <v>24</v>
      </c>
      <c r="AA828" s="49">
        <v>25</v>
      </c>
      <c r="AB828" s="30" t="s">
        <v>1</v>
      </c>
    </row>
    <row r="829" spans="1:32" ht="14.25" customHeight="1" thickTop="1" x14ac:dyDescent="0.25">
      <c r="A829" s="150">
        <f>ESCUADRAS!B157</f>
        <v>151</v>
      </c>
      <c r="B829" s="153">
        <f>ESCUADRAS!C161</f>
        <v>0</v>
      </c>
      <c r="C829" s="129"/>
      <c r="D829" s="114"/>
      <c r="E829" s="114"/>
      <c r="F829" s="114"/>
      <c r="G829" s="156"/>
      <c r="H829" s="129"/>
      <c r="I829" s="114"/>
      <c r="J829" s="114"/>
      <c r="K829" s="114"/>
      <c r="L829" s="156"/>
      <c r="M829" s="129"/>
      <c r="N829" s="114"/>
      <c r="O829" s="114"/>
      <c r="P829" s="114"/>
      <c r="Q829" s="156"/>
      <c r="R829" s="129"/>
      <c r="S829" s="114"/>
      <c r="T829" s="114"/>
      <c r="U829" s="114"/>
      <c r="V829" s="156"/>
      <c r="W829" s="129"/>
      <c r="X829" s="114"/>
      <c r="Y829" s="114"/>
      <c r="Z829" s="114"/>
      <c r="AA829" s="156"/>
      <c r="AB829" s="159"/>
    </row>
    <row r="830" spans="1:32" ht="13.95" customHeight="1" x14ac:dyDescent="0.25">
      <c r="A830" s="151"/>
      <c r="B830" s="154"/>
      <c r="C830" s="130"/>
      <c r="D830" s="115"/>
      <c r="E830" s="115"/>
      <c r="F830" s="115"/>
      <c r="G830" s="157"/>
      <c r="H830" s="130"/>
      <c r="I830" s="115"/>
      <c r="J830" s="115"/>
      <c r="K830" s="115"/>
      <c r="L830" s="157"/>
      <c r="M830" s="130"/>
      <c r="N830" s="115"/>
      <c r="O830" s="115"/>
      <c r="P830" s="115"/>
      <c r="Q830" s="157"/>
      <c r="R830" s="130"/>
      <c r="S830" s="115"/>
      <c r="T830" s="115"/>
      <c r="U830" s="115"/>
      <c r="V830" s="157"/>
      <c r="W830" s="130"/>
      <c r="X830" s="115"/>
      <c r="Y830" s="115"/>
      <c r="Z830" s="115"/>
      <c r="AA830" s="157"/>
      <c r="AB830" s="160"/>
    </row>
    <row r="831" spans="1:32" ht="13.95" customHeight="1" thickBot="1" x14ac:dyDescent="0.3">
      <c r="A831" s="152"/>
      <c r="B831" s="155"/>
      <c r="C831" s="131"/>
      <c r="D831" s="116"/>
      <c r="E831" s="116"/>
      <c r="F831" s="116"/>
      <c r="G831" s="158"/>
      <c r="H831" s="131"/>
      <c r="I831" s="116"/>
      <c r="J831" s="116"/>
      <c r="K831" s="116"/>
      <c r="L831" s="158"/>
      <c r="M831" s="131"/>
      <c r="N831" s="116"/>
      <c r="O831" s="116"/>
      <c r="P831" s="116"/>
      <c r="Q831" s="158"/>
      <c r="R831" s="131"/>
      <c r="S831" s="116"/>
      <c r="T831" s="116"/>
      <c r="U831" s="116"/>
      <c r="V831" s="158"/>
      <c r="W831" s="131"/>
      <c r="X831" s="116"/>
      <c r="Y831" s="116"/>
      <c r="Z831" s="116"/>
      <c r="AA831" s="158"/>
      <c r="AB831" s="161"/>
    </row>
    <row r="832" spans="1:32" ht="14.25" customHeight="1" thickTop="1" x14ac:dyDescent="0.25">
      <c r="A832" s="162">
        <f>ESCUADRAS!B158</f>
        <v>152</v>
      </c>
      <c r="B832" s="136">
        <f>ESCUADRAS!C162</f>
        <v>0</v>
      </c>
      <c r="C832" s="93"/>
      <c r="D832" s="123"/>
      <c r="E832" s="123"/>
      <c r="F832" s="123"/>
      <c r="G832" s="164"/>
      <c r="H832" s="93"/>
      <c r="I832" s="123"/>
      <c r="J832" s="123"/>
      <c r="K832" s="123"/>
      <c r="L832" s="164"/>
      <c r="M832" s="93"/>
      <c r="N832" s="123"/>
      <c r="O832" s="123"/>
      <c r="P832" s="123"/>
      <c r="Q832" s="164"/>
      <c r="R832" s="93"/>
      <c r="S832" s="123"/>
      <c r="T832" s="123"/>
      <c r="U832" s="123"/>
      <c r="V832" s="164"/>
      <c r="W832" s="129"/>
      <c r="X832" s="114"/>
      <c r="Y832" s="114"/>
      <c r="Z832" s="114"/>
      <c r="AA832" s="156"/>
      <c r="AB832" s="159"/>
    </row>
    <row r="833" spans="1:28" ht="14.25" customHeight="1" x14ac:dyDescent="0.25">
      <c r="A833" s="141"/>
      <c r="B833" s="137"/>
      <c r="C833" s="94"/>
      <c r="D833" s="124"/>
      <c r="E833" s="124"/>
      <c r="F833" s="124"/>
      <c r="G833" s="165"/>
      <c r="H833" s="94"/>
      <c r="I833" s="124"/>
      <c r="J833" s="124"/>
      <c r="K833" s="124"/>
      <c r="L833" s="165"/>
      <c r="M833" s="94"/>
      <c r="N833" s="124"/>
      <c r="O833" s="124"/>
      <c r="P833" s="124"/>
      <c r="Q833" s="165"/>
      <c r="R833" s="94"/>
      <c r="S833" s="124"/>
      <c r="T833" s="124"/>
      <c r="U833" s="124"/>
      <c r="V833" s="165"/>
      <c r="W833" s="130"/>
      <c r="X833" s="115"/>
      <c r="Y833" s="115"/>
      <c r="Z833" s="115"/>
      <c r="AA833" s="157"/>
      <c r="AB833" s="160"/>
    </row>
    <row r="834" spans="1:28" ht="13.5" customHeight="1" thickBot="1" x14ac:dyDescent="0.3">
      <c r="A834" s="163"/>
      <c r="B834" s="138"/>
      <c r="C834" s="95"/>
      <c r="D834" s="125"/>
      <c r="E834" s="125"/>
      <c r="F834" s="125"/>
      <c r="G834" s="166"/>
      <c r="H834" s="95"/>
      <c r="I834" s="125"/>
      <c r="J834" s="125"/>
      <c r="K834" s="125"/>
      <c r="L834" s="166"/>
      <c r="M834" s="95"/>
      <c r="N834" s="125"/>
      <c r="O834" s="125"/>
      <c r="P834" s="125"/>
      <c r="Q834" s="166"/>
      <c r="R834" s="95"/>
      <c r="S834" s="125"/>
      <c r="T834" s="125"/>
      <c r="U834" s="125"/>
      <c r="V834" s="166"/>
      <c r="W834" s="131"/>
      <c r="X834" s="116"/>
      <c r="Y834" s="116"/>
      <c r="Z834" s="116"/>
      <c r="AA834" s="158"/>
      <c r="AB834" s="161"/>
    </row>
    <row r="835" spans="1:28" ht="14.25" customHeight="1" thickTop="1" x14ac:dyDescent="0.25">
      <c r="A835" s="150">
        <f>ESCUADRAS!B159</f>
        <v>153</v>
      </c>
      <c r="B835" s="167">
        <f>ESCUADRAS!C157</f>
        <v>0</v>
      </c>
      <c r="C835" s="93"/>
      <c r="D835" s="123"/>
      <c r="E835" s="123"/>
      <c r="F835" s="123"/>
      <c r="G835" s="164"/>
      <c r="H835" s="93"/>
      <c r="I835" s="123"/>
      <c r="J835" s="123"/>
      <c r="K835" s="123"/>
      <c r="L835" s="164"/>
      <c r="M835" s="93"/>
      <c r="N835" s="123"/>
      <c r="O835" s="123"/>
      <c r="P835" s="123"/>
      <c r="Q835" s="164"/>
      <c r="R835" s="129"/>
      <c r="S835" s="114"/>
      <c r="T835" s="114"/>
      <c r="U835" s="114"/>
      <c r="V835" s="156"/>
      <c r="W835" s="93"/>
      <c r="X835" s="123"/>
      <c r="Y835" s="123"/>
      <c r="Z835" s="123"/>
      <c r="AA835" s="164"/>
      <c r="AB835" s="159"/>
    </row>
    <row r="836" spans="1:28" ht="14.25" customHeight="1" x14ac:dyDescent="0.25">
      <c r="A836" s="151"/>
      <c r="B836" s="168"/>
      <c r="C836" s="94"/>
      <c r="D836" s="124"/>
      <c r="E836" s="124"/>
      <c r="F836" s="124"/>
      <c r="G836" s="165"/>
      <c r="H836" s="94"/>
      <c r="I836" s="124"/>
      <c r="J836" s="124"/>
      <c r="K836" s="124"/>
      <c r="L836" s="165"/>
      <c r="M836" s="94"/>
      <c r="N836" s="124"/>
      <c r="O836" s="124"/>
      <c r="P836" s="124"/>
      <c r="Q836" s="165"/>
      <c r="R836" s="130"/>
      <c r="S836" s="115"/>
      <c r="T836" s="115"/>
      <c r="U836" s="115"/>
      <c r="V836" s="157"/>
      <c r="W836" s="94"/>
      <c r="X836" s="124"/>
      <c r="Y836" s="124"/>
      <c r="Z836" s="124"/>
      <c r="AA836" s="165"/>
      <c r="AB836" s="160"/>
    </row>
    <row r="837" spans="1:28" ht="13.5" customHeight="1" thickBot="1" x14ac:dyDescent="0.3">
      <c r="A837" s="152"/>
      <c r="B837" s="169"/>
      <c r="C837" s="95"/>
      <c r="D837" s="125"/>
      <c r="E837" s="125"/>
      <c r="F837" s="125"/>
      <c r="G837" s="166"/>
      <c r="H837" s="95"/>
      <c r="I837" s="125"/>
      <c r="J837" s="125"/>
      <c r="K837" s="125"/>
      <c r="L837" s="166"/>
      <c r="M837" s="95"/>
      <c r="N837" s="125"/>
      <c r="O837" s="125"/>
      <c r="P837" s="125"/>
      <c r="Q837" s="166"/>
      <c r="R837" s="131"/>
      <c r="S837" s="116"/>
      <c r="T837" s="116"/>
      <c r="U837" s="116"/>
      <c r="V837" s="158"/>
      <c r="W837" s="95"/>
      <c r="X837" s="125"/>
      <c r="Y837" s="125"/>
      <c r="Z837" s="125"/>
      <c r="AA837" s="166"/>
      <c r="AB837" s="161"/>
    </row>
    <row r="838" spans="1:28" ht="13.5" customHeight="1" thickTop="1" x14ac:dyDescent="0.25">
      <c r="A838" s="162">
        <f>ESCUADRAS!B160</f>
        <v>154</v>
      </c>
      <c r="B838" s="136">
        <f>ESCUADRAS!C158</f>
        <v>0</v>
      </c>
      <c r="C838" s="93"/>
      <c r="D838" s="123"/>
      <c r="E838" s="123"/>
      <c r="F838" s="123"/>
      <c r="G838" s="164"/>
      <c r="H838" s="93"/>
      <c r="I838" s="123"/>
      <c r="J838" s="123"/>
      <c r="K838" s="123"/>
      <c r="L838" s="164"/>
      <c r="M838" s="129"/>
      <c r="N838" s="114"/>
      <c r="O838" s="114"/>
      <c r="P838" s="114"/>
      <c r="Q838" s="156"/>
      <c r="R838" s="93"/>
      <c r="S838" s="123"/>
      <c r="T838" s="123"/>
      <c r="U838" s="123"/>
      <c r="V838" s="164"/>
      <c r="W838" s="93"/>
      <c r="X838" s="123"/>
      <c r="Y838" s="123"/>
      <c r="Z838" s="123"/>
      <c r="AA838" s="164"/>
      <c r="AB838" s="159"/>
    </row>
    <row r="839" spans="1:28" ht="14.25" customHeight="1" x14ac:dyDescent="0.25">
      <c r="A839" s="141"/>
      <c r="B839" s="137"/>
      <c r="C839" s="94"/>
      <c r="D839" s="124"/>
      <c r="E839" s="124"/>
      <c r="F839" s="124"/>
      <c r="G839" s="165"/>
      <c r="H839" s="94"/>
      <c r="I839" s="124"/>
      <c r="J839" s="124"/>
      <c r="K839" s="124"/>
      <c r="L839" s="165"/>
      <c r="M839" s="130"/>
      <c r="N839" s="115"/>
      <c r="O839" s="115"/>
      <c r="P839" s="115"/>
      <c r="Q839" s="157"/>
      <c r="R839" s="94"/>
      <c r="S839" s="124"/>
      <c r="T839" s="124"/>
      <c r="U839" s="124"/>
      <c r="V839" s="165"/>
      <c r="W839" s="94"/>
      <c r="X839" s="124"/>
      <c r="Y839" s="124"/>
      <c r="Z839" s="124"/>
      <c r="AA839" s="165"/>
      <c r="AB839" s="160"/>
    </row>
    <row r="840" spans="1:28" ht="13.5" customHeight="1" thickBot="1" x14ac:dyDescent="0.3">
      <c r="A840" s="163"/>
      <c r="B840" s="138"/>
      <c r="C840" s="95"/>
      <c r="D840" s="125"/>
      <c r="E840" s="125"/>
      <c r="F840" s="125"/>
      <c r="G840" s="166"/>
      <c r="H840" s="95"/>
      <c r="I840" s="125"/>
      <c r="J840" s="125"/>
      <c r="K840" s="125"/>
      <c r="L840" s="166"/>
      <c r="M840" s="131"/>
      <c r="N840" s="116"/>
      <c r="O840" s="116"/>
      <c r="P840" s="116"/>
      <c r="Q840" s="158"/>
      <c r="R840" s="95"/>
      <c r="S840" s="125"/>
      <c r="T840" s="125"/>
      <c r="U840" s="125"/>
      <c r="V840" s="166"/>
      <c r="W840" s="95"/>
      <c r="X840" s="125"/>
      <c r="Y840" s="125"/>
      <c r="Z840" s="125"/>
      <c r="AA840" s="166"/>
      <c r="AB840" s="161"/>
    </row>
    <row r="841" spans="1:28" ht="14.25" customHeight="1" thickTop="1" x14ac:dyDescent="0.25">
      <c r="A841" s="150">
        <f>ESCUADRAS!B161</f>
        <v>155</v>
      </c>
      <c r="B841" s="153">
        <f>ESCUADRAS!C159</f>
        <v>0</v>
      </c>
      <c r="C841" s="93"/>
      <c r="D841" s="123"/>
      <c r="E841" s="123"/>
      <c r="F841" s="123"/>
      <c r="G841" s="164"/>
      <c r="H841" s="129"/>
      <c r="I841" s="114"/>
      <c r="J841" s="114"/>
      <c r="K841" s="114"/>
      <c r="L841" s="156"/>
      <c r="M841" s="93"/>
      <c r="N841" s="123"/>
      <c r="O841" s="123"/>
      <c r="P841" s="123"/>
      <c r="Q841" s="164"/>
      <c r="R841" s="93"/>
      <c r="S841" s="123"/>
      <c r="T841" s="123"/>
      <c r="U841" s="123"/>
      <c r="V841" s="164"/>
      <c r="W841" s="93"/>
      <c r="X841" s="123"/>
      <c r="Y841" s="123"/>
      <c r="Z841" s="123"/>
      <c r="AA841" s="164"/>
      <c r="AB841" s="159"/>
    </row>
    <row r="842" spans="1:28" ht="14.25" customHeight="1" x14ac:dyDescent="0.25">
      <c r="A842" s="151"/>
      <c r="B842" s="154"/>
      <c r="C842" s="94"/>
      <c r="D842" s="124"/>
      <c r="E842" s="124"/>
      <c r="F842" s="124"/>
      <c r="G842" s="165"/>
      <c r="H842" s="130"/>
      <c r="I842" s="115"/>
      <c r="J842" s="115"/>
      <c r="K842" s="115"/>
      <c r="L842" s="157"/>
      <c r="M842" s="94"/>
      <c r="N842" s="124"/>
      <c r="O842" s="124"/>
      <c r="P842" s="124"/>
      <c r="Q842" s="165"/>
      <c r="R842" s="94"/>
      <c r="S842" s="124"/>
      <c r="T842" s="124"/>
      <c r="U842" s="124"/>
      <c r="V842" s="165"/>
      <c r="W842" s="94"/>
      <c r="X842" s="124"/>
      <c r="Y842" s="124"/>
      <c r="Z842" s="124"/>
      <c r="AA842" s="165"/>
      <c r="AB842" s="160"/>
    </row>
    <row r="843" spans="1:28" ht="13.5" customHeight="1" thickBot="1" x14ac:dyDescent="0.3">
      <c r="A843" s="152"/>
      <c r="B843" s="155"/>
      <c r="C843" s="95"/>
      <c r="D843" s="125"/>
      <c r="E843" s="125"/>
      <c r="F843" s="125"/>
      <c r="G843" s="166"/>
      <c r="H843" s="131"/>
      <c r="I843" s="116"/>
      <c r="J843" s="116"/>
      <c r="K843" s="116"/>
      <c r="L843" s="158"/>
      <c r="M843" s="95"/>
      <c r="N843" s="125"/>
      <c r="O843" s="125"/>
      <c r="P843" s="125"/>
      <c r="Q843" s="166"/>
      <c r="R843" s="95"/>
      <c r="S843" s="125"/>
      <c r="T843" s="125"/>
      <c r="U843" s="125"/>
      <c r="V843" s="166"/>
      <c r="W843" s="95"/>
      <c r="X843" s="125"/>
      <c r="Y843" s="125"/>
      <c r="Z843" s="125"/>
      <c r="AA843" s="166"/>
      <c r="AB843" s="161"/>
    </row>
    <row r="844" spans="1:28" ht="13.5" customHeight="1" thickTop="1" x14ac:dyDescent="0.25">
      <c r="A844" s="162">
        <f>ESCUADRAS!B162</f>
        <v>156</v>
      </c>
      <c r="B844" s="136">
        <f>ESCUADRAS!C160</f>
        <v>0</v>
      </c>
      <c r="C844" s="129"/>
      <c r="D844" s="114"/>
      <c r="E844" s="114"/>
      <c r="F844" s="114"/>
      <c r="G844" s="156"/>
      <c r="H844" s="93"/>
      <c r="I844" s="123"/>
      <c r="J844" s="123"/>
      <c r="K844" s="123"/>
      <c r="L844" s="164"/>
      <c r="M844" s="93"/>
      <c r="N844" s="123"/>
      <c r="O844" s="123"/>
      <c r="P844" s="123"/>
      <c r="Q844" s="164"/>
      <c r="R844" s="93"/>
      <c r="S844" s="123"/>
      <c r="T844" s="123"/>
      <c r="U844" s="123"/>
      <c r="V844" s="164"/>
      <c r="W844" s="93"/>
      <c r="X844" s="123"/>
      <c r="Y844" s="123"/>
      <c r="Z844" s="123"/>
      <c r="AA844" s="164"/>
      <c r="AB844" s="159"/>
    </row>
    <row r="845" spans="1:28" ht="14.25" customHeight="1" x14ac:dyDescent="0.25">
      <c r="A845" s="141"/>
      <c r="B845" s="137"/>
      <c r="C845" s="130"/>
      <c r="D845" s="115"/>
      <c r="E845" s="115"/>
      <c r="F845" s="115"/>
      <c r="G845" s="157"/>
      <c r="H845" s="94"/>
      <c r="I845" s="124"/>
      <c r="J845" s="124"/>
      <c r="K845" s="124"/>
      <c r="L845" s="165"/>
      <c r="M845" s="94"/>
      <c r="N845" s="124"/>
      <c r="O845" s="124"/>
      <c r="P845" s="124"/>
      <c r="Q845" s="165"/>
      <c r="R845" s="94"/>
      <c r="S845" s="124"/>
      <c r="T845" s="124"/>
      <c r="U845" s="124"/>
      <c r="V845" s="165"/>
      <c r="W845" s="94"/>
      <c r="X845" s="124"/>
      <c r="Y845" s="124"/>
      <c r="Z845" s="124"/>
      <c r="AA845" s="165"/>
      <c r="AB845" s="160"/>
    </row>
    <row r="846" spans="1:28" ht="13.5" customHeight="1" thickBot="1" x14ac:dyDescent="0.3">
      <c r="A846" s="142"/>
      <c r="B846" s="138"/>
      <c r="C846" s="131"/>
      <c r="D846" s="116"/>
      <c r="E846" s="116"/>
      <c r="F846" s="116"/>
      <c r="G846" s="158"/>
      <c r="H846" s="95"/>
      <c r="I846" s="125"/>
      <c r="J846" s="125"/>
      <c r="K846" s="125"/>
      <c r="L846" s="166"/>
      <c r="M846" s="95"/>
      <c r="N846" s="125"/>
      <c r="O846" s="125"/>
      <c r="P846" s="125"/>
      <c r="Q846" s="166"/>
      <c r="R846" s="95"/>
      <c r="S846" s="125"/>
      <c r="T846" s="125"/>
      <c r="U846" s="125"/>
      <c r="V846" s="166"/>
      <c r="W846" s="95"/>
      <c r="X846" s="125"/>
      <c r="Y846" s="125"/>
      <c r="Z846" s="125"/>
      <c r="AA846" s="166"/>
      <c r="AB846" s="161"/>
    </row>
    <row r="848" spans="1:28" ht="15" x14ac:dyDescent="0.25">
      <c r="A848" s="28"/>
      <c r="B848" s="26" t="s">
        <v>35</v>
      </c>
      <c r="E848" s="21" t="s">
        <v>41</v>
      </c>
      <c r="I848" s="21" t="s">
        <v>42</v>
      </c>
      <c r="M848" s="21" t="s">
        <v>43</v>
      </c>
      <c r="Q848" s="21" t="s">
        <v>44</v>
      </c>
      <c r="U848" s="21" t="s">
        <v>45</v>
      </c>
      <c r="Y848" s="21" t="s">
        <v>46</v>
      </c>
    </row>
    <row r="855" spans="1:32" ht="24.6" x14ac:dyDescent="0.25">
      <c r="A855" s="144" t="str">
        <f>'INSCRIPCION '!A$1</f>
        <v>TIRADA</v>
      </c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</row>
    <row r="856" spans="1:32" ht="24.6" x14ac:dyDescent="0.4">
      <c r="A856" s="23"/>
      <c r="B856" s="23"/>
    </row>
    <row r="857" spans="1:32" ht="22.8" x14ac:dyDescent="0.25">
      <c r="A857" s="132" t="str">
        <f>'INSCRIPCION '!A$2</f>
        <v>CAMPO DE TIRO LA ISLA</v>
      </c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</row>
    <row r="858" spans="1:32" ht="20.399999999999999" x14ac:dyDescent="0.25">
      <c r="A858" s="143" t="str">
        <f>'INSCRIPCION '!A$3</f>
        <v>XXX PLATOS</v>
      </c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  <c r="AA858" s="143"/>
      <c r="AB858" s="143"/>
      <c r="AC858" s="143"/>
      <c r="AD858" s="143"/>
      <c r="AE858" s="143"/>
      <c r="AF858" s="143"/>
    </row>
    <row r="859" spans="1:32" ht="22.8" x14ac:dyDescent="0.4">
      <c r="A859" s="24"/>
      <c r="B859" s="24"/>
    </row>
    <row r="860" spans="1:32" ht="17.399999999999999" x14ac:dyDescent="0.3">
      <c r="A860" s="25" t="s">
        <v>37</v>
      </c>
      <c r="B860" s="25"/>
      <c r="J860" s="9" t="s">
        <v>6</v>
      </c>
      <c r="K860" s="9"/>
      <c r="L860" s="9"/>
      <c r="M860" s="9"/>
      <c r="N860" s="9"/>
      <c r="O860" s="22">
        <v>1</v>
      </c>
      <c r="P860" s="22"/>
      <c r="Q860" s="8"/>
      <c r="R860" s="8"/>
      <c r="S860" s="7"/>
      <c r="T860" s="8"/>
      <c r="U860" s="8"/>
      <c r="V860" s="9" t="s">
        <v>7</v>
      </c>
      <c r="W860" s="9"/>
      <c r="X860" s="9"/>
      <c r="Y860" s="9"/>
      <c r="Z860" s="22">
        <v>3</v>
      </c>
      <c r="AA860" s="22"/>
    </row>
    <row r="861" spans="1:32" ht="13.8" thickBot="1" x14ac:dyDescent="0.3"/>
    <row r="862" spans="1:32" ht="15.6" thickBot="1" x14ac:dyDescent="0.3">
      <c r="A862" s="27" t="s">
        <v>0</v>
      </c>
      <c r="B862" s="27" t="s">
        <v>8</v>
      </c>
      <c r="C862" s="47">
        <v>1</v>
      </c>
      <c r="D862" s="48">
        <v>2</v>
      </c>
      <c r="E862" s="48">
        <v>3</v>
      </c>
      <c r="F862" s="48">
        <v>4</v>
      </c>
      <c r="G862" s="49">
        <v>5</v>
      </c>
      <c r="H862" s="47">
        <v>6</v>
      </c>
      <c r="I862" s="48">
        <v>7</v>
      </c>
      <c r="J862" s="48">
        <v>8</v>
      </c>
      <c r="K862" s="48">
        <v>9</v>
      </c>
      <c r="L862" s="49">
        <v>10</v>
      </c>
      <c r="M862" s="47">
        <v>11</v>
      </c>
      <c r="N862" s="48">
        <v>12</v>
      </c>
      <c r="O862" s="48">
        <v>13</v>
      </c>
      <c r="P862" s="48">
        <v>14</v>
      </c>
      <c r="Q862" s="49">
        <v>15</v>
      </c>
      <c r="R862" s="47">
        <v>16</v>
      </c>
      <c r="S862" s="48">
        <v>17</v>
      </c>
      <c r="T862" s="48">
        <v>18</v>
      </c>
      <c r="U862" s="48">
        <v>19</v>
      </c>
      <c r="V862" s="49">
        <v>20</v>
      </c>
      <c r="W862" s="47">
        <v>21</v>
      </c>
      <c r="X862" s="48">
        <v>22</v>
      </c>
      <c r="Y862" s="48">
        <v>23</v>
      </c>
      <c r="Z862" s="48">
        <v>24</v>
      </c>
      <c r="AA862" s="49">
        <v>25</v>
      </c>
      <c r="AB862" s="30" t="s">
        <v>1</v>
      </c>
    </row>
    <row r="863" spans="1:32" ht="14.25" customHeight="1" thickTop="1" x14ac:dyDescent="0.25">
      <c r="A863" s="150">
        <f>ESCUADRAS!B163</f>
        <v>157</v>
      </c>
      <c r="B863" s="153">
        <f>ESCUADRAS!C167</f>
        <v>0</v>
      </c>
      <c r="C863" s="129"/>
      <c r="D863" s="114"/>
      <c r="E863" s="114"/>
      <c r="F863" s="114"/>
      <c r="G863" s="156"/>
      <c r="H863" s="129"/>
      <c r="I863" s="114"/>
      <c r="J863" s="114"/>
      <c r="K863" s="114"/>
      <c r="L863" s="156"/>
      <c r="M863" s="129"/>
      <c r="N863" s="114"/>
      <c r="O863" s="114"/>
      <c r="P863" s="114"/>
      <c r="Q863" s="156"/>
      <c r="R863" s="129"/>
      <c r="S863" s="114"/>
      <c r="T863" s="114"/>
      <c r="U863" s="114"/>
      <c r="V863" s="156"/>
      <c r="W863" s="129"/>
      <c r="X863" s="114"/>
      <c r="Y863" s="114"/>
      <c r="Z863" s="114"/>
      <c r="AA863" s="156"/>
      <c r="AB863" s="159"/>
    </row>
    <row r="864" spans="1:32" ht="13.95" customHeight="1" x14ac:dyDescent="0.25">
      <c r="A864" s="151"/>
      <c r="B864" s="154"/>
      <c r="C864" s="130"/>
      <c r="D864" s="115"/>
      <c r="E864" s="115"/>
      <c r="F864" s="115"/>
      <c r="G864" s="157"/>
      <c r="H864" s="130"/>
      <c r="I864" s="115"/>
      <c r="J864" s="115"/>
      <c r="K864" s="115"/>
      <c r="L864" s="157"/>
      <c r="M864" s="130"/>
      <c r="N864" s="115"/>
      <c r="O864" s="115"/>
      <c r="P864" s="115"/>
      <c r="Q864" s="157"/>
      <c r="R864" s="130"/>
      <c r="S864" s="115"/>
      <c r="T864" s="115"/>
      <c r="U864" s="115"/>
      <c r="V864" s="157"/>
      <c r="W864" s="130"/>
      <c r="X864" s="115"/>
      <c r="Y864" s="115"/>
      <c r="Z864" s="115"/>
      <c r="AA864" s="157"/>
      <c r="AB864" s="160"/>
    </row>
    <row r="865" spans="1:28" ht="13.95" customHeight="1" thickBot="1" x14ac:dyDescent="0.3">
      <c r="A865" s="152"/>
      <c r="B865" s="155"/>
      <c r="C865" s="131"/>
      <c r="D865" s="116"/>
      <c r="E865" s="116"/>
      <c r="F865" s="116"/>
      <c r="G865" s="158"/>
      <c r="H865" s="131"/>
      <c r="I865" s="116"/>
      <c r="J865" s="116"/>
      <c r="K865" s="116"/>
      <c r="L865" s="158"/>
      <c r="M865" s="131"/>
      <c r="N865" s="116"/>
      <c r="O865" s="116"/>
      <c r="P865" s="116"/>
      <c r="Q865" s="158"/>
      <c r="R865" s="131"/>
      <c r="S865" s="116"/>
      <c r="T865" s="116"/>
      <c r="U865" s="116"/>
      <c r="V865" s="158"/>
      <c r="W865" s="131"/>
      <c r="X865" s="116"/>
      <c r="Y865" s="116"/>
      <c r="Z865" s="116"/>
      <c r="AA865" s="158"/>
      <c r="AB865" s="161"/>
    </row>
    <row r="866" spans="1:28" ht="14.25" customHeight="1" thickTop="1" x14ac:dyDescent="0.25">
      <c r="A866" s="162">
        <f>ESCUADRAS!B164</f>
        <v>158</v>
      </c>
      <c r="B866" s="136">
        <f>ESCUADRAS!C168</f>
        <v>0</v>
      </c>
      <c r="C866" s="93"/>
      <c r="D866" s="123"/>
      <c r="E866" s="123"/>
      <c r="F866" s="123"/>
      <c r="G866" s="164"/>
      <c r="H866" s="93"/>
      <c r="I866" s="123"/>
      <c r="J866" s="123"/>
      <c r="K866" s="123"/>
      <c r="L866" s="164"/>
      <c r="M866" s="93"/>
      <c r="N866" s="123"/>
      <c r="O866" s="123"/>
      <c r="P866" s="123"/>
      <c r="Q866" s="164"/>
      <c r="R866" s="93"/>
      <c r="S866" s="123"/>
      <c r="T866" s="123"/>
      <c r="U866" s="123"/>
      <c r="V866" s="164"/>
      <c r="W866" s="129"/>
      <c r="X866" s="114"/>
      <c r="Y866" s="114"/>
      <c r="Z866" s="114"/>
      <c r="AA866" s="156"/>
      <c r="AB866" s="159"/>
    </row>
    <row r="867" spans="1:28" ht="13.95" customHeight="1" x14ac:dyDescent="0.25">
      <c r="A867" s="141"/>
      <c r="B867" s="137"/>
      <c r="C867" s="94"/>
      <c r="D867" s="124"/>
      <c r="E867" s="124"/>
      <c r="F867" s="124"/>
      <c r="G867" s="165"/>
      <c r="H867" s="94"/>
      <c r="I867" s="124"/>
      <c r="J867" s="124"/>
      <c r="K867" s="124"/>
      <c r="L867" s="165"/>
      <c r="M867" s="94"/>
      <c r="N867" s="124"/>
      <c r="O867" s="124"/>
      <c r="P867" s="124"/>
      <c r="Q867" s="165"/>
      <c r="R867" s="94"/>
      <c r="S867" s="124"/>
      <c r="T867" s="124"/>
      <c r="U867" s="124"/>
      <c r="V867" s="165"/>
      <c r="W867" s="130"/>
      <c r="X867" s="115"/>
      <c r="Y867" s="115"/>
      <c r="Z867" s="115"/>
      <c r="AA867" s="157"/>
      <c r="AB867" s="160"/>
    </row>
    <row r="868" spans="1:28" ht="13.95" customHeight="1" thickBot="1" x14ac:dyDescent="0.3">
      <c r="A868" s="163"/>
      <c r="B868" s="138"/>
      <c r="C868" s="95"/>
      <c r="D868" s="125"/>
      <c r="E868" s="125"/>
      <c r="F868" s="125"/>
      <c r="G868" s="166"/>
      <c r="H868" s="95"/>
      <c r="I868" s="125"/>
      <c r="J868" s="125"/>
      <c r="K868" s="125"/>
      <c r="L868" s="166"/>
      <c r="M868" s="95"/>
      <c r="N868" s="125"/>
      <c r="O868" s="125"/>
      <c r="P868" s="125"/>
      <c r="Q868" s="166"/>
      <c r="R868" s="95"/>
      <c r="S868" s="125"/>
      <c r="T868" s="125"/>
      <c r="U868" s="125"/>
      <c r="V868" s="166"/>
      <c r="W868" s="131"/>
      <c r="X868" s="116"/>
      <c r="Y868" s="116"/>
      <c r="Z868" s="116"/>
      <c r="AA868" s="158"/>
      <c r="AB868" s="161"/>
    </row>
    <row r="869" spans="1:28" ht="14.25" customHeight="1" thickTop="1" x14ac:dyDescent="0.25">
      <c r="A869" s="150">
        <f>ESCUADRAS!B165</f>
        <v>159</v>
      </c>
      <c r="B869" s="153">
        <f>ESCUADRAS!C163</f>
        <v>0</v>
      </c>
      <c r="C869" s="93"/>
      <c r="D869" s="123"/>
      <c r="E869" s="123"/>
      <c r="F869" s="123"/>
      <c r="G869" s="164"/>
      <c r="H869" s="93"/>
      <c r="I869" s="123"/>
      <c r="J869" s="123"/>
      <c r="K869" s="123"/>
      <c r="L869" s="164"/>
      <c r="M869" s="93"/>
      <c r="N869" s="123"/>
      <c r="O869" s="123"/>
      <c r="P869" s="123"/>
      <c r="Q869" s="164"/>
      <c r="R869" s="129"/>
      <c r="S869" s="114"/>
      <c r="T869" s="114"/>
      <c r="U869" s="114"/>
      <c r="V869" s="156"/>
      <c r="W869" s="93"/>
      <c r="X869" s="123"/>
      <c r="Y869" s="123"/>
      <c r="Z869" s="123"/>
      <c r="AA869" s="164"/>
      <c r="AB869" s="159"/>
    </row>
    <row r="870" spans="1:28" ht="14.25" customHeight="1" x14ac:dyDescent="0.25">
      <c r="A870" s="151"/>
      <c r="B870" s="154"/>
      <c r="C870" s="94"/>
      <c r="D870" s="124"/>
      <c r="E870" s="124"/>
      <c r="F870" s="124"/>
      <c r="G870" s="165"/>
      <c r="H870" s="94"/>
      <c r="I870" s="124"/>
      <c r="J870" s="124"/>
      <c r="K870" s="124"/>
      <c r="L870" s="165"/>
      <c r="M870" s="94"/>
      <c r="N870" s="124"/>
      <c r="O870" s="124"/>
      <c r="P870" s="124"/>
      <c r="Q870" s="165"/>
      <c r="R870" s="130"/>
      <c r="S870" s="115"/>
      <c r="T870" s="115"/>
      <c r="U870" s="115"/>
      <c r="V870" s="157"/>
      <c r="W870" s="94"/>
      <c r="X870" s="124"/>
      <c r="Y870" s="124"/>
      <c r="Z870" s="124"/>
      <c r="AA870" s="165"/>
      <c r="AB870" s="160"/>
    </row>
    <row r="871" spans="1:28" ht="13.5" customHeight="1" thickBot="1" x14ac:dyDescent="0.3">
      <c r="A871" s="152"/>
      <c r="B871" s="155"/>
      <c r="C871" s="95"/>
      <c r="D871" s="125"/>
      <c r="E871" s="125"/>
      <c r="F871" s="125"/>
      <c r="G871" s="166"/>
      <c r="H871" s="95"/>
      <c r="I871" s="125"/>
      <c r="J871" s="125"/>
      <c r="K871" s="125"/>
      <c r="L871" s="166"/>
      <c r="M871" s="95"/>
      <c r="N871" s="125"/>
      <c r="O871" s="125"/>
      <c r="P871" s="125"/>
      <c r="Q871" s="166"/>
      <c r="R871" s="131"/>
      <c r="S871" s="116"/>
      <c r="T871" s="116"/>
      <c r="U871" s="116"/>
      <c r="V871" s="158"/>
      <c r="W871" s="95"/>
      <c r="X871" s="125"/>
      <c r="Y871" s="125"/>
      <c r="Z871" s="125"/>
      <c r="AA871" s="166"/>
      <c r="AB871" s="161"/>
    </row>
    <row r="872" spans="1:28" ht="13.5" customHeight="1" thickTop="1" x14ac:dyDescent="0.25">
      <c r="A872" s="162">
        <f>ESCUADRAS!B166</f>
        <v>160</v>
      </c>
      <c r="B872" s="136">
        <f>ESCUADRAS!C164</f>
        <v>0</v>
      </c>
      <c r="C872" s="93"/>
      <c r="D872" s="123"/>
      <c r="E872" s="123"/>
      <c r="F872" s="123"/>
      <c r="G872" s="164"/>
      <c r="H872" s="93"/>
      <c r="I872" s="123"/>
      <c r="J872" s="123"/>
      <c r="K872" s="123"/>
      <c r="L872" s="164"/>
      <c r="M872" s="129"/>
      <c r="N872" s="114"/>
      <c r="O872" s="114"/>
      <c r="P872" s="114"/>
      <c r="Q872" s="156"/>
      <c r="R872" s="93"/>
      <c r="S872" s="123"/>
      <c r="T872" s="123"/>
      <c r="U872" s="123"/>
      <c r="V872" s="164"/>
      <c r="W872" s="93"/>
      <c r="X872" s="123"/>
      <c r="Y872" s="123"/>
      <c r="Z872" s="123"/>
      <c r="AA872" s="164"/>
      <c r="AB872" s="159"/>
    </row>
    <row r="873" spans="1:28" ht="14.25" customHeight="1" x14ac:dyDescent="0.25">
      <c r="A873" s="141"/>
      <c r="B873" s="137"/>
      <c r="C873" s="94"/>
      <c r="D873" s="124"/>
      <c r="E873" s="124"/>
      <c r="F873" s="124"/>
      <c r="G873" s="165"/>
      <c r="H873" s="94"/>
      <c r="I873" s="124"/>
      <c r="J873" s="124"/>
      <c r="K873" s="124"/>
      <c r="L873" s="165"/>
      <c r="M873" s="130"/>
      <c r="N873" s="115"/>
      <c r="O873" s="115"/>
      <c r="P873" s="115"/>
      <c r="Q873" s="157"/>
      <c r="R873" s="94"/>
      <c r="S873" s="124"/>
      <c r="T873" s="124"/>
      <c r="U873" s="124"/>
      <c r="V873" s="165"/>
      <c r="W873" s="94"/>
      <c r="X873" s="124"/>
      <c r="Y873" s="124"/>
      <c r="Z873" s="124"/>
      <c r="AA873" s="165"/>
      <c r="AB873" s="160"/>
    </row>
    <row r="874" spans="1:28" ht="13.5" customHeight="1" thickBot="1" x14ac:dyDescent="0.3">
      <c r="A874" s="163"/>
      <c r="B874" s="138"/>
      <c r="C874" s="95"/>
      <c r="D874" s="125"/>
      <c r="E874" s="125"/>
      <c r="F874" s="125"/>
      <c r="G874" s="166"/>
      <c r="H874" s="95"/>
      <c r="I874" s="125"/>
      <c r="J874" s="125"/>
      <c r="K874" s="125"/>
      <c r="L874" s="166"/>
      <c r="M874" s="131"/>
      <c r="N874" s="116"/>
      <c r="O874" s="116"/>
      <c r="P874" s="116"/>
      <c r="Q874" s="158"/>
      <c r="R874" s="95"/>
      <c r="S874" s="125"/>
      <c r="T874" s="125"/>
      <c r="U874" s="125"/>
      <c r="V874" s="166"/>
      <c r="W874" s="95"/>
      <c r="X874" s="125"/>
      <c r="Y874" s="125"/>
      <c r="Z874" s="125"/>
      <c r="AA874" s="166"/>
      <c r="AB874" s="161"/>
    </row>
    <row r="875" spans="1:28" ht="14.25" customHeight="1" thickTop="1" x14ac:dyDescent="0.25">
      <c r="A875" s="150">
        <f>ESCUADRAS!B167</f>
        <v>161</v>
      </c>
      <c r="B875" s="153">
        <f>ESCUADRAS!C165</f>
        <v>0</v>
      </c>
      <c r="C875" s="93"/>
      <c r="D875" s="123"/>
      <c r="E875" s="123"/>
      <c r="F875" s="123"/>
      <c r="G875" s="164"/>
      <c r="H875" s="129"/>
      <c r="I875" s="114"/>
      <c r="J875" s="114"/>
      <c r="K875" s="114"/>
      <c r="L875" s="156"/>
      <c r="M875" s="93"/>
      <c r="N875" s="123"/>
      <c r="O875" s="123"/>
      <c r="P875" s="123"/>
      <c r="Q875" s="164"/>
      <c r="R875" s="93"/>
      <c r="S875" s="123"/>
      <c r="T875" s="123"/>
      <c r="U875" s="123"/>
      <c r="V875" s="164"/>
      <c r="W875" s="93"/>
      <c r="X875" s="123"/>
      <c r="Y875" s="123"/>
      <c r="Z875" s="123"/>
      <c r="AA875" s="164"/>
      <c r="AB875" s="159"/>
    </row>
    <row r="876" spans="1:28" ht="14.25" customHeight="1" x14ac:dyDescent="0.25">
      <c r="A876" s="151"/>
      <c r="B876" s="154"/>
      <c r="C876" s="94"/>
      <c r="D876" s="124"/>
      <c r="E876" s="124"/>
      <c r="F876" s="124"/>
      <c r="G876" s="165"/>
      <c r="H876" s="130"/>
      <c r="I876" s="115"/>
      <c r="J876" s="115"/>
      <c r="K876" s="115"/>
      <c r="L876" s="157"/>
      <c r="M876" s="94"/>
      <c r="N876" s="124"/>
      <c r="O876" s="124"/>
      <c r="P876" s="124"/>
      <c r="Q876" s="165"/>
      <c r="R876" s="94"/>
      <c r="S876" s="124"/>
      <c r="T876" s="124"/>
      <c r="U876" s="124"/>
      <c r="V876" s="165"/>
      <c r="W876" s="94"/>
      <c r="X876" s="124"/>
      <c r="Y876" s="124"/>
      <c r="Z876" s="124"/>
      <c r="AA876" s="165"/>
      <c r="AB876" s="160"/>
    </row>
    <row r="877" spans="1:28" ht="13.5" customHeight="1" thickBot="1" x14ac:dyDescent="0.3">
      <c r="A877" s="152"/>
      <c r="B877" s="155"/>
      <c r="C877" s="95"/>
      <c r="D877" s="125"/>
      <c r="E877" s="125"/>
      <c r="F877" s="125"/>
      <c r="G877" s="166"/>
      <c r="H877" s="131"/>
      <c r="I877" s="116"/>
      <c r="J877" s="116"/>
      <c r="K877" s="116"/>
      <c r="L877" s="158"/>
      <c r="M877" s="95"/>
      <c r="N877" s="125"/>
      <c r="O877" s="125"/>
      <c r="P877" s="125"/>
      <c r="Q877" s="166"/>
      <c r="R877" s="95"/>
      <c r="S877" s="125"/>
      <c r="T877" s="125"/>
      <c r="U877" s="125"/>
      <c r="V877" s="166"/>
      <c r="W877" s="95"/>
      <c r="X877" s="125"/>
      <c r="Y877" s="125"/>
      <c r="Z877" s="125"/>
      <c r="AA877" s="166"/>
      <c r="AB877" s="161"/>
    </row>
    <row r="878" spans="1:28" ht="13.5" customHeight="1" thickTop="1" x14ac:dyDescent="0.25">
      <c r="A878" s="162">
        <f>ESCUADRAS!B168</f>
        <v>162</v>
      </c>
      <c r="B878" s="136">
        <f>ESCUADRAS!C166</f>
        <v>0</v>
      </c>
      <c r="C878" s="129"/>
      <c r="D878" s="114"/>
      <c r="E878" s="114"/>
      <c r="F878" s="114"/>
      <c r="G878" s="156"/>
      <c r="H878" s="93"/>
      <c r="I878" s="123"/>
      <c r="J878" s="123"/>
      <c r="K878" s="123"/>
      <c r="L878" s="164"/>
      <c r="M878" s="93"/>
      <c r="N878" s="123"/>
      <c r="O878" s="123"/>
      <c r="P878" s="123"/>
      <c r="Q878" s="164"/>
      <c r="R878" s="93"/>
      <c r="S878" s="123"/>
      <c r="T878" s="123"/>
      <c r="U878" s="123"/>
      <c r="V878" s="164"/>
      <c r="W878" s="93"/>
      <c r="X878" s="123"/>
      <c r="Y878" s="123"/>
      <c r="Z878" s="123"/>
      <c r="AA878" s="164"/>
      <c r="AB878" s="159"/>
    </row>
    <row r="879" spans="1:28" ht="14.25" customHeight="1" x14ac:dyDescent="0.25">
      <c r="A879" s="141"/>
      <c r="B879" s="137"/>
      <c r="C879" s="130"/>
      <c r="D879" s="115"/>
      <c r="E879" s="115"/>
      <c r="F879" s="115"/>
      <c r="G879" s="157"/>
      <c r="H879" s="94"/>
      <c r="I879" s="124"/>
      <c r="J879" s="124"/>
      <c r="K879" s="124"/>
      <c r="L879" s="165"/>
      <c r="M879" s="94"/>
      <c r="N879" s="124"/>
      <c r="O879" s="124"/>
      <c r="P879" s="124"/>
      <c r="Q879" s="165"/>
      <c r="R879" s="94"/>
      <c r="S879" s="124"/>
      <c r="T879" s="124"/>
      <c r="U879" s="124"/>
      <c r="V879" s="165"/>
      <c r="W879" s="94"/>
      <c r="X879" s="124"/>
      <c r="Y879" s="124"/>
      <c r="Z879" s="124"/>
      <c r="AA879" s="165"/>
      <c r="AB879" s="160"/>
    </row>
    <row r="880" spans="1:28" ht="13.5" customHeight="1" thickBot="1" x14ac:dyDescent="0.3">
      <c r="A880" s="142"/>
      <c r="B880" s="138"/>
      <c r="C880" s="131"/>
      <c r="D880" s="116"/>
      <c r="E880" s="116"/>
      <c r="F880" s="116"/>
      <c r="G880" s="158"/>
      <c r="H880" s="95"/>
      <c r="I880" s="125"/>
      <c r="J880" s="125"/>
      <c r="K880" s="125"/>
      <c r="L880" s="166"/>
      <c r="M880" s="95"/>
      <c r="N880" s="125"/>
      <c r="O880" s="125"/>
      <c r="P880" s="125"/>
      <c r="Q880" s="166"/>
      <c r="R880" s="95"/>
      <c r="S880" s="125"/>
      <c r="T880" s="125"/>
      <c r="U880" s="125"/>
      <c r="V880" s="166"/>
      <c r="W880" s="95"/>
      <c r="X880" s="125"/>
      <c r="Y880" s="125"/>
      <c r="Z880" s="125"/>
      <c r="AA880" s="166"/>
      <c r="AB880" s="161"/>
    </row>
    <row r="882" spans="1:32" ht="15" x14ac:dyDescent="0.25">
      <c r="A882" s="28"/>
      <c r="B882" s="26" t="s">
        <v>35</v>
      </c>
      <c r="E882" s="21" t="s">
        <v>41</v>
      </c>
      <c r="I882" s="21" t="s">
        <v>42</v>
      </c>
      <c r="M882" s="21" t="s">
        <v>43</v>
      </c>
      <c r="Q882" s="21" t="s">
        <v>44</v>
      </c>
      <c r="U882" s="21" t="s">
        <v>45</v>
      </c>
      <c r="Y882" s="21" t="s">
        <v>46</v>
      </c>
    </row>
    <row r="889" spans="1:32" ht="24.6" x14ac:dyDescent="0.25">
      <c r="A889" s="144" t="str">
        <f>'INSCRIPCION '!A$1</f>
        <v>TIRADA</v>
      </c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</row>
    <row r="890" spans="1:32" ht="24.6" x14ac:dyDescent="0.4">
      <c r="A890" s="23"/>
      <c r="B890" s="23"/>
    </row>
    <row r="891" spans="1:32" ht="22.8" x14ac:dyDescent="0.25">
      <c r="A891" s="132" t="str">
        <f>'INSCRIPCION '!A$2</f>
        <v>CAMPO DE TIRO LA ISLA</v>
      </c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</row>
    <row r="892" spans="1:32" ht="20.399999999999999" x14ac:dyDescent="0.25">
      <c r="A892" s="143" t="str">
        <f>'INSCRIPCION '!A$3</f>
        <v>XXX PLATOS</v>
      </c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  <c r="AA892" s="143"/>
      <c r="AB892" s="143"/>
      <c r="AC892" s="143"/>
      <c r="AD892" s="143"/>
      <c r="AE892" s="143"/>
      <c r="AF892" s="143"/>
    </row>
    <row r="893" spans="1:32" ht="22.8" x14ac:dyDescent="0.4">
      <c r="A893" s="24"/>
      <c r="B893" s="24"/>
    </row>
    <row r="894" spans="1:32" ht="17.399999999999999" x14ac:dyDescent="0.3">
      <c r="A894" s="25" t="s">
        <v>38</v>
      </c>
      <c r="B894" s="25"/>
      <c r="J894" s="9" t="s">
        <v>6</v>
      </c>
      <c r="K894" s="9"/>
      <c r="L894" s="9"/>
      <c r="M894" s="9"/>
      <c r="N894" s="9"/>
      <c r="O894" s="22">
        <v>2</v>
      </c>
      <c r="P894" s="22"/>
      <c r="Q894" s="8"/>
      <c r="R894" s="8"/>
      <c r="S894" s="7"/>
      <c r="T894" s="8"/>
      <c r="U894" s="8"/>
      <c r="V894" s="9" t="s">
        <v>7</v>
      </c>
      <c r="W894" s="9"/>
      <c r="X894" s="9"/>
      <c r="Y894" s="9"/>
      <c r="Z894" s="22">
        <v>3</v>
      </c>
      <c r="AA894" s="22"/>
    </row>
    <row r="895" spans="1:32" ht="13.8" thickBot="1" x14ac:dyDescent="0.3"/>
    <row r="896" spans="1:32" ht="15.6" thickBot="1" x14ac:dyDescent="0.3">
      <c r="A896" s="27" t="s">
        <v>0</v>
      </c>
      <c r="B896" s="27" t="s">
        <v>8</v>
      </c>
      <c r="C896" s="47">
        <v>1</v>
      </c>
      <c r="D896" s="48">
        <v>2</v>
      </c>
      <c r="E896" s="48">
        <v>3</v>
      </c>
      <c r="F896" s="48">
        <v>4</v>
      </c>
      <c r="G896" s="49">
        <v>5</v>
      </c>
      <c r="H896" s="47">
        <v>6</v>
      </c>
      <c r="I896" s="48">
        <v>7</v>
      </c>
      <c r="J896" s="48">
        <v>8</v>
      </c>
      <c r="K896" s="48">
        <v>9</v>
      </c>
      <c r="L896" s="49">
        <v>10</v>
      </c>
      <c r="M896" s="47">
        <v>11</v>
      </c>
      <c r="N896" s="48">
        <v>12</v>
      </c>
      <c r="O896" s="48">
        <v>13</v>
      </c>
      <c r="P896" s="48">
        <v>14</v>
      </c>
      <c r="Q896" s="49">
        <v>15</v>
      </c>
      <c r="R896" s="47">
        <v>16</v>
      </c>
      <c r="S896" s="48">
        <v>17</v>
      </c>
      <c r="T896" s="48">
        <v>18</v>
      </c>
      <c r="U896" s="48">
        <v>19</v>
      </c>
      <c r="V896" s="49">
        <v>20</v>
      </c>
      <c r="W896" s="47">
        <v>21</v>
      </c>
      <c r="X896" s="48">
        <v>22</v>
      </c>
      <c r="Y896" s="48">
        <v>23</v>
      </c>
      <c r="Z896" s="48">
        <v>24</v>
      </c>
      <c r="AA896" s="49">
        <v>25</v>
      </c>
      <c r="AB896" s="30" t="s">
        <v>1</v>
      </c>
    </row>
    <row r="897" spans="1:28" ht="14.25" customHeight="1" thickTop="1" x14ac:dyDescent="0.25">
      <c r="A897" s="150">
        <f>ESCUADRAS!B169</f>
        <v>163</v>
      </c>
      <c r="B897" s="153">
        <f>ESCUADRAS!C173</f>
        <v>0</v>
      </c>
      <c r="C897" s="129"/>
      <c r="D897" s="114"/>
      <c r="E897" s="114"/>
      <c r="F897" s="114"/>
      <c r="G897" s="156"/>
      <c r="H897" s="129"/>
      <c r="I897" s="114"/>
      <c r="J897" s="114"/>
      <c r="K897" s="114"/>
      <c r="L897" s="156"/>
      <c r="M897" s="129"/>
      <c r="N897" s="114"/>
      <c r="O897" s="114"/>
      <c r="P897" s="114"/>
      <c r="Q897" s="156"/>
      <c r="R897" s="129"/>
      <c r="S897" s="114"/>
      <c r="T897" s="114"/>
      <c r="U897" s="114"/>
      <c r="V897" s="156"/>
      <c r="W897" s="129"/>
      <c r="X897" s="114"/>
      <c r="Y897" s="114"/>
      <c r="Z897" s="114"/>
      <c r="AA897" s="156"/>
      <c r="AB897" s="159"/>
    </row>
    <row r="898" spans="1:28" ht="13.95" customHeight="1" x14ac:dyDescent="0.25">
      <c r="A898" s="151"/>
      <c r="B898" s="154"/>
      <c r="C898" s="130"/>
      <c r="D898" s="115"/>
      <c r="E898" s="115"/>
      <c r="F898" s="115"/>
      <c r="G898" s="157"/>
      <c r="H898" s="130"/>
      <c r="I898" s="115"/>
      <c r="J898" s="115"/>
      <c r="K898" s="115"/>
      <c r="L898" s="157"/>
      <c r="M898" s="130"/>
      <c r="N898" s="115"/>
      <c r="O898" s="115"/>
      <c r="P898" s="115"/>
      <c r="Q898" s="157"/>
      <c r="R898" s="130"/>
      <c r="S898" s="115"/>
      <c r="T898" s="115"/>
      <c r="U898" s="115"/>
      <c r="V898" s="157"/>
      <c r="W898" s="130"/>
      <c r="X898" s="115"/>
      <c r="Y898" s="115"/>
      <c r="Z898" s="115"/>
      <c r="AA898" s="157"/>
      <c r="AB898" s="160"/>
    </row>
    <row r="899" spans="1:28" ht="13.95" customHeight="1" thickBot="1" x14ac:dyDescent="0.3">
      <c r="A899" s="152"/>
      <c r="B899" s="155"/>
      <c r="C899" s="131"/>
      <c r="D899" s="116"/>
      <c r="E899" s="116"/>
      <c r="F899" s="116"/>
      <c r="G899" s="158"/>
      <c r="H899" s="131"/>
      <c r="I899" s="116"/>
      <c r="J899" s="116"/>
      <c r="K899" s="116"/>
      <c r="L899" s="158"/>
      <c r="M899" s="131"/>
      <c r="N899" s="116"/>
      <c r="O899" s="116"/>
      <c r="P899" s="116"/>
      <c r="Q899" s="158"/>
      <c r="R899" s="131"/>
      <c r="S899" s="116"/>
      <c r="T899" s="116"/>
      <c r="U899" s="116"/>
      <c r="V899" s="158"/>
      <c r="W899" s="131"/>
      <c r="X899" s="116"/>
      <c r="Y899" s="116"/>
      <c r="Z899" s="116"/>
      <c r="AA899" s="158"/>
      <c r="AB899" s="161"/>
    </row>
    <row r="900" spans="1:28" ht="14.25" customHeight="1" thickTop="1" x14ac:dyDescent="0.25">
      <c r="A900" s="162">
        <f>ESCUADRAS!B170</f>
        <v>164</v>
      </c>
      <c r="B900" s="136">
        <f>ESCUADRAS!C174</f>
        <v>0</v>
      </c>
      <c r="C900" s="93"/>
      <c r="D900" s="123"/>
      <c r="E900" s="123"/>
      <c r="F900" s="123"/>
      <c r="G900" s="164"/>
      <c r="H900" s="93"/>
      <c r="I900" s="123"/>
      <c r="J900" s="123"/>
      <c r="K900" s="123"/>
      <c r="L900" s="164"/>
      <c r="M900" s="93"/>
      <c r="N900" s="123"/>
      <c r="O900" s="123"/>
      <c r="P900" s="123"/>
      <c r="Q900" s="164"/>
      <c r="R900" s="93"/>
      <c r="S900" s="123"/>
      <c r="T900" s="123"/>
      <c r="U900" s="123"/>
      <c r="V900" s="164"/>
      <c r="W900" s="129"/>
      <c r="X900" s="114"/>
      <c r="Y900" s="114"/>
      <c r="Z900" s="114"/>
      <c r="AA900" s="156"/>
      <c r="AB900" s="159"/>
    </row>
    <row r="901" spans="1:28" ht="13.95" customHeight="1" x14ac:dyDescent="0.25">
      <c r="A901" s="141"/>
      <c r="B901" s="137"/>
      <c r="C901" s="94"/>
      <c r="D901" s="124"/>
      <c r="E901" s="124"/>
      <c r="F901" s="124"/>
      <c r="G901" s="165"/>
      <c r="H901" s="94"/>
      <c r="I901" s="124"/>
      <c r="J901" s="124"/>
      <c r="K901" s="124"/>
      <c r="L901" s="165"/>
      <c r="M901" s="94"/>
      <c r="N901" s="124"/>
      <c r="O901" s="124"/>
      <c r="P901" s="124"/>
      <c r="Q901" s="165"/>
      <c r="R901" s="94"/>
      <c r="S901" s="124"/>
      <c r="T901" s="124"/>
      <c r="U901" s="124"/>
      <c r="V901" s="165"/>
      <c r="W901" s="130"/>
      <c r="X901" s="115"/>
      <c r="Y901" s="115"/>
      <c r="Z901" s="115"/>
      <c r="AA901" s="157"/>
      <c r="AB901" s="160"/>
    </row>
    <row r="902" spans="1:28" ht="13.95" customHeight="1" thickBot="1" x14ac:dyDescent="0.3">
      <c r="A902" s="163"/>
      <c r="B902" s="138"/>
      <c r="C902" s="95"/>
      <c r="D902" s="125"/>
      <c r="E902" s="125"/>
      <c r="F902" s="125"/>
      <c r="G902" s="166"/>
      <c r="H902" s="95"/>
      <c r="I902" s="125"/>
      <c r="J902" s="125"/>
      <c r="K902" s="125"/>
      <c r="L902" s="166"/>
      <c r="M902" s="95"/>
      <c r="N902" s="125"/>
      <c r="O902" s="125"/>
      <c r="P902" s="125"/>
      <c r="Q902" s="166"/>
      <c r="R902" s="95"/>
      <c r="S902" s="125"/>
      <c r="T902" s="125"/>
      <c r="U902" s="125"/>
      <c r="V902" s="166"/>
      <c r="W902" s="131"/>
      <c r="X902" s="116"/>
      <c r="Y902" s="116"/>
      <c r="Z902" s="116"/>
      <c r="AA902" s="158"/>
      <c r="AB902" s="161"/>
    </row>
    <row r="903" spans="1:28" ht="14.25" customHeight="1" thickTop="1" x14ac:dyDescent="0.25">
      <c r="A903" s="150">
        <f>ESCUADRAS!B171</f>
        <v>165</v>
      </c>
      <c r="B903" s="153">
        <f>ESCUADRAS!C169</f>
        <v>0</v>
      </c>
      <c r="C903" s="93"/>
      <c r="D903" s="123"/>
      <c r="E903" s="123"/>
      <c r="F903" s="123"/>
      <c r="G903" s="164"/>
      <c r="H903" s="93"/>
      <c r="I903" s="123"/>
      <c r="J903" s="123"/>
      <c r="K903" s="123"/>
      <c r="L903" s="164"/>
      <c r="M903" s="93"/>
      <c r="N903" s="123"/>
      <c r="O903" s="123"/>
      <c r="P903" s="123"/>
      <c r="Q903" s="164"/>
      <c r="R903" s="129"/>
      <c r="S903" s="114"/>
      <c r="T903" s="114"/>
      <c r="U903" s="114"/>
      <c r="V903" s="156"/>
      <c r="W903" s="93"/>
      <c r="X903" s="123"/>
      <c r="Y903" s="123"/>
      <c r="Z903" s="123"/>
      <c r="AA903" s="164"/>
      <c r="AB903" s="159"/>
    </row>
    <row r="904" spans="1:28" ht="13.95" customHeight="1" x14ac:dyDescent="0.25">
      <c r="A904" s="151"/>
      <c r="B904" s="154"/>
      <c r="C904" s="94"/>
      <c r="D904" s="124"/>
      <c r="E904" s="124"/>
      <c r="F904" s="124"/>
      <c r="G904" s="165"/>
      <c r="H904" s="94"/>
      <c r="I904" s="124"/>
      <c r="J904" s="124"/>
      <c r="K904" s="124"/>
      <c r="L904" s="165"/>
      <c r="M904" s="94"/>
      <c r="N904" s="124"/>
      <c r="O904" s="124"/>
      <c r="P904" s="124"/>
      <c r="Q904" s="165"/>
      <c r="R904" s="130"/>
      <c r="S904" s="115"/>
      <c r="T904" s="115"/>
      <c r="U904" s="115"/>
      <c r="V904" s="157"/>
      <c r="W904" s="94"/>
      <c r="X904" s="124"/>
      <c r="Y904" s="124"/>
      <c r="Z904" s="124"/>
      <c r="AA904" s="165"/>
      <c r="AB904" s="160"/>
    </row>
    <row r="905" spans="1:28" ht="13.95" customHeight="1" thickBot="1" x14ac:dyDescent="0.3">
      <c r="A905" s="152"/>
      <c r="B905" s="155"/>
      <c r="C905" s="95"/>
      <c r="D905" s="125"/>
      <c r="E905" s="125"/>
      <c r="F905" s="125"/>
      <c r="G905" s="166"/>
      <c r="H905" s="95"/>
      <c r="I905" s="125"/>
      <c r="J905" s="125"/>
      <c r="K905" s="125"/>
      <c r="L905" s="166"/>
      <c r="M905" s="95"/>
      <c r="N905" s="125"/>
      <c r="O905" s="125"/>
      <c r="P905" s="125"/>
      <c r="Q905" s="166"/>
      <c r="R905" s="131"/>
      <c r="S905" s="116"/>
      <c r="T905" s="116"/>
      <c r="U905" s="116"/>
      <c r="V905" s="158"/>
      <c r="W905" s="95"/>
      <c r="X905" s="125"/>
      <c r="Y905" s="125"/>
      <c r="Z905" s="125"/>
      <c r="AA905" s="166"/>
      <c r="AB905" s="161"/>
    </row>
    <row r="906" spans="1:28" ht="13.5" customHeight="1" thickTop="1" x14ac:dyDescent="0.25">
      <c r="A906" s="162">
        <f>ESCUADRAS!B172</f>
        <v>166</v>
      </c>
      <c r="B906" s="136">
        <f>ESCUADRAS!C170</f>
        <v>0</v>
      </c>
      <c r="C906" s="93"/>
      <c r="D906" s="123"/>
      <c r="E906" s="123"/>
      <c r="F906" s="123"/>
      <c r="G906" s="164"/>
      <c r="H906" s="93"/>
      <c r="I906" s="123"/>
      <c r="J906" s="123"/>
      <c r="K906" s="123"/>
      <c r="L906" s="164"/>
      <c r="M906" s="129"/>
      <c r="N906" s="114"/>
      <c r="O906" s="114"/>
      <c r="P906" s="114"/>
      <c r="Q906" s="156"/>
      <c r="R906" s="93"/>
      <c r="S906" s="123"/>
      <c r="T906" s="123"/>
      <c r="U906" s="123"/>
      <c r="V906" s="164"/>
      <c r="W906" s="93"/>
      <c r="X906" s="123"/>
      <c r="Y906" s="123"/>
      <c r="Z906" s="123"/>
      <c r="AA906" s="164"/>
      <c r="AB906" s="159"/>
    </row>
    <row r="907" spans="1:28" ht="13.95" customHeight="1" x14ac:dyDescent="0.25">
      <c r="A907" s="141"/>
      <c r="B907" s="137"/>
      <c r="C907" s="94"/>
      <c r="D907" s="124"/>
      <c r="E907" s="124"/>
      <c r="F907" s="124"/>
      <c r="G907" s="165"/>
      <c r="H907" s="94"/>
      <c r="I907" s="124"/>
      <c r="J907" s="124"/>
      <c r="K907" s="124"/>
      <c r="L907" s="165"/>
      <c r="M907" s="130"/>
      <c r="N907" s="115"/>
      <c r="O907" s="115"/>
      <c r="P907" s="115"/>
      <c r="Q907" s="157"/>
      <c r="R907" s="94"/>
      <c r="S907" s="124"/>
      <c r="T907" s="124"/>
      <c r="U907" s="124"/>
      <c r="V907" s="165"/>
      <c r="W907" s="94"/>
      <c r="X907" s="124"/>
      <c r="Y907" s="124"/>
      <c r="Z907" s="124"/>
      <c r="AA907" s="165"/>
      <c r="AB907" s="160"/>
    </row>
    <row r="908" spans="1:28" ht="13.95" customHeight="1" thickBot="1" x14ac:dyDescent="0.3">
      <c r="A908" s="163"/>
      <c r="B908" s="138"/>
      <c r="C908" s="95"/>
      <c r="D908" s="125"/>
      <c r="E908" s="125"/>
      <c r="F908" s="125"/>
      <c r="G908" s="166"/>
      <c r="H908" s="95"/>
      <c r="I908" s="125"/>
      <c r="J908" s="125"/>
      <c r="K908" s="125"/>
      <c r="L908" s="166"/>
      <c r="M908" s="131"/>
      <c r="N908" s="116"/>
      <c r="O908" s="116"/>
      <c r="P908" s="116"/>
      <c r="Q908" s="158"/>
      <c r="R908" s="95"/>
      <c r="S908" s="125"/>
      <c r="T908" s="125"/>
      <c r="U908" s="125"/>
      <c r="V908" s="166"/>
      <c r="W908" s="95"/>
      <c r="X908" s="125"/>
      <c r="Y908" s="125"/>
      <c r="Z908" s="125"/>
      <c r="AA908" s="166"/>
      <c r="AB908" s="161"/>
    </row>
    <row r="909" spans="1:28" ht="14.25" customHeight="1" thickTop="1" x14ac:dyDescent="0.25">
      <c r="A909" s="150">
        <f>ESCUADRAS!B173</f>
        <v>167</v>
      </c>
      <c r="B909" s="153">
        <f>ESCUADRAS!C171</f>
        <v>0</v>
      </c>
      <c r="C909" s="93"/>
      <c r="D909" s="123"/>
      <c r="E909" s="123"/>
      <c r="F909" s="123"/>
      <c r="G909" s="164"/>
      <c r="H909" s="129"/>
      <c r="I909" s="114"/>
      <c r="J909" s="114"/>
      <c r="K909" s="114"/>
      <c r="L909" s="156"/>
      <c r="M909" s="93"/>
      <c r="N909" s="123"/>
      <c r="O909" s="123"/>
      <c r="P909" s="123"/>
      <c r="Q909" s="164"/>
      <c r="R909" s="93"/>
      <c r="S909" s="123"/>
      <c r="T909" s="123"/>
      <c r="U909" s="123"/>
      <c r="V909" s="164"/>
      <c r="W909" s="93"/>
      <c r="X909" s="123"/>
      <c r="Y909" s="123"/>
      <c r="Z909" s="123"/>
      <c r="AA909" s="164"/>
      <c r="AB909" s="159"/>
    </row>
    <row r="910" spans="1:28" ht="13.95" customHeight="1" x14ac:dyDescent="0.25">
      <c r="A910" s="151"/>
      <c r="B910" s="154"/>
      <c r="C910" s="94"/>
      <c r="D910" s="124"/>
      <c r="E910" s="124"/>
      <c r="F910" s="124"/>
      <c r="G910" s="165"/>
      <c r="H910" s="130"/>
      <c r="I910" s="115"/>
      <c r="J910" s="115"/>
      <c r="K910" s="115"/>
      <c r="L910" s="157"/>
      <c r="M910" s="94"/>
      <c r="N910" s="124"/>
      <c r="O910" s="124"/>
      <c r="P910" s="124"/>
      <c r="Q910" s="165"/>
      <c r="R910" s="94"/>
      <c r="S910" s="124"/>
      <c r="T910" s="124"/>
      <c r="U910" s="124"/>
      <c r="V910" s="165"/>
      <c r="W910" s="94"/>
      <c r="X910" s="124"/>
      <c r="Y910" s="124"/>
      <c r="Z910" s="124"/>
      <c r="AA910" s="165"/>
      <c r="AB910" s="160"/>
    </row>
    <row r="911" spans="1:28" ht="13.95" customHeight="1" thickBot="1" x14ac:dyDescent="0.3">
      <c r="A911" s="152"/>
      <c r="B911" s="155"/>
      <c r="C911" s="95"/>
      <c r="D911" s="125"/>
      <c r="E911" s="125"/>
      <c r="F911" s="125"/>
      <c r="G911" s="166"/>
      <c r="H911" s="131"/>
      <c r="I911" s="116"/>
      <c r="J911" s="116"/>
      <c r="K911" s="116"/>
      <c r="L911" s="158"/>
      <c r="M911" s="95"/>
      <c r="N911" s="125"/>
      <c r="O911" s="125"/>
      <c r="P911" s="125"/>
      <c r="Q911" s="166"/>
      <c r="R911" s="95"/>
      <c r="S911" s="125"/>
      <c r="T911" s="125"/>
      <c r="U911" s="125"/>
      <c r="V911" s="166"/>
      <c r="W911" s="95"/>
      <c r="X911" s="125"/>
      <c r="Y911" s="125"/>
      <c r="Z911" s="125"/>
      <c r="AA911" s="166"/>
      <c r="AB911" s="161"/>
    </row>
    <row r="912" spans="1:28" ht="13.5" customHeight="1" thickTop="1" x14ac:dyDescent="0.25">
      <c r="A912" s="162">
        <f>ESCUADRAS!B174</f>
        <v>168</v>
      </c>
      <c r="B912" s="136">
        <f>ESCUADRAS!C172</f>
        <v>0</v>
      </c>
      <c r="C912" s="129"/>
      <c r="D912" s="114"/>
      <c r="E912" s="114"/>
      <c r="F912" s="114"/>
      <c r="G912" s="156"/>
      <c r="H912" s="93"/>
      <c r="I912" s="123"/>
      <c r="J912" s="123"/>
      <c r="K912" s="123"/>
      <c r="L912" s="164"/>
      <c r="M912" s="93"/>
      <c r="N912" s="123"/>
      <c r="O912" s="123"/>
      <c r="P912" s="123"/>
      <c r="Q912" s="164"/>
      <c r="R912" s="93"/>
      <c r="S912" s="123"/>
      <c r="T912" s="123"/>
      <c r="U912" s="123"/>
      <c r="V912" s="164"/>
      <c r="W912" s="93"/>
      <c r="X912" s="123"/>
      <c r="Y912" s="123"/>
      <c r="Z912" s="123"/>
      <c r="AA912" s="164"/>
      <c r="AB912" s="159"/>
    </row>
    <row r="913" spans="1:32" ht="13.95" customHeight="1" x14ac:dyDescent="0.25">
      <c r="A913" s="141"/>
      <c r="B913" s="137"/>
      <c r="C913" s="130"/>
      <c r="D913" s="115"/>
      <c r="E913" s="115"/>
      <c r="F913" s="115"/>
      <c r="G913" s="157"/>
      <c r="H913" s="94"/>
      <c r="I913" s="124"/>
      <c r="J913" s="124"/>
      <c r="K913" s="124"/>
      <c r="L913" s="165"/>
      <c r="M913" s="94"/>
      <c r="N913" s="124"/>
      <c r="O913" s="124"/>
      <c r="P913" s="124"/>
      <c r="Q913" s="165"/>
      <c r="R913" s="94"/>
      <c r="S913" s="124"/>
      <c r="T913" s="124"/>
      <c r="U913" s="124"/>
      <c r="V913" s="165"/>
      <c r="W913" s="94"/>
      <c r="X913" s="124"/>
      <c r="Y913" s="124"/>
      <c r="Z913" s="124"/>
      <c r="AA913" s="165"/>
      <c r="AB913" s="160"/>
    </row>
    <row r="914" spans="1:32" ht="13.95" customHeight="1" thickBot="1" x14ac:dyDescent="0.3">
      <c r="A914" s="142"/>
      <c r="B914" s="138"/>
      <c r="C914" s="131"/>
      <c r="D914" s="116"/>
      <c r="E914" s="116"/>
      <c r="F914" s="116"/>
      <c r="G914" s="158"/>
      <c r="H914" s="95"/>
      <c r="I914" s="125"/>
      <c r="J914" s="125"/>
      <c r="K914" s="125"/>
      <c r="L914" s="166"/>
      <c r="M914" s="95"/>
      <c r="N914" s="125"/>
      <c r="O914" s="125"/>
      <c r="P914" s="125"/>
      <c r="Q914" s="166"/>
      <c r="R914" s="95"/>
      <c r="S914" s="125"/>
      <c r="T914" s="125"/>
      <c r="U914" s="125"/>
      <c r="V914" s="166"/>
      <c r="W914" s="95"/>
      <c r="X914" s="125"/>
      <c r="Y914" s="125"/>
      <c r="Z914" s="125"/>
      <c r="AA914" s="166"/>
      <c r="AB914" s="161"/>
    </row>
    <row r="916" spans="1:32" ht="15" x14ac:dyDescent="0.25">
      <c r="A916" s="28"/>
      <c r="B916" s="26" t="s">
        <v>35</v>
      </c>
      <c r="E916" s="21" t="s">
        <v>41</v>
      </c>
      <c r="I916" s="21" t="s">
        <v>42</v>
      </c>
      <c r="M916" s="21" t="s">
        <v>43</v>
      </c>
      <c r="Q916" s="21" t="s">
        <v>44</v>
      </c>
      <c r="U916" s="21" t="s">
        <v>45</v>
      </c>
      <c r="Y916" s="21" t="s">
        <v>46</v>
      </c>
    </row>
    <row r="923" spans="1:32" ht="24.6" x14ac:dyDescent="0.25">
      <c r="A923" s="144" t="str">
        <f>'INSCRIPCION '!A$1</f>
        <v>TIRADA</v>
      </c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</row>
    <row r="924" spans="1:32" ht="24.6" x14ac:dyDescent="0.4">
      <c r="A924" s="23"/>
      <c r="B924" s="23"/>
    </row>
    <row r="925" spans="1:32" ht="22.8" x14ac:dyDescent="0.25">
      <c r="A925" s="132" t="str">
        <f>'INSCRIPCION '!A$2</f>
        <v>CAMPO DE TIRO LA ISLA</v>
      </c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</row>
    <row r="926" spans="1:32" ht="20.399999999999999" x14ac:dyDescent="0.25">
      <c r="A926" s="143" t="str">
        <f>'INSCRIPCION '!A$3</f>
        <v>XXX PLATOS</v>
      </c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  <c r="AA926" s="143"/>
      <c r="AB926" s="143"/>
      <c r="AC926" s="143"/>
      <c r="AD926" s="143"/>
      <c r="AE926" s="143"/>
      <c r="AF926" s="143"/>
    </row>
    <row r="927" spans="1:32" ht="22.8" x14ac:dyDescent="0.4">
      <c r="A927" s="24"/>
      <c r="B927" s="24"/>
    </row>
    <row r="928" spans="1:32" ht="17.399999999999999" x14ac:dyDescent="0.3">
      <c r="A928" s="25" t="s">
        <v>39</v>
      </c>
      <c r="B928" s="25"/>
      <c r="J928" s="9" t="s">
        <v>6</v>
      </c>
      <c r="K928" s="9"/>
      <c r="L928" s="9"/>
      <c r="M928" s="9"/>
      <c r="N928" s="9"/>
      <c r="O928" s="22">
        <v>3</v>
      </c>
      <c r="P928" s="22"/>
      <c r="Q928" s="8"/>
      <c r="R928" s="8"/>
      <c r="S928" s="7"/>
      <c r="T928" s="8"/>
      <c r="U928" s="8"/>
      <c r="V928" s="9" t="s">
        <v>7</v>
      </c>
      <c r="W928" s="9"/>
      <c r="X928" s="9"/>
      <c r="Y928" s="9"/>
      <c r="Z928" s="22">
        <v>3</v>
      </c>
      <c r="AA928" s="22"/>
    </row>
    <row r="929" spans="1:28" ht="13.8" thickBot="1" x14ac:dyDescent="0.3"/>
    <row r="930" spans="1:28" ht="15.6" thickBot="1" x14ac:dyDescent="0.3">
      <c r="A930" s="27" t="s">
        <v>0</v>
      </c>
      <c r="B930" s="27" t="s">
        <v>8</v>
      </c>
      <c r="C930" s="47">
        <v>1</v>
      </c>
      <c r="D930" s="48">
        <v>2</v>
      </c>
      <c r="E930" s="48">
        <v>3</v>
      </c>
      <c r="F930" s="48">
        <v>4</v>
      </c>
      <c r="G930" s="49">
        <v>5</v>
      </c>
      <c r="H930" s="47">
        <v>6</v>
      </c>
      <c r="I930" s="48">
        <v>7</v>
      </c>
      <c r="J930" s="48">
        <v>8</v>
      </c>
      <c r="K930" s="48">
        <v>9</v>
      </c>
      <c r="L930" s="49">
        <v>10</v>
      </c>
      <c r="M930" s="47">
        <v>11</v>
      </c>
      <c r="N930" s="48">
        <v>12</v>
      </c>
      <c r="O930" s="48">
        <v>13</v>
      </c>
      <c r="P930" s="48">
        <v>14</v>
      </c>
      <c r="Q930" s="49">
        <v>15</v>
      </c>
      <c r="R930" s="47">
        <v>16</v>
      </c>
      <c r="S930" s="48">
        <v>17</v>
      </c>
      <c r="T930" s="48">
        <v>18</v>
      </c>
      <c r="U930" s="48">
        <v>19</v>
      </c>
      <c r="V930" s="49">
        <v>20</v>
      </c>
      <c r="W930" s="47">
        <v>21</v>
      </c>
      <c r="X930" s="48">
        <v>22</v>
      </c>
      <c r="Y930" s="48">
        <v>23</v>
      </c>
      <c r="Z930" s="48">
        <v>24</v>
      </c>
      <c r="AA930" s="49">
        <v>25</v>
      </c>
      <c r="AB930" s="30" t="s">
        <v>1</v>
      </c>
    </row>
    <row r="931" spans="1:28" ht="14.25" customHeight="1" thickTop="1" x14ac:dyDescent="0.25">
      <c r="A931" s="150">
        <f>ESCUADRAS!B175</f>
        <v>169</v>
      </c>
      <c r="B931" s="153">
        <f>ESCUADRAS!C179</f>
        <v>0</v>
      </c>
      <c r="C931" s="129"/>
      <c r="D931" s="114"/>
      <c r="E931" s="114"/>
      <c r="F931" s="114"/>
      <c r="G931" s="156"/>
      <c r="H931" s="129"/>
      <c r="I931" s="114"/>
      <c r="J931" s="114"/>
      <c r="K931" s="114"/>
      <c r="L931" s="156"/>
      <c r="M931" s="129"/>
      <c r="N931" s="114"/>
      <c r="O931" s="114"/>
      <c r="P931" s="114"/>
      <c r="Q931" s="156"/>
      <c r="R931" s="129"/>
      <c r="S931" s="114"/>
      <c r="T931" s="114"/>
      <c r="U931" s="114"/>
      <c r="V931" s="156"/>
      <c r="W931" s="129"/>
      <c r="X931" s="114"/>
      <c r="Y931" s="114"/>
      <c r="Z931" s="114"/>
      <c r="AA931" s="156"/>
      <c r="AB931" s="159"/>
    </row>
    <row r="932" spans="1:28" ht="13.95" customHeight="1" x14ac:dyDescent="0.25">
      <c r="A932" s="151"/>
      <c r="B932" s="154"/>
      <c r="C932" s="130"/>
      <c r="D932" s="115"/>
      <c r="E932" s="115"/>
      <c r="F932" s="115"/>
      <c r="G932" s="157"/>
      <c r="H932" s="130"/>
      <c r="I932" s="115"/>
      <c r="J932" s="115"/>
      <c r="K932" s="115"/>
      <c r="L932" s="157"/>
      <c r="M932" s="130"/>
      <c r="N932" s="115"/>
      <c r="O932" s="115"/>
      <c r="P932" s="115"/>
      <c r="Q932" s="157"/>
      <c r="R932" s="130"/>
      <c r="S932" s="115"/>
      <c r="T932" s="115"/>
      <c r="U932" s="115"/>
      <c r="V932" s="157"/>
      <c r="W932" s="130"/>
      <c r="X932" s="115"/>
      <c r="Y932" s="115"/>
      <c r="Z932" s="115"/>
      <c r="AA932" s="157"/>
      <c r="AB932" s="160"/>
    </row>
    <row r="933" spans="1:28" ht="13.95" customHeight="1" thickBot="1" x14ac:dyDescent="0.3">
      <c r="A933" s="152"/>
      <c r="B933" s="155"/>
      <c r="C933" s="131"/>
      <c r="D933" s="116"/>
      <c r="E933" s="116"/>
      <c r="F933" s="116"/>
      <c r="G933" s="158"/>
      <c r="H933" s="131"/>
      <c r="I933" s="116"/>
      <c r="J933" s="116"/>
      <c r="K933" s="116"/>
      <c r="L933" s="158"/>
      <c r="M933" s="131"/>
      <c r="N933" s="116"/>
      <c r="O933" s="116"/>
      <c r="P933" s="116"/>
      <c r="Q933" s="158"/>
      <c r="R933" s="131"/>
      <c r="S933" s="116"/>
      <c r="T933" s="116"/>
      <c r="U933" s="116"/>
      <c r="V933" s="158"/>
      <c r="W933" s="131"/>
      <c r="X933" s="116"/>
      <c r="Y933" s="116"/>
      <c r="Z933" s="116"/>
      <c r="AA933" s="158"/>
      <c r="AB933" s="161"/>
    </row>
    <row r="934" spans="1:28" ht="14.25" customHeight="1" thickTop="1" x14ac:dyDescent="0.25">
      <c r="A934" s="162">
        <f>ESCUADRAS!B176</f>
        <v>170</v>
      </c>
      <c r="B934" s="136">
        <f>ESCUADRAS!C180</f>
        <v>0</v>
      </c>
      <c r="C934" s="93"/>
      <c r="D934" s="123"/>
      <c r="E934" s="123"/>
      <c r="F934" s="123"/>
      <c r="G934" s="164"/>
      <c r="H934" s="93"/>
      <c r="I934" s="123"/>
      <c r="J934" s="123"/>
      <c r="K934" s="123"/>
      <c r="L934" s="164"/>
      <c r="M934" s="93"/>
      <c r="N934" s="123"/>
      <c r="O934" s="123"/>
      <c r="P934" s="123"/>
      <c r="Q934" s="164"/>
      <c r="R934" s="93"/>
      <c r="S934" s="123"/>
      <c r="T934" s="123"/>
      <c r="U934" s="123"/>
      <c r="V934" s="164"/>
      <c r="W934" s="129"/>
      <c r="X934" s="114"/>
      <c r="Y934" s="114"/>
      <c r="Z934" s="114"/>
      <c r="AA934" s="156"/>
      <c r="AB934" s="159"/>
    </row>
    <row r="935" spans="1:28" ht="13.95" customHeight="1" x14ac:dyDescent="0.25">
      <c r="A935" s="141"/>
      <c r="B935" s="137"/>
      <c r="C935" s="94"/>
      <c r="D935" s="124"/>
      <c r="E935" s="124"/>
      <c r="F935" s="124"/>
      <c r="G935" s="165"/>
      <c r="H935" s="94"/>
      <c r="I935" s="124"/>
      <c r="J935" s="124"/>
      <c r="K935" s="124"/>
      <c r="L935" s="165"/>
      <c r="M935" s="94"/>
      <c r="N935" s="124"/>
      <c r="O935" s="124"/>
      <c r="P935" s="124"/>
      <c r="Q935" s="165"/>
      <c r="R935" s="94"/>
      <c r="S935" s="124"/>
      <c r="T935" s="124"/>
      <c r="U935" s="124"/>
      <c r="V935" s="165"/>
      <c r="W935" s="130"/>
      <c r="X935" s="115"/>
      <c r="Y935" s="115"/>
      <c r="Z935" s="115"/>
      <c r="AA935" s="157"/>
      <c r="AB935" s="160"/>
    </row>
    <row r="936" spans="1:28" ht="13.95" customHeight="1" thickBot="1" x14ac:dyDescent="0.3">
      <c r="A936" s="163"/>
      <c r="B936" s="138"/>
      <c r="C936" s="95"/>
      <c r="D936" s="125"/>
      <c r="E936" s="125"/>
      <c r="F936" s="125"/>
      <c r="G936" s="166"/>
      <c r="H936" s="95"/>
      <c r="I936" s="125"/>
      <c r="J936" s="125"/>
      <c r="K936" s="125"/>
      <c r="L936" s="166"/>
      <c r="M936" s="95"/>
      <c r="N936" s="125"/>
      <c r="O936" s="125"/>
      <c r="P936" s="125"/>
      <c r="Q936" s="166"/>
      <c r="R936" s="95"/>
      <c r="S936" s="125"/>
      <c r="T936" s="125"/>
      <c r="U936" s="125"/>
      <c r="V936" s="166"/>
      <c r="W936" s="131"/>
      <c r="X936" s="116"/>
      <c r="Y936" s="116"/>
      <c r="Z936" s="116"/>
      <c r="AA936" s="158"/>
      <c r="AB936" s="161"/>
    </row>
    <row r="937" spans="1:28" ht="14.25" customHeight="1" thickTop="1" x14ac:dyDescent="0.25">
      <c r="A937" s="150">
        <f>ESCUADRAS!B177</f>
        <v>171</v>
      </c>
      <c r="B937" s="153">
        <f>ESCUADRAS!C175</f>
        <v>0</v>
      </c>
      <c r="C937" s="93"/>
      <c r="D937" s="123"/>
      <c r="E937" s="123"/>
      <c r="F937" s="123"/>
      <c r="G937" s="164"/>
      <c r="H937" s="93"/>
      <c r="I937" s="123"/>
      <c r="J937" s="123"/>
      <c r="K937" s="123"/>
      <c r="L937" s="164"/>
      <c r="M937" s="93"/>
      <c r="N937" s="123"/>
      <c r="O937" s="123"/>
      <c r="P937" s="123"/>
      <c r="Q937" s="164"/>
      <c r="R937" s="129"/>
      <c r="S937" s="114"/>
      <c r="T937" s="114"/>
      <c r="U937" s="114"/>
      <c r="V937" s="156"/>
      <c r="W937" s="93"/>
      <c r="X937" s="123"/>
      <c r="Y937" s="123"/>
      <c r="Z937" s="123"/>
      <c r="AA937" s="164"/>
      <c r="AB937" s="159"/>
    </row>
    <row r="938" spans="1:28" ht="13.95" customHeight="1" x14ac:dyDescent="0.25">
      <c r="A938" s="151"/>
      <c r="B938" s="154"/>
      <c r="C938" s="94"/>
      <c r="D938" s="124"/>
      <c r="E938" s="124"/>
      <c r="F938" s="124"/>
      <c r="G938" s="165"/>
      <c r="H938" s="94"/>
      <c r="I938" s="124"/>
      <c r="J938" s="124"/>
      <c r="K938" s="124"/>
      <c r="L938" s="165"/>
      <c r="M938" s="94"/>
      <c r="N938" s="124"/>
      <c r="O938" s="124"/>
      <c r="P938" s="124"/>
      <c r="Q938" s="165"/>
      <c r="R938" s="130"/>
      <c r="S938" s="115"/>
      <c r="T938" s="115"/>
      <c r="U938" s="115"/>
      <c r="V938" s="157"/>
      <c r="W938" s="94"/>
      <c r="X938" s="124"/>
      <c r="Y938" s="124"/>
      <c r="Z938" s="124"/>
      <c r="AA938" s="165"/>
      <c r="AB938" s="160"/>
    </row>
    <row r="939" spans="1:28" ht="13.95" customHeight="1" thickBot="1" x14ac:dyDescent="0.3">
      <c r="A939" s="152"/>
      <c r="B939" s="155"/>
      <c r="C939" s="95"/>
      <c r="D939" s="125"/>
      <c r="E939" s="125"/>
      <c r="F939" s="125"/>
      <c r="G939" s="166"/>
      <c r="H939" s="95"/>
      <c r="I939" s="125"/>
      <c r="J939" s="125"/>
      <c r="K939" s="125"/>
      <c r="L939" s="166"/>
      <c r="M939" s="95"/>
      <c r="N939" s="125"/>
      <c r="O939" s="125"/>
      <c r="P939" s="125"/>
      <c r="Q939" s="166"/>
      <c r="R939" s="131"/>
      <c r="S939" s="116"/>
      <c r="T939" s="116"/>
      <c r="U939" s="116"/>
      <c r="V939" s="158"/>
      <c r="W939" s="95"/>
      <c r="X939" s="125"/>
      <c r="Y939" s="125"/>
      <c r="Z939" s="125"/>
      <c r="AA939" s="166"/>
      <c r="AB939" s="161"/>
    </row>
    <row r="940" spans="1:28" ht="13.5" customHeight="1" thickTop="1" x14ac:dyDescent="0.25">
      <c r="A940" s="162">
        <f>ESCUADRAS!B178</f>
        <v>172</v>
      </c>
      <c r="B940" s="136">
        <f>ESCUADRAS!C176</f>
        <v>0</v>
      </c>
      <c r="C940" s="93"/>
      <c r="D940" s="123"/>
      <c r="E940" s="123"/>
      <c r="F940" s="123"/>
      <c r="G940" s="164"/>
      <c r="H940" s="93"/>
      <c r="I940" s="123"/>
      <c r="J940" s="123"/>
      <c r="K940" s="123"/>
      <c r="L940" s="164"/>
      <c r="M940" s="129"/>
      <c r="N940" s="114"/>
      <c r="O940" s="114"/>
      <c r="P940" s="114"/>
      <c r="Q940" s="156"/>
      <c r="R940" s="93"/>
      <c r="S940" s="123"/>
      <c r="T940" s="123"/>
      <c r="U940" s="123"/>
      <c r="V940" s="164"/>
      <c r="W940" s="93"/>
      <c r="X940" s="123"/>
      <c r="Y940" s="123"/>
      <c r="Z940" s="123"/>
      <c r="AA940" s="164"/>
      <c r="AB940" s="159"/>
    </row>
    <row r="941" spans="1:28" ht="14.25" customHeight="1" x14ac:dyDescent="0.25">
      <c r="A941" s="141"/>
      <c r="B941" s="137"/>
      <c r="C941" s="94"/>
      <c r="D941" s="124"/>
      <c r="E941" s="124"/>
      <c r="F941" s="124"/>
      <c r="G941" s="165"/>
      <c r="H941" s="94"/>
      <c r="I941" s="124"/>
      <c r="J941" s="124"/>
      <c r="K941" s="124"/>
      <c r="L941" s="165"/>
      <c r="M941" s="130"/>
      <c r="N941" s="115"/>
      <c r="O941" s="115"/>
      <c r="P941" s="115"/>
      <c r="Q941" s="157"/>
      <c r="R941" s="94"/>
      <c r="S941" s="124"/>
      <c r="T941" s="124"/>
      <c r="U941" s="124"/>
      <c r="V941" s="165"/>
      <c r="W941" s="94"/>
      <c r="X941" s="124"/>
      <c r="Y941" s="124"/>
      <c r="Z941" s="124"/>
      <c r="AA941" s="165"/>
      <c r="AB941" s="160"/>
    </row>
    <row r="942" spans="1:28" ht="13.5" customHeight="1" thickBot="1" x14ac:dyDescent="0.3">
      <c r="A942" s="163"/>
      <c r="B942" s="138"/>
      <c r="C942" s="95"/>
      <c r="D942" s="125"/>
      <c r="E942" s="125"/>
      <c r="F942" s="125"/>
      <c r="G942" s="166"/>
      <c r="H942" s="95"/>
      <c r="I942" s="125"/>
      <c r="J942" s="125"/>
      <c r="K942" s="125"/>
      <c r="L942" s="166"/>
      <c r="M942" s="131"/>
      <c r="N942" s="116"/>
      <c r="O942" s="116"/>
      <c r="P942" s="116"/>
      <c r="Q942" s="158"/>
      <c r="R942" s="95"/>
      <c r="S942" s="125"/>
      <c r="T942" s="125"/>
      <c r="U942" s="125"/>
      <c r="V942" s="166"/>
      <c r="W942" s="95"/>
      <c r="X942" s="125"/>
      <c r="Y942" s="125"/>
      <c r="Z942" s="125"/>
      <c r="AA942" s="166"/>
      <c r="AB942" s="161"/>
    </row>
    <row r="943" spans="1:28" ht="14.25" customHeight="1" thickTop="1" x14ac:dyDescent="0.25">
      <c r="A943" s="150">
        <f>ESCUADRAS!B179</f>
        <v>173</v>
      </c>
      <c r="B943" s="153">
        <f>ESCUADRAS!C177</f>
        <v>0</v>
      </c>
      <c r="C943" s="93"/>
      <c r="D943" s="123"/>
      <c r="E943" s="123"/>
      <c r="F943" s="123"/>
      <c r="G943" s="164"/>
      <c r="H943" s="129"/>
      <c r="I943" s="114"/>
      <c r="J943" s="114"/>
      <c r="K943" s="114"/>
      <c r="L943" s="156"/>
      <c r="M943" s="93"/>
      <c r="N943" s="123"/>
      <c r="O943" s="123"/>
      <c r="P943" s="123"/>
      <c r="Q943" s="164"/>
      <c r="R943" s="93"/>
      <c r="S943" s="123"/>
      <c r="T943" s="123"/>
      <c r="U943" s="123"/>
      <c r="V943" s="164"/>
      <c r="W943" s="93"/>
      <c r="X943" s="123"/>
      <c r="Y943" s="123"/>
      <c r="Z943" s="123"/>
      <c r="AA943" s="164"/>
      <c r="AB943" s="159"/>
    </row>
    <row r="944" spans="1:28" ht="14.25" customHeight="1" x14ac:dyDescent="0.25">
      <c r="A944" s="151"/>
      <c r="B944" s="154"/>
      <c r="C944" s="94"/>
      <c r="D944" s="124"/>
      <c r="E944" s="124"/>
      <c r="F944" s="124"/>
      <c r="G944" s="165"/>
      <c r="H944" s="130"/>
      <c r="I944" s="115"/>
      <c r="J944" s="115"/>
      <c r="K944" s="115"/>
      <c r="L944" s="157"/>
      <c r="M944" s="94"/>
      <c r="N944" s="124"/>
      <c r="O944" s="124"/>
      <c r="P944" s="124"/>
      <c r="Q944" s="165"/>
      <c r="R944" s="94"/>
      <c r="S944" s="124"/>
      <c r="T944" s="124"/>
      <c r="U944" s="124"/>
      <c r="V944" s="165"/>
      <c r="W944" s="94"/>
      <c r="X944" s="124"/>
      <c r="Y944" s="124"/>
      <c r="Z944" s="124"/>
      <c r="AA944" s="165"/>
      <c r="AB944" s="160"/>
    </row>
    <row r="945" spans="1:32" ht="13.5" customHeight="1" thickBot="1" x14ac:dyDescent="0.3">
      <c r="A945" s="152"/>
      <c r="B945" s="155"/>
      <c r="C945" s="95"/>
      <c r="D945" s="125"/>
      <c r="E945" s="125"/>
      <c r="F945" s="125"/>
      <c r="G945" s="166"/>
      <c r="H945" s="131"/>
      <c r="I945" s="116"/>
      <c r="J945" s="116"/>
      <c r="K945" s="116"/>
      <c r="L945" s="158"/>
      <c r="M945" s="95"/>
      <c r="N945" s="125"/>
      <c r="O945" s="125"/>
      <c r="P945" s="125"/>
      <c r="Q945" s="166"/>
      <c r="R945" s="95"/>
      <c r="S945" s="125"/>
      <c r="T945" s="125"/>
      <c r="U945" s="125"/>
      <c r="V945" s="166"/>
      <c r="W945" s="95"/>
      <c r="X945" s="125"/>
      <c r="Y945" s="125"/>
      <c r="Z945" s="125"/>
      <c r="AA945" s="166"/>
      <c r="AB945" s="161"/>
    </row>
    <row r="946" spans="1:32" ht="13.5" customHeight="1" thickTop="1" x14ac:dyDescent="0.25">
      <c r="A946" s="162">
        <f>ESCUADRAS!B180</f>
        <v>174</v>
      </c>
      <c r="B946" s="136">
        <f>ESCUADRAS!C178</f>
        <v>0</v>
      </c>
      <c r="C946" s="129"/>
      <c r="D946" s="114"/>
      <c r="E946" s="114"/>
      <c r="F946" s="114"/>
      <c r="G946" s="156"/>
      <c r="H946" s="93"/>
      <c r="I946" s="123"/>
      <c r="J946" s="123"/>
      <c r="K946" s="123"/>
      <c r="L946" s="164"/>
      <c r="M946" s="93"/>
      <c r="N946" s="123"/>
      <c r="O946" s="123"/>
      <c r="P946" s="123"/>
      <c r="Q946" s="164"/>
      <c r="R946" s="93"/>
      <c r="S946" s="123"/>
      <c r="T946" s="123"/>
      <c r="U946" s="123"/>
      <c r="V946" s="164"/>
      <c r="W946" s="93"/>
      <c r="X946" s="123"/>
      <c r="Y946" s="123"/>
      <c r="Z946" s="123"/>
      <c r="AA946" s="164"/>
      <c r="AB946" s="159"/>
    </row>
    <row r="947" spans="1:32" ht="14.25" customHeight="1" x14ac:dyDescent="0.25">
      <c r="A947" s="141"/>
      <c r="B947" s="137"/>
      <c r="C947" s="130"/>
      <c r="D947" s="115"/>
      <c r="E947" s="115"/>
      <c r="F947" s="115"/>
      <c r="G947" s="157"/>
      <c r="H947" s="94"/>
      <c r="I947" s="124"/>
      <c r="J947" s="124"/>
      <c r="K947" s="124"/>
      <c r="L947" s="165"/>
      <c r="M947" s="94"/>
      <c r="N947" s="124"/>
      <c r="O947" s="124"/>
      <c r="P947" s="124"/>
      <c r="Q947" s="165"/>
      <c r="R947" s="94"/>
      <c r="S947" s="124"/>
      <c r="T947" s="124"/>
      <c r="U947" s="124"/>
      <c r="V947" s="165"/>
      <c r="W947" s="94"/>
      <c r="X947" s="124"/>
      <c r="Y947" s="124"/>
      <c r="Z947" s="124"/>
      <c r="AA947" s="165"/>
      <c r="AB947" s="160"/>
    </row>
    <row r="948" spans="1:32" ht="13.5" customHeight="1" thickBot="1" x14ac:dyDescent="0.3">
      <c r="A948" s="142"/>
      <c r="B948" s="138"/>
      <c r="C948" s="131"/>
      <c r="D948" s="116"/>
      <c r="E948" s="116"/>
      <c r="F948" s="116"/>
      <c r="G948" s="158"/>
      <c r="H948" s="95"/>
      <c r="I948" s="125"/>
      <c r="J948" s="125"/>
      <c r="K948" s="125"/>
      <c r="L948" s="166"/>
      <c r="M948" s="95"/>
      <c r="N948" s="125"/>
      <c r="O948" s="125"/>
      <c r="P948" s="125"/>
      <c r="Q948" s="166"/>
      <c r="R948" s="95"/>
      <c r="S948" s="125"/>
      <c r="T948" s="125"/>
      <c r="U948" s="125"/>
      <c r="V948" s="166"/>
      <c r="W948" s="95"/>
      <c r="X948" s="125"/>
      <c r="Y948" s="125"/>
      <c r="Z948" s="125"/>
      <c r="AA948" s="166"/>
      <c r="AB948" s="161"/>
    </row>
    <row r="950" spans="1:32" ht="15" x14ac:dyDescent="0.25">
      <c r="A950" s="28"/>
      <c r="B950" s="26" t="s">
        <v>35</v>
      </c>
      <c r="E950" s="21" t="s">
        <v>41</v>
      </c>
      <c r="I950" s="21" t="s">
        <v>42</v>
      </c>
      <c r="M950" s="21" t="s">
        <v>43</v>
      </c>
      <c r="Q950" s="21" t="s">
        <v>44</v>
      </c>
      <c r="U950" s="21" t="s">
        <v>45</v>
      </c>
      <c r="Y950" s="21" t="s">
        <v>46</v>
      </c>
    </row>
    <row r="957" spans="1:32" ht="24.6" x14ac:dyDescent="0.25">
      <c r="A957" s="144" t="str">
        <f>'INSCRIPCION '!A$1</f>
        <v>TIRADA</v>
      </c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</row>
    <row r="958" spans="1:32" ht="24.6" x14ac:dyDescent="0.4">
      <c r="A958" s="23"/>
      <c r="B958" s="23"/>
    </row>
    <row r="959" spans="1:32" ht="22.8" x14ac:dyDescent="0.25">
      <c r="A959" s="132" t="str">
        <f>'INSCRIPCION '!A$2</f>
        <v>CAMPO DE TIRO LA ISLA</v>
      </c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</row>
    <row r="960" spans="1:32" ht="20.399999999999999" x14ac:dyDescent="0.25">
      <c r="A960" s="143" t="str">
        <f>'INSCRIPCION '!A$3</f>
        <v>XXX PLATOS</v>
      </c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143"/>
      <c r="N960" s="143"/>
      <c r="O960" s="143"/>
      <c r="P960" s="143"/>
      <c r="Q960" s="143"/>
      <c r="R960" s="143"/>
      <c r="S960" s="143"/>
      <c r="T960" s="143"/>
      <c r="U960" s="143"/>
      <c r="V960" s="143"/>
      <c r="W960" s="143"/>
      <c r="X960" s="143"/>
      <c r="Y960" s="143"/>
      <c r="Z960" s="143"/>
      <c r="AA960" s="143"/>
      <c r="AB960" s="143"/>
      <c r="AC960" s="143"/>
      <c r="AD960" s="143"/>
      <c r="AE960" s="143"/>
      <c r="AF960" s="143"/>
    </row>
    <row r="961" spans="1:28" ht="22.8" x14ac:dyDescent="0.4">
      <c r="A961" s="24"/>
      <c r="B961" s="24"/>
    </row>
    <row r="962" spans="1:28" ht="17.399999999999999" x14ac:dyDescent="0.3">
      <c r="A962" s="25" t="s">
        <v>40</v>
      </c>
      <c r="B962" s="25"/>
      <c r="J962" s="9" t="s">
        <v>6</v>
      </c>
      <c r="K962" s="9"/>
      <c r="L962" s="9"/>
      <c r="M962" s="9"/>
      <c r="N962" s="9"/>
      <c r="O962" s="22">
        <v>4</v>
      </c>
      <c r="P962" s="22"/>
      <c r="Q962" s="8"/>
      <c r="R962" s="8"/>
      <c r="S962" s="7"/>
      <c r="T962" s="8"/>
      <c r="U962" s="8"/>
      <c r="V962" s="9" t="s">
        <v>7</v>
      </c>
      <c r="W962" s="9"/>
      <c r="X962" s="9"/>
      <c r="Y962" s="9"/>
      <c r="Z962" s="22">
        <v>3</v>
      </c>
      <c r="AA962" s="22"/>
    </row>
    <row r="963" spans="1:28" ht="13.8" thickBot="1" x14ac:dyDescent="0.3"/>
    <row r="964" spans="1:28" ht="15.6" thickBot="1" x14ac:dyDescent="0.3">
      <c r="A964" s="27" t="s">
        <v>0</v>
      </c>
      <c r="B964" s="27" t="s">
        <v>8</v>
      </c>
      <c r="C964" s="47">
        <v>1</v>
      </c>
      <c r="D964" s="48">
        <v>2</v>
      </c>
      <c r="E964" s="48">
        <v>3</v>
      </c>
      <c r="F964" s="48">
        <v>4</v>
      </c>
      <c r="G964" s="49">
        <v>5</v>
      </c>
      <c r="H964" s="47">
        <v>6</v>
      </c>
      <c r="I964" s="48">
        <v>7</v>
      </c>
      <c r="J964" s="48">
        <v>8</v>
      </c>
      <c r="K964" s="48">
        <v>9</v>
      </c>
      <c r="L964" s="49">
        <v>10</v>
      </c>
      <c r="M964" s="47">
        <v>11</v>
      </c>
      <c r="N964" s="48">
        <v>12</v>
      </c>
      <c r="O964" s="48">
        <v>13</v>
      </c>
      <c r="P964" s="48">
        <v>14</v>
      </c>
      <c r="Q964" s="49">
        <v>15</v>
      </c>
      <c r="R964" s="47">
        <v>16</v>
      </c>
      <c r="S964" s="48">
        <v>17</v>
      </c>
      <c r="T964" s="48">
        <v>18</v>
      </c>
      <c r="U964" s="48">
        <v>19</v>
      </c>
      <c r="V964" s="49">
        <v>20</v>
      </c>
      <c r="W964" s="47">
        <v>21</v>
      </c>
      <c r="X964" s="48">
        <v>22</v>
      </c>
      <c r="Y964" s="48">
        <v>23</v>
      </c>
      <c r="Z964" s="48">
        <v>24</v>
      </c>
      <c r="AA964" s="49">
        <v>25</v>
      </c>
      <c r="AB964" s="30" t="s">
        <v>1</v>
      </c>
    </row>
    <row r="965" spans="1:28" ht="14.25" customHeight="1" thickTop="1" x14ac:dyDescent="0.25">
      <c r="A965" s="150">
        <f>ESCUADRAS!B181</f>
        <v>175</v>
      </c>
      <c r="B965" s="153">
        <f>ESCUADRAS!C185</f>
        <v>0</v>
      </c>
      <c r="C965" s="129"/>
      <c r="D965" s="114"/>
      <c r="E965" s="114"/>
      <c r="F965" s="114"/>
      <c r="G965" s="156"/>
      <c r="H965" s="129"/>
      <c r="I965" s="114"/>
      <c r="J965" s="114"/>
      <c r="K965" s="114"/>
      <c r="L965" s="156"/>
      <c r="M965" s="129"/>
      <c r="N965" s="114"/>
      <c r="O965" s="114"/>
      <c r="P965" s="114"/>
      <c r="Q965" s="156"/>
      <c r="R965" s="129"/>
      <c r="S965" s="114"/>
      <c r="T965" s="114"/>
      <c r="U965" s="114"/>
      <c r="V965" s="156"/>
      <c r="W965" s="129"/>
      <c r="X965" s="114"/>
      <c r="Y965" s="114"/>
      <c r="Z965" s="114"/>
      <c r="AA965" s="156"/>
      <c r="AB965" s="159"/>
    </row>
    <row r="966" spans="1:28" ht="13.95" customHeight="1" x14ac:dyDescent="0.25">
      <c r="A966" s="151"/>
      <c r="B966" s="154"/>
      <c r="C966" s="130"/>
      <c r="D966" s="115"/>
      <c r="E966" s="115"/>
      <c r="F966" s="115"/>
      <c r="G966" s="157"/>
      <c r="H966" s="130"/>
      <c r="I966" s="115"/>
      <c r="J966" s="115"/>
      <c r="K966" s="115"/>
      <c r="L966" s="157"/>
      <c r="M966" s="130"/>
      <c r="N966" s="115"/>
      <c r="O966" s="115"/>
      <c r="P966" s="115"/>
      <c r="Q966" s="157"/>
      <c r="R966" s="130"/>
      <c r="S966" s="115"/>
      <c r="T966" s="115"/>
      <c r="U966" s="115"/>
      <c r="V966" s="157"/>
      <c r="W966" s="130"/>
      <c r="X966" s="115"/>
      <c r="Y966" s="115"/>
      <c r="Z966" s="115"/>
      <c r="AA966" s="157"/>
      <c r="AB966" s="160"/>
    </row>
    <row r="967" spans="1:28" ht="13.95" customHeight="1" thickBot="1" x14ac:dyDescent="0.3">
      <c r="A967" s="152"/>
      <c r="B967" s="155"/>
      <c r="C967" s="131"/>
      <c r="D967" s="116"/>
      <c r="E967" s="116"/>
      <c r="F967" s="116"/>
      <c r="G967" s="158"/>
      <c r="H967" s="131"/>
      <c r="I967" s="116"/>
      <c r="J967" s="116"/>
      <c r="K967" s="116"/>
      <c r="L967" s="158"/>
      <c r="M967" s="131"/>
      <c r="N967" s="116"/>
      <c r="O967" s="116"/>
      <c r="P967" s="116"/>
      <c r="Q967" s="158"/>
      <c r="R967" s="131"/>
      <c r="S967" s="116"/>
      <c r="T967" s="116"/>
      <c r="U967" s="116"/>
      <c r="V967" s="158"/>
      <c r="W967" s="131"/>
      <c r="X967" s="116"/>
      <c r="Y967" s="116"/>
      <c r="Z967" s="116"/>
      <c r="AA967" s="158"/>
      <c r="AB967" s="161"/>
    </row>
    <row r="968" spans="1:28" ht="14.25" customHeight="1" thickTop="1" x14ac:dyDescent="0.25">
      <c r="A968" s="162">
        <f>ESCUADRAS!B182</f>
        <v>176</v>
      </c>
      <c r="B968" s="136">
        <f>ESCUADRAS!C186</f>
        <v>0</v>
      </c>
      <c r="C968" s="93"/>
      <c r="D968" s="123"/>
      <c r="E968" s="123"/>
      <c r="F968" s="123"/>
      <c r="G968" s="164"/>
      <c r="H968" s="93"/>
      <c r="I968" s="123"/>
      <c r="J968" s="123"/>
      <c r="K968" s="123"/>
      <c r="L968" s="164"/>
      <c r="M968" s="93"/>
      <c r="N968" s="123"/>
      <c r="O968" s="123"/>
      <c r="P968" s="123"/>
      <c r="Q968" s="164"/>
      <c r="R968" s="93"/>
      <c r="S968" s="123"/>
      <c r="T968" s="123"/>
      <c r="U968" s="123"/>
      <c r="V968" s="164"/>
      <c r="W968" s="129"/>
      <c r="X968" s="114"/>
      <c r="Y968" s="114"/>
      <c r="Z968" s="114"/>
      <c r="AA968" s="156"/>
      <c r="AB968" s="159"/>
    </row>
    <row r="969" spans="1:28" ht="13.95" customHeight="1" x14ac:dyDescent="0.25">
      <c r="A969" s="141"/>
      <c r="B969" s="137"/>
      <c r="C969" s="94"/>
      <c r="D969" s="124"/>
      <c r="E969" s="124"/>
      <c r="F969" s="124"/>
      <c r="G969" s="165"/>
      <c r="H969" s="94"/>
      <c r="I969" s="124"/>
      <c r="J969" s="124"/>
      <c r="K969" s="124"/>
      <c r="L969" s="165"/>
      <c r="M969" s="94"/>
      <c r="N969" s="124"/>
      <c r="O969" s="124"/>
      <c r="P969" s="124"/>
      <c r="Q969" s="165"/>
      <c r="R969" s="94"/>
      <c r="S969" s="124"/>
      <c r="T969" s="124"/>
      <c r="U969" s="124"/>
      <c r="V969" s="165"/>
      <c r="W969" s="130"/>
      <c r="X969" s="115"/>
      <c r="Y969" s="115"/>
      <c r="Z969" s="115"/>
      <c r="AA969" s="157"/>
      <c r="AB969" s="160"/>
    </row>
    <row r="970" spans="1:28" ht="13.95" customHeight="1" thickBot="1" x14ac:dyDescent="0.3">
      <c r="A970" s="163"/>
      <c r="B970" s="138"/>
      <c r="C970" s="95"/>
      <c r="D970" s="125"/>
      <c r="E970" s="125"/>
      <c r="F970" s="125"/>
      <c r="G970" s="166"/>
      <c r="H970" s="95"/>
      <c r="I970" s="125"/>
      <c r="J970" s="125"/>
      <c r="K970" s="125"/>
      <c r="L970" s="166"/>
      <c r="M970" s="95"/>
      <c r="N970" s="125"/>
      <c r="O970" s="125"/>
      <c r="P970" s="125"/>
      <c r="Q970" s="166"/>
      <c r="R970" s="95"/>
      <c r="S970" s="125"/>
      <c r="T970" s="125"/>
      <c r="U970" s="125"/>
      <c r="V970" s="166"/>
      <c r="W970" s="131"/>
      <c r="X970" s="116"/>
      <c r="Y970" s="116"/>
      <c r="Z970" s="116"/>
      <c r="AA970" s="158"/>
      <c r="AB970" s="161"/>
    </row>
    <row r="971" spans="1:28" ht="14.25" customHeight="1" thickTop="1" x14ac:dyDescent="0.25">
      <c r="A971" s="150">
        <f>ESCUADRAS!B183</f>
        <v>177</v>
      </c>
      <c r="B971" s="153">
        <f>ESCUADRAS!C181</f>
        <v>0</v>
      </c>
      <c r="C971" s="93"/>
      <c r="D971" s="123"/>
      <c r="E971" s="123"/>
      <c r="F971" s="123"/>
      <c r="G971" s="164"/>
      <c r="H971" s="93"/>
      <c r="I971" s="123"/>
      <c r="J971" s="123"/>
      <c r="K971" s="123"/>
      <c r="L971" s="164"/>
      <c r="M971" s="93"/>
      <c r="N971" s="123"/>
      <c r="O971" s="123"/>
      <c r="P971" s="123"/>
      <c r="Q971" s="164"/>
      <c r="R971" s="129"/>
      <c r="S971" s="114"/>
      <c r="T971" s="114"/>
      <c r="U971" s="114"/>
      <c r="V971" s="156"/>
      <c r="W971" s="93"/>
      <c r="X971" s="123"/>
      <c r="Y971" s="123"/>
      <c r="Z971" s="123"/>
      <c r="AA971" s="164"/>
      <c r="AB971" s="159"/>
    </row>
    <row r="972" spans="1:28" ht="13.95" customHeight="1" x14ac:dyDescent="0.25">
      <c r="A972" s="151"/>
      <c r="B972" s="154"/>
      <c r="C972" s="94"/>
      <c r="D972" s="124"/>
      <c r="E972" s="124"/>
      <c r="F972" s="124"/>
      <c r="G972" s="165"/>
      <c r="H972" s="94"/>
      <c r="I972" s="124"/>
      <c r="J972" s="124"/>
      <c r="K972" s="124"/>
      <c r="L972" s="165"/>
      <c r="M972" s="94"/>
      <c r="N972" s="124"/>
      <c r="O972" s="124"/>
      <c r="P972" s="124"/>
      <c r="Q972" s="165"/>
      <c r="R972" s="130"/>
      <c r="S972" s="115"/>
      <c r="T972" s="115"/>
      <c r="U972" s="115"/>
      <c r="V972" s="157"/>
      <c r="W972" s="94"/>
      <c r="X972" s="124"/>
      <c r="Y972" s="124"/>
      <c r="Z972" s="124"/>
      <c r="AA972" s="165"/>
      <c r="AB972" s="160"/>
    </row>
    <row r="973" spans="1:28" ht="13.95" customHeight="1" thickBot="1" x14ac:dyDescent="0.3">
      <c r="A973" s="152"/>
      <c r="B973" s="155"/>
      <c r="C973" s="95"/>
      <c r="D973" s="125"/>
      <c r="E973" s="125"/>
      <c r="F973" s="125"/>
      <c r="G973" s="166"/>
      <c r="H973" s="95"/>
      <c r="I973" s="125"/>
      <c r="J973" s="125"/>
      <c r="K973" s="125"/>
      <c r="L973" s="166"/>
      <c r="M973" s="95"/>
      <c r="N973" s="125"/>
      <c r="O973" s="125"/>
      <c r="P973" s="125"/>
      <c r="Q973" s="166"/>
      <c r="R973" s="131"/>
      <c r="S973" s="116"/>
      <c r="T973" s="116"/>
      <c r="U973" s="116"/>
      <c r="V973" s="158"/>
      <c r="W973" s="95"/>
      <c r="X973" s="125"/>
      <c r="Y973" s="125"/>
      <c r="Z973" s="125"/>
      <c r="AA973" s="166"/>
      <c r="AB973" s="161"/>
    </row>
    <row r="974" spans="1:28" ht="13.5" customHeight="1" thickTop="1" x14ac:dyDescent="0.25">
      <c r="A974" s="162">
        <f>ESCUADRAS!B184</f>
        <v>178</v>
      </c>
      <c r="B974" s="136">
        <f>ESCUADRAS!C182</f>
        <v>0</v>
      </c>
      <c r="C974" s="93"/>
      <c r="D974" s="123"/>
      <c r="E974" s="123"/>
      <c r="F974" s="123"/>
      <c r="G974" s="164"/>
      <c r="H974" s="93"/>
      <c r="I974" s="123"/>
      <c r="J974" s="123"/>
      <c r="K974" s="123"/>
      <c r="L974" s="164"/>
      <c r="M974" s="129"/>
      <c r="N974" s="114"/>
      <c r="O974" s="114"/>
      <c r="P974" s="114"/>
      <c r="Q974" s="156"/>
      <c r="R974" s="93"/>
      <c r="S974" s="123"/>
      <c r="T974" s="123"/>
      <c r="U974" s="123"/>
      <c r="V974" s="164"/>
      <c r="W974" s="93"/>
      <c r="X974" s="123"/>
      <c r="Y974" s="123"/>
      <c r="Z974" s="123"/>
      <c r="AA974" s="164"/>
      <c r="AB974" s="159"/>
    </row>
    <row r="975" spans="1:28" ht="13.95" customHeight="1" x14ac:dyDescent="0.25">
      <c r="A975" s="141"/>
      <c r="B975" s="137"/>
      <c r="C975" s="94"/>
      <c r="D975" s="124"/>
      <c r="E975" s="124"/>
      <c r="F975" s="124"/>
      <c r="G975" s="165"/>
      <c r="H975" s="94"/>
      <c r="I975" s="124"/>
      <c r="J975" s="124"/>
      <c r="K975" s="124"/>
      <c r="L975" s="165"/>
      <c r="M975" s="130"/>
      <c r="N975" s="115"/>
      <c r="O975" s="115"/>
      <c r="P975" s="115"/>
      <c r="Q975" s="157"/>
      <c r="R975" s="94"/>
      <c r="S975" s="124"/>
      <c r="T975" s="124"/>
      <c r="U975" s="124"/>
      <c r="V975" s="165"/>
      <c r="W975" s="94"/>
      <c r="X975" s="124"/>
      <c r="Y975" s="124"/>
      <c r="Z975" s="124"/>
      <c r="AA975" s="165"/>
      <c r="AB975" s="160"/>
    </row>
    <row r="976" spans="1:28" ht="13.95" customHeight="1" thickBot="1" x14ac:dyDescent="0.3">
      <c r="A976" s="163"/>
      <c r="B976" s="138"/>
      <c r="C976" s="95"/>
      <c r="D976" s="125"/>
      <c r="E976" s="125"/>
      <c r="F976" s="125"/>
      <c r="G976" s="166"/>
      <c r="H976" s="95"/>
      <c r="I976" s="125"/>
      <c r="J976" s="125"/>
      <c r="K976" s="125"/>
      <c r="L976" s="166"/>
      <c r="M976" s="131"/>
      <c r="N976" s="116"/>
      <c r="O976" s="116"/>
      <c r="P976" s="116"/>
      <c r="Q976" s="158"/>
      <c r="R976" s="95"/>
      <c r="S976" s="125"/>
      <c r="T976" s="125"/>
      <c r="U976" s="125"/>
      <c r="V976" s="166"/>
      <c r="W976" s="95"/>
      <c r="X976" s="125"/>
      <c r="Y976" s="125"/>
      <c r="Z976" s="125"/>
      <c r="AA976" s="166"/>
      <c r="AB976" s="161"/>
    </row>
    <row r="977" spans="1:28" ht="14.25" customHeight="1" thickTop="1" x14ac:dyDescent="0.25">
      <c r="A977" s="150">
        <f>ESCUADRAS!B185</f>
        <v>179</v>
      </c>
      <c r="B977" s="153">
        <f>ESCUADRAS!C183</f>
        <v>0</v>
      </c>
      <c r="C977" s="93"/>
      <c r="D977" s="123"/>
      <c r="E977" s="123"/>
      <c r="F977" s="123"/>
      <c r="G977" s="164"/>
      <c r="H977" s="129"/>
      <c r="I977" s="114"/>
      <c r="J977" s="114"/>
      <c r="K977" s="114"/>
      <c r="L977" s="156"/>
      <c r="M977" s="93"/>
      <c r="N977" s="123"/>
      <c r="O977" s="123"/>
      <c r="P977" s="123"/>
      <c r="Q977" s="164"/>
      <c r="R977" s="93"/>
      <c r="S977" s="123"/>
      <c r="T977" s="123"/>
      <c r="U977" s="123"/>
      <c r="V977" s="164"/>
      <c r="W977" s="93"/>
      <c r="X977" s="123"/>
      <c r="Y977" s="123"/>
      <c r="Z977" s="123"/>
      <c r="AA977" s="164"/>
      <c r="AB977" s="159"/>
    </row>
    <row r="978" spans="1:28" ht="13.95" customHeight="1" x14ac:dyDescent="0.25">
      <c r="A978" s="151"/>
      <c r="B978" s="154"/>
      <c r="C978" s="94"/>
      <c r="D978" s="124"/>
      <c r="E978" s="124"/>
      <c r="F978" s="124"/>
      <c r="G978" s="165"/>
      <c r="H978" s="130"/>
      <c r="I978" s="115"/>
      <c r="J978" s="115"/>
      <c r="K978" s="115"/>
      <c r="L978" s="157"/>
      <c r="M978" s="94"/>
      <c r="N978" s="124"/>
      <c r="O978" s="124"/>
      <c r="P978" s="124"/>
      <c r="Q978" s="165"/>
      <c r="R978" s="94"/>
      <c r="S978" s="124"/>
      <c r="T978" s="124"/>
      <c r="U978" s="124"/>
      <c r="V978" s="165"/>
      <c r="W978" s="94"/>
      <c r="X978" s="124"/>
      <c r="Y978" s="124"/>
      <c r="Z978" s="124"/>
      <c r="AA978" s="165"/>
      <c r="AB978" s="160"/>
    </row>
    <row r="979" spans="1:28" ht="13.95" customHeight="1" thickBot="1" x14ac:dyDescent="0.3">
      <c r="A979" s="152"/>
      <c r="B979" s="155"/>
      <c r="C979" s="95"/>
      <c r="D979" s="125"/>
      <c r="E979" s="125"/>
      <c r="F979" s="125"/>
      <c r="G979" s="166"/>
      <c r="H979" s="131"/>
      <c r="I979" s="116"/>
      <c r="J979" s="116"/>
      <c r="K979" s="116"/>
      <c r="L979" s="158"/>
      <c r="M979" s="95"/>
      <c r="N979" s="125"/>
      <c r="O979" s="125"/>
      <c r="P979" s="125"/>
      <c r="Q979" s="166"/>
      <c r="R979" s="95"/>
      <c r="S979" s="125"/>
      <c r="T979" s="125"/>
      <c r="U979" s="125"/>
      <c r="V979" s="166"/>
      <c r="W979" s="95"/>
      <c r="X979" s="125"/>
      <c r="Y979" s="125"/>
      <c r="Z979" s="125"/>
      <c r="AA979" s="166"/>
      <c r="AB979" s="161"/>
    </row>
    <row r="980" spans="1:28" ht="13.5" customHeight="1" thickTop="1" x14ac:dyDescent="0.25">
      <c r="A980" s="162">
        <f>ESCUADRAS!B186</f>
        <v>180</v>
      </c>
      <c r="B980" s="136">
        <f>ESCUADRAS!C184</f>
        <v>0</v>
      </c>
      <c r="C980" s="129"/>
      <c r="D980" s="114"/>
      <c r="E980" s="114"/>
      <c r="F980" s="114"/>
      <c r="G980" s="156"/>
      <c r="H980" s="93"/>
      <c r="I980" s="123"/>
      <c r="J980" s="123"/>
      <c r="K980" s="123"/>
      <c r="L980" s="164"/>
      <c r="M980" s="93"/>
      <c r="N980" s="123"/>
      <c r="O980" s="123"/>
      <c r="P980" s="123"/>
      <c r="Q980" s="164"/>
      <c r="R980" s="93"/>
      <c r="S980" s="123"/>
      <c r="T980" s="123"/>
      <c r="U980" s="123"/>
      <c r="V980" s="164"/>
      <c r="W980" s="93"/>
      <c r="X980" s="123"/>
      <c r="Y980" s="123"/>
      <c r="Z980" s="123"/>
      <c r="AA980" s="164"/>
      <c r="AB980" s="159"/>
    </row>
    <row r="981" spans="1:28" ht="13.95" customHeight="1" x14ac:dyDescent="0.25">
      <c r="A981" s="141"/>
      <c r="B981" s="137"/>
      <c r="C981" s="130"/>
      <c r="D981" s="115"/>
      <c r="E981" s="115"/>
      <c r="F981" s="115"/>
      <c r="G981" s="157"/>
      <c r="H981" s="94"/>
      <c r="I981" s="124"/>
      <c r="J981" s="124"/>
      <c r="K981" s="124"/>
      <c r="L981" s="165"/>
      <c r="M981" s="94"/>
      <c r="N981" s="124"/>
      <c r="O981" s="124"/>
      <c r="P981" s="124"/>
      <c r="Q981" s="165"/>
      <c r="R981" s="94"/>
      <c r="S981" s="124"/>
      <c r="T981" s="124"/>
      <c r="U981" s="124"/>
      <c r="V981" s="165"/>
      <c r="W981" s="94"/>
      <c r="X981" s="124"/>
      <c r="Y981" s="124"/>
      <c r="Z981" s="124"/>
      <c r="AA981" s="165"/>
      <c r="AB981" s="160"/>
    </row>
    <row r="982" spans="1:28" ht="13.95" customHeight="1" thickBot="1" x14ac:dyDescent="0.3">
      <c r="A982" s="142"/>
      <c r="B982" s="138"/>
      <c r="C982" s="131"/>
      <c r="D982" s="116"/>
      <c r="E982" s="116"/>
      <c r="F982" s="116"/>
      <c r="G982" s="158"/>
      <c r="H982" s="95"/>
      <c r="I982" s="125"/>
      <c r="J982" s="125"/>
      <c r="K982" s="125"/>
      <c r="L982" s="166"/>
      <c r="M982" s="95"/>
      <c r="N982" s="125"/>
      <c r="O982" s="125"/>
      <c r="P982" s="125"/>
      <c r="Q982" s="166"/>
      <c r="R982" s="95"/>
      <c r="S982" s="125"/>
      <c r="T982" s="125"/>
      <c r="U982" s="125"/>
      <c r="V982" s="166"/>
      <c r="W982" s="95"/>
      <c r="X982" s="125"/>
      <c r="Y982" s="125"/>
      <c r="Z982" s="125"/>
      <c r="AA982" s="166"/>
      <c r="AB982" s="161"/>
    </row>
    <row r="984" spans="1:28" ht="15" x14ac:dyDescent="0.25">
      <c r="A984" s="28"/>
      <c r="B984" s="26" t="s">
        <v>35</v>
      </c>
      <c r="E984" s="21" t="s">
        <v>41</v>
      </c>
      <c r="I984" s="21" t="s">
        <v>42</v>
      </c>
      <c r="M984" s="21" t="s">
        <v>43</v>
      </c>
      <c r="Q984" s="21" t="s">
        <v>44</v>
      </c>
      <c r="U984" s="21" t="s">
        <v>45</v>
      </c>
      <c r="Y984" s="21" t="s">
        <v>46</v>
      </c>
    </row>
    <row r="993" spans="1:32" ht="24.6" x14ac:dyDescent="0.25">
      <c r="A993" s="144" t="str">
        <f>'INSCRIPCION '!A$1</f>
        <v>TIRADA</v>
      </c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</row>
    <row r="994" spans="1:32" ht="24.6" x14ac:dyDescent="0.4">
      <c r="A994" s="23"/>
      <c r="B994" s="23"/>
    </row>
    <row r="995" spans="1:32" ht="22.8" x14ac:dyDescent="0.25">
      <c r="A995" s="132" t="str">
        <f>'INSCRIPCION '!A$2</f>
        <v>CAMPO DE TIRO LA ISLA</v>
      </c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L995" s="132"/>
      <c r="M995" s="132"/>
      <c r="N995" s="132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  <c r="AC995" s="132"/>
      <c r="AD995" s="132"/>
      <c r="AE995" s="132"/>
      <c r="AF995" s="132"/>
    </row>
    <row r="996" spans="1:32" ht="20.399999999999999" x14ac:dyDescent="0.25">
      <c r="A996" s="143" t="str">
        <f>'INSCRIPCION '!A$3</f>
        <v>XXX PLATOS</v>
      </c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143"/>
      <c r="N996" s="143"/>
      <c r="O996" s="143"/>
      <c r="P996" s="143"/>
      <c r="Q996" s="143"/>
      <c r="R996" s="143"/>
      <c r="S996" s="143"/>
      <c r="T996" s="143"/>
      <c r="U996" s="143"/>
      <c r="V996" s="143"/>
      <c r="W996" s="143"/>
      <c r="X996" s="143"/>
      <c r="Y996" s="143"/>
      <c r="Z996" s="143"/>
      <c r="AA996" s="143"/>
      <c r="AB996" s="143"/>
      <c r="AC996" s="143"/>
      <c r="AD996" s="143"/>
      <c r="AE996" s="143"/>
      <c r="AF996" s="143"/>
    </row>
    <row r="997" spans="1:32" ht="22.8" x14ac:dyDescent="0.4">
      <c r="A997" s="24"/>
      <c r="B997" s="24"/>
    </row>
    <row r="998" spans="1:32" ht="17.399999999999999" x14ac:dyDescent="0.3">
      <c r="A998" s="25" t="s">
        <v>67</v>
      </c>
      <c r="B998" s="25"/>
      <c r="J998" s="9" t="s">
        <v>6</v>
      </c>
      <c r="K998" s="9"/>
      <c r="L998" s="9"/>
      <c r="M998" s="9"/>
      <c r="N998" s="9"/>
      <c r="O998" s="22">
        <v>1</v>
      </c>
      <c r="P998" s="22"/>
      <c r="Q998" s="8"/>
      <c r="R998" s="8"/>
      <c r="S998" s="7"/>
      <c r="T998" s="8"/>
      <c r="U998" s="8"/>
      <c r="V998" s="9" t="s">
        <v>7</v>
      </c>
      <c r="W998" s="9"/>
      <c r="X998" s="9"/>
      <c r="Y998" s="9"/>
      <c r="Z998" s="22">
        <v>3</v>
      </c>
      <c r="AA998" s="22"/>
    </row>
    <row r="999" spans="1:32" ht="13.8" thickBot="1" x14ac:dyDescent="0.3"/>
    <row r="1000" spans="1:32" ht="15.6" thickBot="1" x14ac:dyDescent="0.3">
      <c r="A1000" s="27" t="s">
        <v>0</v>
      </c>
      <c r="B1000" s="27" t="s">
        <v>8</v>
      </c>
      <c r="C1000" s="47">
        <v>1</v>
      </c>
      <c r="D1000" s="48">
        <v>2</v>
      </c>
      <c r="E1000" s="48">
        <v>3</v>
      </c>
      <c r="F1000" s="48">
        <v>4</v>
      </c>
      <c r="G1000" s="49">
        <v>5</v>
      </c>
      <c r="H1000" s="47">
        <v>6</v>
      </c>
      <c r="I1000" s="48">
        <v>7</v>
      </c>
      <c r="J1000" s="48">
        <v>8</v>
      </c>
      <c r="K1000" s="48">
        <v>9</v>
      </c>
      <c r="L1000" s="49">
        <v>10</v>
      </c>
      <c r="M1000" s="47">
        <v>11</v>
      </c>
      <c r="N1000" s="48">
        <v>12</v>
      </c>
      <c r="O1000" s="48">
        <v>13</v>
      </c>
      <c r="P1000" s="48">
        <v>14</v>
      </c>
      <c r="Q1000" s="49">
        <v>15</v>
      </c>
      <c r="R1000" s="47">
        <v>16</v>
      </c>
      <c r="S1000" s="48">
        <v>17</v>
      </c>
      <c r="T1000" s="48">
        <v>18</v>
      </c>
      <c r="U1000" s="48">
        <v>19</v>
      </c>
      <c r="V1000" s="49">
        <v>20</v>
      </c>
      <c r="W1000" s="47">
        <v>21</v>
      </c>
      <c r="X1000" s="48">
        <v>22</v>
      </c>
      <c r="Y1000" s="48">
        <v>23</v>
      </c>
      <c r="Z1000" s="48">
        <v>24</v>
      </c>
      <c r="AA1000" s="49">
        <v>25</v>
      </c>
      <c r="AB1000" s="30" t="s">
        <v>1</v>
      </c>
    </row>
    <row r="1001" spans="1:32" ht="14.25" customHeight="1" thickTop="1" x14ac:dyDescent="0.25">
      <c r="A1001" s="150">
        <v>181</v>
      </c>
      <c r="B1001" s="170">
        <f>ESCUADRAS!C191</f>
        <v>0</v>
      </c>
      <c r="C1001" s="173"/>
      <c r="D1001" s="114"/>
      <c r="E1001" s="114"/>
      <c r="F1001" s="114"/>
      <c r="G1001" s="156"/>
      <c r="H1001" s="129"/>
      <c r="I1001" s="114"/>
      <c r="J1001" s="114"/>
      <c r="K1001" s="114"/>
      <c r="L1001" s="156"/>
      <c r="M1001" s="129"/>
      <c r="N1001" s="114"/>
      <c r="O1001" s="114"/>
      <c r="P1001" s="114"/>
      <c r="Q1001" s="156"/>
      <c r="R1001" s="129"/>
      <c r="S1001" s="114"/>
      <c r="T1001" s="114"/>
      <c r="U1001" s="114"/>
      <c r="V1001" s="156"/>
      <c r="W1001" s="129"/>
      <c r="X1001" s="114"/>
      <c r="Y1001" s="114"/>
      <c r="Z1001" s="114"/>
      <c r="AA1001" s="156"/>
      <c r="AB1001" s="159"/>
    </row>
    <row r="1002" spans="1:32" ht="14.25" customHeight="1" x14ac:dyDescent="0.25">
      <c r="A1002" s="151"/>
      <c r="B1002" s="171"/>
      <c r="C1002" s="174"/>
      <c r="D1002" s="115"/>
      <c r="E1002" s="115"/>
      <c r="F1002" s="115"/>
      <c r="G1002" s="157"/>
      <c r="H1002" s="130"/>
      <c r="I1002" s="115"/>
      <c r="J1002" s="115"/>
      <c r="K1002" s="115"/>
      <c r="L1002" s="157"/>
      <c r="M1002" s="130"/>
      <c r="N1002" s="115"/>
      <c r="O1002" s="115"/>
      <c r="P1002" s="115"/>
      <c r="Q1002" s="157"/>
      <c r="R1002" s="130"/>
      <c r="S1002" s="115"/>
      <c r="T1002" s="115"/>
      <c r="U1002" s="115"/>
      <c r="V1002" s="157"/>
      <c r="W1002" s="130"/>
      <c r="X1002" s="115"/>
      <c r="Y1002" s="115"/>
      <c r="Z1002" s="115"/>
      <c r="AA1002" s="157"/>
      <c r="AB1002" s="160"/>
    </row>
    <row r="1003" spans="1:32" ht="14.25" customHeight="1" thickBot="1" x14ac:dyDescent="0.3">
      <c r="A1003" s="152"/>
      <c r="B1003" s="172"/>
      <c r="C1003" s="175"/>
      <c r="D1003" s="116"/>
      <c r="E1003" s="116"/>
      <c r="F1003" s="116"/>
      <c r="G1003" s="158"/>
      <c r="H1003" s="131"/>
      <c r="I1003" s="116"/>
      <c r="J1003" s="116"/>
      <c r="K1003" s="116"/>
      <c r="L1003" s="158"/>
      <c r="M1003" s="131"/>
      <c r="N1003" s="116"/>
      <c r="O1003" s="116"/>
      <c r="P1003" s="116"/>
      <c r="Q1003" s="158"/>
      <c r="R1003" s="131"/>
      <c r="S1003" s="116"/>
      <c r="T1003" s="116"/>
      <c r="U1003" s="116"/>
      <c r="V1003" s="158"/>
      <c r="W1003" s="131"/>
      <c r="X1003" s="116"/>
      <c r="Y1003" s="116"/>
      <c r="Z1003" s="116"/>
      <c r="AA1003" s="158"/>
      <c r="AB1003" s="161"/>
    </row>
    <row r="1004" spans="1:32" ht="13.5" customHeight="1" thickTop="1" x14ac:dyDescent="0.25">
      <c r="A1004" s="176">
        <v>182</v>
      </c>
      <c r="B1004" s="170">
        <f>ESCUADRAS!C192</f>
        <v>0</v>
      </c>
      <c r="C1004" s="179"/>
      <c r="D1004" s="123"/>
      <c r="E1004" s="123"/>
      <c r="F1004" s="123"/>
      <c r="G1004" s="164"/>
      <c r="H1004" s="93"/>
      <c r="I1004" s="123"/>
      <c r="J1004" s="123"/>
      <c r="K1004" s="123"/>
      <c r="L1004" s="164"/>
      <c r="M1004" s="93"/>
      <c r="N1004" s="123"/>
      <c r="O1004" s="123"/>
      <c r="P1004" s="123"/>
      <c r="Q1004" s="164"/>
      <c r="R1004" s="93"/>
      <c r="S1004" s="123"/>
      <c r="T1004" s="123"/>
      <c r="U1004" s="123"/>
      <c r="V1004" s="164"/>
      <c r="W1004" s="129"/>
      <c r="X1004" s="114"/>
      <c r="Y1004" s="114"/>
      <c r="Z1004" s="114"/>
      <c r="AA1004" s="156"/>
      <c r="AB1004" s="159"/>
    </row>
    <row r="1005" spans="1:32" ht="12.75" customHeight="1" x14ac:dyDescent="0.25">
      <c r="A1005" s="177"/>
      <c r="B1005" s="171"/>
      <c r="C1005" s="180"/>
      <c r="D1005" s="124"/>
      <c r="E1005" s="124"/>
      <c r="F1005" s="124"/>
      <c r="G1005" s="165"/>
      <c r="H1005" s="94"/>
      <c r="I1005" s="124"/>
      <c r="J1005" s="124"/>
      <c r="K1005" s="124"/>
      <c r="L1005" s="165"/>
      <c r="M1005" s="94"/>
      <c r="N1005" s="124"/>
      <c r="O1005" s="124"/>
      <c r="P1005" s="124"/>
      <c r="Q1005" s="165"/>
      <c r="R1005" s="94"/>
      <c r="S1005" s="124"/>
      <c r="T1005" s="124"/>
      <c r="U1005" s="124"/>
      <c r="V1005" s="165"/>
      <c r="W1005" s="130"/>
      <c r="X1005" s="115"/>
      <c r="Y1005" s="115"/>
      <c r="Z1005" s="115"/>
      <c r="AA1005" s="157"/>
      <c r="AB1005" s="160"/>
    </row>
    <row r="1006" spans="1:32" ht="13.5" customHeight="1" thickBot="1" x14ac:dyDescent="0.3">
      <c r="A1006" s="178"/>
      <c r="B1006" s="172"/>
      <c r="C1006" s="181"/>
      <c r="D1006" s="125"/>
      <c r="E1006" s="125"/>
      <c r="F1006" s="125"/>
      <c r="G1006" s="166"/>
      <c r="H1006" s="95"/>
      <c r="I1006" s="125"/>
      <c r="J1006" s="125"/>
      <c r="K1006" s="125"/>
      <c r="L1006" s="166"/>
      <c r="M1006" s="95"/>
      <c r="N1006" s="125"/>
      <c r="O1006" s="125"/>
      <c r="P1006" s="125"/>
      <c r="Q1006" s="166"/>
      <c r="R1006" s="95"/>
      <c r="S1006" s="125"/>
      <c r="T1006" s="125"/>
      <c r="U1006" s="125"/>
      <c r="V1006" s="166"/>
      <c r="W1006" s="131"/>
      <c r="X1006" s="116"/>
      <c r="Y1006" s="116"/>
      <c r="Z1006" s="116"/>
      <c r="AA1006" s="158"/>
      <c r="AB1006" s="161"/>
    </row>
    <row r="1007" spans="1:32" ht="14.25" customHeight="1" thickTop="1" x14ac:dyDescent="0.25">
      <c r="A1007" s="150">
        <v>183</v>
      </c>
      <c r="B1007" s="170">
        <f>ESCUADRAS!C187</f>
        <v>0</v>
      </c>
      <c r="C1007" s="179"/>
      <c r="D1007" s="123"/>
      <c r="E1007" s="123"/>
      <c r="F1007" s="123"/>
      <c r="G1007" s="164"/>
      <c r="H1007" s="93"/>
      <c r="I1007" s="123"/>
      <c r="J1007" s="123"/>
      <c r="K1007" s="123"/>
      <c r="L1007" s="164"/>
      <c r="M1007" s="93"/>
      <c r="N1007" s="123"/>
      <c r="O1007" s="123"/>
      <c r="P1007" s="123"/>
      <c r="Q1007" s="164"/>
      <c r="R1007" s="129"/>
      <c r="S1007" s="114"/>
      <c r="T1007" s="114"/>
      <c r="U1007" s="114"/>
      <c r="V1007" s="156"/>
      <c r="W1007" s="93"/>
      <c r="X1007" s="123"/>
      <c r="Y1007" s="123"/>
      <c r="Z1007" s="123"/>
      <c r="AA1007" s="164"/>
      <c r="AB1007" s="159"/>
    </row>
    <row r="1008" spans="1:32" ht="14.25" customHeight="1" x14ac:dyDescent="0.25">
      <c r="A1008" s="151"/>
      <c r="B1008" s="171"/>
      <c r="C1008" s="180"/>
      <c r="D1008" s="124"/>
      <c r="E1008" s="124"/>
      <c r="F1008" s="124"/>
      <c r="G1008" s="165"/>
      <c r="H1008" s="94"/>
      <c r="I1008" s="124"/>
      <c r="J1008" s="124"/>
      <c r="K1008" s="124"/>
      <c r="L1008" s="165"/>
      <c r="M1008" s="94"/>
      <c r="N1008" s="124"/>
      <c r="O1008" s="124"/>
      <c r="P1008" s="124"/>
      <c r="Q1008" s="165"/>
      <c r="R1008" s="130"/>
      <c r="S1008" s="115"/>
      <c r="T1008" s="115"/>
      <c r="U1008" s="115"/>
      <c r="V1008" s="157"/>
      <c r="W1008" s="94"/>
      <c r="X1008" s="124"/>
      <c r="Y1008" s="124"/>
      <c r="Z1008" s="124"/>
      <c r="AA1008" s="165"/>
      <c r="AB1008" s="160"/>
    </row>
    <row r="1009" spans="1:28" ht="14.25" customHeight="1" thickBot="1" x14ac:dyDescent="0.3">
      <c r="A1009" s="152"/>
      <c r="B1009" s="172"/>
      <c r="C1009" s="181"/>
      <c r="D1009" s="125"/>
      <c r="E1009" s="125"/>
      <c r="F1009" s="125"/>
      <c r="G1009" s="166"/>
      <c r="H1009" s="95"/>
      <c r="I1009" s="125"/>
      <c r="J1009" s="125"/>
      <c r="K1009" s="125"/>
      <c r="L1009" s="166"/>
      <c r="M1009" s="95"/>
      <c r="N1009" s="125"/>
      <c r="O1009" s="125"/>
      <c r="P1009" s="125"/>
      <c r="Q1009" s="166"/>
      <c r="R1009" s="131"/>
      <c r="S1009" s="116"/>
      <c r="T1009" s="116"/>
      <c r="U1009" s="116"/>
      <c r="V1009" s="158"/>
      <c r="W1009" s="95"/>
      <c r="X1009" s="125"/>
      <c r="Y1009" s="125"/>
      <c r="Z1009" s="125"/>
      <c r="AA1009" s="166"/>
      <c r="AB1009" s="161"/>
    </row>
    <row r="1010" spans="1:28" ht="13.5" customHeight="1" thickTop="1" x14ac:dyDescent="0.25">
      <c r="A1010" s="176">
        <v>184</v>
      </c>
      <c r="B1010" s="170">
        <f>ESCUADRAS!C188</f>
        <v>0</v>
      </c>
      <c r="C1010" s="179"/>
      <c r="D1010" s="123"/>
      <c r="E1010" s="123"/>
      <c r="F1010" s="123"/>
      <c r="G1010" s="164"/>
      <c r="H1010" s="93"/>
      <c r="I1010" s="123"/>
      <c r="J1010" s="123"/>
      <c r="K1010" s="123"/>
      <c r="L1010" s="164"/>
      <c r="M1010" s="129"/>
      <c r="N1010" s="114"/>
      <c r="O1010" s="114"/>
      <c r="P1010" s="114"/>
      <c r="Q1010" s="156"/>
      <c r="R1010" s="93"/>
      <c r="S1010" s="123"/>
      <c r="T1010" s="123"/>
      <c r="U1010" s="123"/>
      <c r="V1010" s="164"/>
      <c r="W1010" s="93"/>
      <c r="X1010" s="123"/>
      <c r="Y1010" s="123"/>
      <c r="Z1010" s="123"/>
      <c r="AA1010" s="164"/>
      <c r="AB1010" s="159"/>
    </row>
    <row r="1011" spans="1:28" ht="12.75" customHeight="1" x14ac:dyDescent="0.25">
      <c r="A1011" s="177"/>
      <c r="B1011" s="171"/>
      <c r="C1011" s="180"/>
      <c r="D1011" s="124"/>
      <c r="E1011" s="124"/>
      <c r="F1011" s="124"/>
      <c r="G1011" s="165"/>
      <c r="H1011" s="94"/>
      <c r="I1011" s="124"/>
      <c r="J1011" s="124"/>
      <c r="K1011" s="124"/>
      <c r="L1011" s="165"/>
      <c r="M1011" s="130"/>
      <c r="N1011" s="115"/>
      <c r="O1011" s="115"/>
      <c r="P1011" s="115"/>
      <c r="Q1011" s="157"/>
      <c r="R1011" s="94"/>
      <c r="S1011" s="124"/>
      <c r="T1011" s="124"/>
      <c r="U1011" s="124"/>
      <c r="V1011" s="165"/>
      <c r="W1011" s="94"/>
      <c r="X1011" s="124"/>
      <c r="Y1011" s="124"/>
      <c r="Z1011" s="124"/>
      <c r="AA1011" s="165"/>
      <c r="AB1011" s="160"/>
    </row>
    <row r="1012" spans="1:28" ht="13.5" customHeight="1" thickBot="1" x14ac:dyDescent="0.3">
      <c r="A1012" s="178"/>
      <c r="B1012" s="172"/>
      <c r="C1012" s="181"/>
      <c r="D1012" s="125"/>
      <c r="E1012" s="125"/>
      <c r="F1012" s="125"/>
      <c r="G1012" s="166"/>
      <c r="H1012" s="95"/>
      <c r="I1012" s="125"/>
      <c r="J1012" s="125"/>
      <c r="K1012" s="125"/>
      <c r="L1012" s="166"/>
      <c r="M1012" s="131"/>
      <c r="N1012" s="116"/>
      <c r="O1012" s="116"/>
      <c r="P1012" s="116"/>
      <c r="Q1012" s="158"/>
      <c r="R1012" s="95"/>
      <c r="S1012" s="125"/>
      <c r="T1012" s="125"/>
      <c r="U1012" s="125"/>
      <c r="V1012" s="166"/>
      <c r="W1012" s="95"/>
      <c r="X1012" s="125"/>
      <c r="Y1012" s="125"/>
      <c r="Z1012" s="125"/>
      <c r="AA1012" s="166"/>
      <c r="AB1012" s="161"/>
    </row>
    <row r="1013" spans="1:28" ht="14.25" customHeight="1" thickTop="1" x14ac:dyDescent="0.25">
      <c r="A1013" s="150">
        <v>185</v>
      </c>
      <c r="B1013" s="170">
        <f>ESCUADRAS!C189</f>
        <v>0</v>
      </c>
      <c r="C1013" s="179"/>
      <c r="D1013" s="123"/>
      <c r="E1013" s="123"/>
      <c r="F1013" s="123"/>
      <c r="G1013" s="164"/>
      <c r="H1013" s="129"/>
      <c r="I1013" s="114"/>
      <c r="J1013" s="114"/>
      <c r="K1013" s="114"/>
      <c r="L1013" s="156"/>
      <c r="M1013" s="93"/>
      <c r="N1013" s="123"/>
      <c r="O1013" s="123"/>
      <c r="P1013" s="123"/>
      <c r="Q1013" s="164"/>
      <c r="R1013" s="93"/>
      <c r="S1013" s="123"/>
      <c r="T1013" s="123"/>
      <c r="U1013" s="123"/>
      <c r="V1013" s="164"/>
      <c r="W1013" s="93"/>
      <c r="X1013" s="123"/>
      <c r="Y1013" s="123"/>
      <c r="Z1013" s="123"/>
      <c r="AA1013" s="164"/>
      <c r="AB1013" s="159"/>
    </row>
    <row r="1014" spans="1:28" ht="14.25" customHeight="1" x14ac:dyDescent="0.25">
      <c r="A1014" s="151"/>
      <c r="B1014" s="171"/>
      <c r="C1014" s="180"/>
      <c r="D1014" s="124"/>
      <c r="E1014" s="124"/>
      <c r="F1014" s="124"/>
      <c r="G1014" s="165"/>
      <c r="H1014" s="130"/>
      <c r="I1014" s="115"/>
      <c r="J1014" s="115"/>
      <c r="K1014" s="115"/>
      <c r="L1014" s="157"/>
      <c r="M1014" s="94"/>
      <c r="N1014" s="124"/>
      <c r="O1014" s="124"/>
      <c r="P1014" s="124"/>
      <c r="Q1014" s="165"/>
      <c r="R1014" s="94"/>
      <c r="S1014" s="124"/>
      <c r="T1014" s="124"/>
      <c r="U1014" s="124"/>
      <c r="V1014" s="165"/>
      <c r="W1014" s="94"/>
      <c r="X1014" s="124"/>
      <c r="Y1014" s="124"/>
      <c r="Z1014" s="124"/>
      <c r="AA1014" s="165"/>
      <c r="AB1014" s="160"/>
    </row>
    <row r="1015" spans="1:28" ht="14.25" customHeight="1" thickBot="1" x14ac:dyDescent="0.3">
      <c r="A1015" s="152"/>
      <c r="B1015" s="172"/>
      <c r="C1015" s="181"/>
      <c r="D1015" s="125"/>
      <c r="E1015" s="125"/>
      <c r="F1015" s="125"/>
      <c r="G1015" s="166"/>
      <c r="H1015" s="131"/>
      <c r="I1015" s="116"/>
      <c r="J1015" s="116"/>
      <c r="K1015" s="116"/>
      <c r="L1015" s="158"/>
      <c r="M1015" s="95"/>
      <c r="N1015" s="125"/>
      <c r="O1015" s="125"/>
      <c r="P1015" s="125"/>
      <c r="Q1015" s="166"/>
      <c r="R1015" s="95"/>
      <c r="S1015" s="125"/>
      <c r="T1015" s="125"/>
      <c r="U1015" s="125"/>
      <c r="V1015" s="166"/>
      <c r="W1015" s="95"/>
      <c r="X1015" s="125"/>
      <c r="Y1015" s="125"/>
      <c r="Z1015" s="125"/>
      <c r="AA1015" s="166"/>
      <c r="AB1015" s="161"/>
    </row>
    <row r="1016" spans="1:28" ht="13.5" customHeight="1" thickTop="1" x14ac:dyDescent="0.25">
      <c r="A1016" s="176">
        <v>186</v>
      </c>
      <c r="B1016" s="170">
        <f>ESCUADRAS!C190</f>
        <v>0</v>
      </c>
      <c r="C1016" s="173"/>
      <c r="D1016" s="114"/>
      <c r="E1016" s="114"/>
      <c r="F1016" s="114"/>
      <c r="G1016" s="156"/>
      <c r="H1016" s="93"/>
      <c r="I1016" s="123"/>
      <c r="J1016" s="123"/>
      <c r="K1016" s="123"/>
      <c r="L1016" s="164"/>
      <c r="M1016" s="93"/>
      <c r="N1016" s="123"/>
      <c r="O1016" s="123"/>
      <c r="P1016" s="123"/>
      <c r="Q1016" s="164"/>
      <c r="R1016" s="93"/>
      <c r="S1016" s="123"/>
      <c r="T1016" s="123"/>
      <c r="U1016" s="123"/>
      <c r="V1016" s="164"/>
      <c r="W1016" s="93"/>
      <c r="X1016" s="123"/>
      <c r="Y1016" s="123"/>
      <c r="Z1016" s="123"/>
      <c r="AA1016" s="164"/>
      <c r="AB1016" s="159"/>
    </row>
    <row r="1017" spans="1:28" ht="12.75" customHeight="1" x14ac:dyDescent="0.25">
      <c r="A1017" s="177"/>
      <c r="B1017" s="171"/>
      <c r="C1017" s="174"/>
      <c r="D1017" s="115"/>
      <c r="E1017" s="115"/>
      <c r="F1017" s="115"/>
      <c r="G1017" s="157"/>
      <c r="H1017" s="94"/>
      <c r="I1017" s="124"/>
      <c r="J1017" s="124"/>
      <c r="K1017" s="124"/>
      <c r="L1017" s="165"/>
      <c r="M1017" s="94"/>
      <c r="N1017" s="124"/>
      <c r="O1017" s="124"/>
      <c r="P1017" s="124"/>
      <c r="Q1017" s="165"/>
      <c r="R1017" s="94"/>
      <c r="S1017" s="124"/>
      <c r="T1017" s="124"/>
      <c r="U1017" s="124"/>
      <c r="V1017" s="165"/>
      <c r="W1017" s="94"/>
      <c r="X1017" s="124"/>
      <c r="Y1017" s="124"/>
      <c r="Z1017" s="124"/>
      <c r="AA1017" s="165"/>
      <c r="AB1017" s="160"/>
    </row>
    <row r="1018" spans="1:28" ht="13.5" customHeight="1" thickBot="1" x14ac:dyDescent="0.3">
      <c r="A1018" s="178"/>
      <c r="B1018" s="172"/>
      <c r="C1018" s="175"/>
      <c r="D1018" s="116"/>
      <c r="E1018" s="116"/>
      <c r="F1018" s="116"/>
      <c r="G1018" s="158"/>
      <c r="H1018" s="95"/>
      <c r="I1018" s="125"/>
      <c r="J1018" s="125"/>
      <c r="K1018" s="125"/>
      <c r="L1018" s="166"/>
      <c r="M1018" s="95"/>
      <c r="N1018" s="125"/>
      <c r="O1018" s="125"/>
      <c r="P1018" s="125"/>
      <c r="Q1018" s="166"/>
      <c r="R1018" s="95"/>
      <c r="S1018" s="125"/>
      <c r="T1018" s="125"/>
      <c r="U1018" s="125"/>
      <c r="V1018" s="166"/>
      <c r="W1018" s="95"/>
      <c r="X1018" s="125"/>
      <c r="Y1018" s="125"/>
      <c r="Z1018" s="125"/>
      <c r="AA1018" s="166"/>
      <c r="AB1018" s="161"/>
    </row>
    <row r="1019" spans="1:28" ht="13.8" thickTop="1" x14ac:dyDescent="0.25"/>
    <row r="1020" spans="1:28" ht="15" x14ac:dyDescent="0.25">
      <c r="A1020" s="28"/>
      <c r="B1020" s="26" t="s">
        <v>35</v>
      </c>
      <c r="E1020" s="21" t="s">
        <v>41</v>
      </c>
      <c r="I1020" s="21" t="s">
        <v>42</v>
      </c>
      <c r="M1020" s="21" t="s">
        <v>43</v>
      </c>
      <c r="Q1020" s="21" t="s">
        <v>44</v>
      </c>
      <c r="U1020" s="21" t="s">
        <v>45</v>
      </c>
      <c r="Y1020" s="21" t="s">
        <v>46</v>
      </c>
    </row>
    <row r="1026" spans="1:32" ht="24.6" x14ac:dyDescent="0.25">
      <c r="A1026" s="144" t="str">
        <f>'INSCRIPCION '!A$1</f>
        <v>TIRADA</v>
      </c>
      <c r="B1026" s="144"/>
      <c r="C1026" s="144"/>
      <c r="D1026" s="144"/>
      <c r="E1026" s="144"/>
      <c r="F1026" s="144"/>
      <c r="G1026" s="144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  <c r="AF1026" s="144"/>
    </row>
    <row r="1027" spans="1:32" ht="24.6" x14ac:dyDescent="0.4">
      <c r="A1027" s="23"/>
      <c r="B1027" s="23"/>
    </row>
    <row r="1028" spans="1:32" ht="22.8" x14ac:dyDescent="0.25">
      <c r="A1028" s="132" t="str">
        <f>'INSCRIPCION '!A$2</f>
        <v>CAMPO DE TIRO LA ISLA</v>
      </c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L1028" s="132"/>
      <c r="M1028" s="132"/>
      <c r="N1028" s="132"/>
      <c r="O1028" s="132"/>
      <c r="P1028" s="132"/>
      <c r="Q1028" s="132"/>
      <c r="R1028" s="132"/>
      <c r="S1028" s="132"/>
      <c r="T1028" s="132"/>
      <c r="U1028" s="132"/>
      <c r="V1028" s="132"/>
      <c r="W1028" s="132"/>
      <c r="X1028" s="132"/>
      <c r="Y1028" s="132"/>
      <c r="Z1028" s="132"/>
      <c r="AA1028" s="132"/>
      <c r="AB1028" s="132"/>
      <c r="AC1028" s="132"/>
      <c r="AD1028" s="132"/>
      <c r="AE1028" s="132"/>
      <c r="AF1028" s="132"/>
    </row>
    <row r="1029" spans="1:32" ht="20.399999999999999" x14ac:dyDescent="0.25">
      <c r="A1029" s="143" t="str">
        <f>'INSCRIPCION '!A$3</f>
        <v>XXX PLATOS</v>
      </c>
      <c r="B1029" s="143"/>
      <c r="C1029" s="143"/>
      <c r="D1029" s="143"/>
      <c r="E1029" s="143"/>
      <c r="F1029" s="143"/>
      <c r="G1029" s="143"/>
      <c r="H1029" s="143"/>
      <c r="I1029" s="143"/>
      <c r="J1029" s="143"/>
      <c r="K1029" s="143"/>
      <c r="L1029" s="143"/>
      <c r="M1029" s="143"/>
      <c r="N1029" s="143"/>
      <c r="O1029" s="143"/>
      <c r="P1029" s="143"/>
      <c r="Q1029" s="143"/>
      <c r="R1029" s="143"/>
      <c r="S1029" s="143"/>
      <c r="T1029" s="143"/>
      <c r="U1029" s="143"/>
      <c r="V1029" s="143"/>
      <c r="W1029" s="143"/>
      <c r="X1029" s="143"/>
      <c r="Y1029" s="143"/>
      <c r="Z1029" s="143"/>
      <c r="AA1029" s="143"/>
      <c r="AB1029" s="143"/>
      <c r="AC1029" s="143"/>
      <c r="AD1029" s="143"/>
      <c r="AE1029" s="143"/>
      <c r="AF1029" s="143"/>
    </row>
    <row r="1030" spans="1:32" ht="22.8" x14ac:dyDescent="0.4">
      <c r="A1030" s="24"/>
      <c r="B1030" s="24"/>
    </row>
    <row r="1031" spans="1:32" ht="17.399999999999999" x14ac:dyDescent="0.3">
      <c r="A1031" s="25" t="s">
        <v>68</v>
      </c>
      <c r="B1031" s="25"/>
      <c r="J1031" s="9" t="s">
        <v>6</v>
      </c>
      <c r="K1031" s="9"/>
      <c r="L1031" s="9"/>
      <c r="M1031" s="9"/>
      <c r="N1031" s="9"/>
      <c r="O1031" s="22">
        <v>2</v>
      </c>
      <c r="P1031" s="22"/>
      <c r="Q1031" s="8"/>
      <c r="R1031" s="8"/>
      <c r="S1031" s="7"/>
      <c r="T1031" s="8"/>
      <c r="U1031" s="8"/>
      <c r="V1031" s="9" t="s">
        <v>7</v>
      </c>
      <c r="W1031" s="9"/>
      <c r="X1031" s="9"/>
      <c r="Y1031" s="9"/>
      <c r="Z1031" s="22">
        <v>3</v>
      </c>
      <c r="AA1031" s="22"/>
    </row>
    <row r="1032" spans="1:32" ht="13.8" thickBot="1" x14ac:dyDescent="0.3"/>
    <row r="1033" spans="1:32" ht="15.6" thickBot="1" x14ac:dyDescent="0.3">
      <c r="A1033" s="27" t="s">
        <v>0</v>
      </c>
      <c r="B1033" s="27" t="s">
        <v>8</v>
      </c>
      <c r="C1033" s="47">
        <v>1</v>
      </c>
      <c r="D1033" s="48">
        <v>2</v>
      </c>
      <c r="E1033" s="48">
        <v>3</v>
      </c>
      <c r="F1033" s="48">
        <v>4</v>
      </c>
      <c r="G1033" s="49">
        <v>5</v>
      </c>
      <c r="H1033" s="47">
        <v>6</v>
      </c>
      <c r="I1033" s="48">
        <v>7</v>
      </c>
      <c r="J1033" s="48">
        <v>8</v>
      </c>
      <c r="K1033" s="48">
        <v>9</v>
      </c>
      <c r="L1033" s="49">
        <v>10</v>
      </c>
      <c r="M1033" s="47">
        <v>11</v>
      </c>
      <c r="N1033" s="48">
        <v>12</v>
      </c>
      <c r="O1033" s="48">
        <v>13</v>
      </c>
      <c r="P1033" s="48">
        <v>14</v>
      </c>
      <c r="Q1033" s="49">
        <v>15</v>
      </c>
      <c r="R1033" s="47">
        <v>16</v>
      </c>
      <c r="S1033" s="48">
        <v>17</v>
      </c>
      <c r="T1033" s="48">
        <v>18</v>
      </c>
      <c r="U1033" s="48">
        <v>19</v>
      </c>
      <c r="V1033" s="49">
        <v>20</v>
      </c>
      <c r="W1033" s="47">
        <v>21</v>
      </c>
      <c r="X1033" s="48">
        <v>22</v>
      </c>
      <c r="Y1033" s="48">
        <v>23</v>
      </c>
      <c r="Z1033" s="48">
        <v>24</v>
      </c>
      <c r="AA1033" s="49">
        <v>25</v>
      </c>
      <c r="AB1033" s="30" t="s">
        <v>1</v>
      </c>
    </row>
    <row r="1034" spans="1:32" ht="14.25" customHeight="1" thickTop="1" x14ac:dyDescent="0.25">
      <c r="A1034" s="150">
        <v>187</v>
      </c>
      <c r="B1034" s="153">
        <f>ESCUADRAS!C197</f>
        <v>0</v>
      </c>
      <c r="C1034" s="129"/>
      <c r="D1034" s="114"/>
      <c r="E1034" s="114"/>
      <c r="F1034" s="114"/>
      <c r="G1034" s="156"/>
      <c r="H1034" s="129"/>
      <c r="I1034" s="114"/>
      <c r="J1034" s="114"/>
      <c r="K1034" s="114"/>
      <c r="L1034" s="156"/>
      <c r="M1034" s="129"/>
      <c r="N1034" s="114"/>
      <c r="O1034" s="114"/>
      <c r="P1034" s="114"/>
      <c r="Q1034" s="156"/>
      <c r="R1034" s="129"/>
      <c r="S1034" s="114"/>
      <c r="T1034" s="114"/>
      <c r="U1034" s="114"/>
      <c r="V1034" s="156"/>
      <c r="W1034" s="129"/>
      <c r="X1034" s="114"/>
      <c r="Y1034" s="114"/>
      <c r="Z1034" s="114"/>
      <c r="AA1034" s="156"/>
      <c r="AB1034" s="159"/>
    </row>
    <row r="1035" spans="1:32" ht="14.25" customHeight="1" x14ac:dyDescent="0.25">
      <c r="A1035" s="151"/>
      <c r="B1035" s="154"/>
      <c r="C1035" s="130"/>
      <c r="D1035" s="115"/>
      <c r="E1035" s="115"/>
      <c r="F1035" s="115"/>
      <c r="G1035" s="157"/>
      <c r="H1035" s="130"/>
      <c r="I1035" s="115"/>
      <c r="J1035" s="115"/>
      <c r="K1035" s="115"/>
      <c r="L1035" s="157"/>
      <c r="M1035" s="130"/>
      <c r="N1035" s="115"/>
      <c r="O1035" s="115"/>
      <c r="P1035" s="115"/>
      <c r="Q1035" s="157"/>
      <c r="R1035" s="130"/>
      <c r="S1035" s="115"/>
      <c r="T1035" s="115"/>
      <c r="U1035" s="115"/>
      <c r="V1035" s="157"/>
      <c r="W1035" s="130"/>
      <c r="X1035" s="115"/>
      <c r="Y1035" s="115"/>
      <c r="Z1035" s="115"/>
      <c r="AA1035" s="157"/>
      <c r="AB1035" s="160"/>
    </row>
    <row r="1036" spans="1:32" ht="14.25" customHeight="1" thickBot="1" x14ac:dyDescent="0.3">
      <c r="A1036" s="152"/>
      <c r="B1036" s="155"/>
      <c r="C1036" s="131"/>
      <c r="D1036" s="116"/>
      <c r="E1036" s="116"/>
      <c r="F1036" s="116"/>
      <c r="G1036" s="158"/>
      <c r="H1036" s="131"/>
      <c r="I1036" s="116"/>
      <c r="J1036" s="116"/>
      <c r="K1036" s="116"/>
      <c r="L1036" s="158"/>
      <c r="M1036" s="131"/>
      <c r="N1036" s="116"/>
      <c r="O1036" s="116"/>
      <c r="P1036" s="116"/>
      <c r="Q1036" s="158"/>
      <c r="R1036" s="131"/>
      <c r="S1036" s="116"/>
      <c r="T1036" s="116"/>
      <c r="U1036" s="116"/>
      <c r="V1036" s="158"/>
      <c r="W1036" s="131"/>
      <c r="X1036" s="116"/>
      <c r="Y1036" s="116"/>
      <c r="Z1036" s="116"/>
      <c r="AA1036" s="158"/>
      <c r="AB1036" s="161"/>
    </row>
    <row r="1037" spans="1:32" ht="13.5" customHeight="1" thickTop="1" x14ac:dyDescent="0.25">
      <c r="A1037" s="162">
        <v>188</v>
      </c>
      <c r="B1037" s="136">
        <f>ESCUADRAS!C198</f>
        <v>0</v>
      </c>
      <c r="C1037" s="93"/>
      <c r="D1037" s="123"/>
      <c r="E1037" s="123"/>
      <c r="F1037" s="123"/>
      <c r="G1037" s="164"/>
      <c r="H1037" s="93"/>
      <c r="I1037" s="123"/>
      <c r="J1037" s="123"/>
      <c r="K1037" s="123"/>
      <c r="L1037" s="164"/>
      <c r="M1037" s="93"/>
      <c r="N1037" s="123"/>
      <c r="O1037" s="123"/>
      <c r="P1037" s="123"/>
      <c r="Q1037" s="164"/>
      <c r="R1037" s="93"/>
      <c r="S1037" s="123"/>
      <c r="T1037" s="123"/>
      <c r="U1037" s="123"/>
      <c r="V1037" s="164"/>
      <c r="W1037" s="129"/>
      <c r="X1037" s="114"/>
      <c r="Y1037" s="114"/>
      <c r="Z1037" s="114"/>
      <c r="AA1037" s="156"/>
      <c r="AB1037" s="159"/>
    </row>
    <row r="1038" spans="1:32" ht="12.75" customHeight="1" x14ac:dyDescent="0.25">
      <c r="A1038" s="141"/>
      <c r="B1038" s="137"/>
      <c r="C1038" s="94"/>
      <c r="D1038" s="124"/>
      <c r="E1038" s="124"/>
      <c r="F1038" s="124"/>
      <c r="G1038" s="165"/>
      <c r="H1038" s="94"/>
      <c r="I1038" s="124"/>
      <c r="J1038" s="124"/>
      <c r="K1038" s="124"/>
      <c r="L1038" s="165"/>
      <c r="M1038" s="94"/>
      <c r="N1038" s="124"/>
      <c r="O1038" s="124"/>
      <c r="P1038" s="124"/>
      <c r="Q1038" s="165"/>
      <c r="R1038" s="94"/>
      <c r="S1038" s="124"/>
      <c r="T1038" s="124"/>
      <c r="U1038" s="124"/>
      <c r="V1038" s="165"/>
      <c r="W1038" s="130"/>
      <c r="X1038" s="115"/>
      <c r="Y1038" s="115"/>
      <c r="Z1038" s="115"/>
      <c r="AA1038" s="157"/>
      <c r="AB1038" s="160"/>
    </row>
    <row r="1039" spans="1:32" ht="13.5" customHeight="1" thickBot="1" x14ac:dyDescent="0.3">
      <c r="A1039" s="163"/>
      <c r="B1039" s="138"/>
      <c r="C1039" s="95"/>
      <c r="D1039" s="125"/>
      <c r="E1039" s="125"/>
      <c r="F1039" s="125"/>
      <c r="G1039" s="166"/>
      <c r="H1039" s="95"/>
      <c r="I1039" s="125"/>
      <c r="J1039" s="125"/>
      <c r="K1039" s="125"/>
      <c r="L1039" s="166"/>
      <c r="M1039" s="95"/>
      <c r="N1039" s="125"/>
      <c r="O1039" s="125"/>
      <c r="P1039" s="125"/>
      <c r="Q1039" s="166"/>
      <c r="R1039" s="95"/>
      <c r="S1039" s="125"/>
      <c r="T1039" s="125"/>
      <c r="U1039" s="125"/>
      <c r="V1039" s="166"/>
      <c r="W1039" s="131"/>
      <c r="X1039" s="116"/>
      <c r="Y1039" s="116"/>
      <c r="Z1039" s="116"/>
      <c r="AA1039" s="158"/>
      <c r="AB1039" s="161"/>
    </row>
    <row r="1040" spans="1:32" ht="14.25" customHeight="1" thickTop="1" x14ac:dyDescent="0.25">
      <c r="A1040" s="150">
        <v>189</v>
      </c>
      <c r="B1040" s="153">
        <f>ESCUADRAS!C193</f>
        <v>0</v>
      </c>
      <c r="C1040" s="93"/>
      <c r="D1040" s="123"/>
      <c r="E1040" s="123"/>
      <c r="F1040" s="123"/>
      <c r="G1040" s="164"/>
      <c r="H1040" s="93"/>
      <c r="I1040" s="123"/>
      <c r="J1040" s="123"/>
      <c r="K1040" s="123"/>
      <c r="L1040" s="164"/>
      <c r="M1040" s="93"/>
      <c r="N1040" s="123"/>
      <c r="O1040" s="123"/>
      <c r="P1040" s="123"/>
      <c r="Q1040" s="164"/>
      <c r="R1040" s="129"/>
      <c r="S1040" s="114"/>
      <c r="T1040" s="114"/>
      <c r="U1040" s="114"/>
      <c r="V1040" s="156"/>
      <c r="W1040" s="93"/>
      <c r="X1040" s="123"/>
      <c r="Y1040" s="123"/>
      <c r="Z1040" s="123"/>
      <c r="AA1040" s="164"/>
      <c r="AB1040" s="159"/>
    </row>
    <row r="1041" spans="1:28" ht="14.25" customHeight="1" x14ac:dyDescent="0.25">
      <c r="A1041" s="151"/>
      <c r="B1041" s="154"/>
      <c r="C1041" s="94"/>
      <c r="D1041" s="124"/>
      <c r="E1041" s="124"/>
      <c r="F1041" s="124"/>
      <c r="G1041" s="165"/>
      <c r="H1041" s="94"/>
      <c r="I1041" s="124"/>
      <c r="J1041" s="124"/>
      <c r="K1041" s="124"/>
      <c r="L1041" s="165"/>
      <c r="M1041" s="94"/>
      <c r="N1041" s="124"/>
      <c r="O1041" s="124"/>
      <c r="P1041" s="124"/>
      <c r="Q1041" s="165"/>
      <c r="R1041" s="130"/>
      <c r="S1041" s="115"/>
      <c r="T1041" s="115"/>
      <c r="U1041" s="115"/>
      <c r="V1041" s="157"/>
      <c r="W1041" s="94"/>
      <c r="X1041" s="124"/>
      <c r="Y1041" s="124"/>
      <c r="Z1041" s="124"/>
      <c r="AA1041" s="165"/>
      <c r="AB1041" s="160"/>
    </row>
    <row r="1042" spans="1:28" ht="14.25" customHeight="1" thickBot="1" x14ac:dyDescent="0.3">
      <c r="A1042" s="152"/>
      <c r="B1042" s="155"/>
      <c r="C1042" s="95"/>
      <c r="D1042" s="125"/>
      <c r="E1042" s="125"/>
      <c r="F1042" s="125"/>
      <c r="G1042" s="166"/>
      <c r="H1042" s="95"/>
      <c r="I1042" s="125"/>
      <c r="J1042" s="125"/>
      <c r="K1042" s="125"/>
      <c r="L1042" s="166"/>
      <c r="M1042" s="95"/>
      <c r="N1042" s="125"/>
      <c r="O1042" s="125"/>
      <c r="P1042" s="125"/>
      <c r="Q1042" s="166"/>
      <c r="R1042" s="131"/>
      <c r="S1042" s="116"/>
      <c r="T1042" s="116"/>
      <c r="U1042" s="116"/>
      <c r="V1042" s="158"/>
      <c r="W1042" s="95"/>
      <c r="X1042" s="125"/>
      <c r="Y1042" s="125"/>
      <c r="Z1042" s="125"/>
      <c r="AA1042" s="166"/>
      <c r="AB1042" s="161"/>
    </row>
    <row r="1043" spans="1:28" ht="13.5" customHeight="1" thickTop="1" x14ac:dyDescent="0.25">
      <c r="A1043" s="162">
        <v>190</v>
      </c>
      <c r="B1043" s="136">
        <f>ESCUADRAS!C194</f>
        <v>0</v>
      </c>
      <c r="C1043" s="93"/>
      <c r="D1043" s="123"/>
      <c r="E1043" s="123"/>
      <c r="F1043" s="123"/>
      <c r="G1043" s="164"/>
      <c r="H1043" s="93"/>
      <c r="I1043" s="123"/>
      <c r="J1043" s="123"/>
      <c r="K1043" s="123"/>
      <c r="L1043" s="164"/>
      <c r="M1043" s="129"/>
      <c r="N1043" s="114"/>
      <c r="O1043" s="114"/>
      <c r="P1043" s="114"/>
      <c r="Q1043" s="156"/>
      <c r="R1043" s="93"/>
      <c r="S1043" s="123"/>
      <c r="T1043" s="123"/>
      <c r="U1043" s="123"/>
      <c r="V1043" s="164"/>
      <c r="W1043" s="93"/>
      <c r="X1043" s="123"/>
      <c r="Y1043" s="123"/>
      <c r="Z1043" s="123"/>
      <c r="AA1043" s="164"/>
      <c r="AB1043" s="159"/>
    </row>
    <row r="1044" spans="1:28" ht="12.75" customHeight="1" x14ac:dyDescent="0.25">
      <c r="A1044" s="141"/>
      <c r="B1044" s="137"/>
      <c r="C1044" s="94"/>
      <c r="D1044" s="124"/>
      <c r="E1044" s="124"/>
      <c r="F1044" s="124"/>
      <c r="G1044" s="165"/>
      <c r="H1044" s="94"/>
      <c r="I1044" s="124"/>
      <c r="J1044" s="124"/>
      <c r="K1044" s="124"/>
      <c r="L1044" s="165"/>
      <c r="M1044" s="130"/>
      <c r="N1044" s="115"/>
      <c r="O1044" s="115"/>
      <c r="P1044" s="115"/>
      <c r="Q1044" s="157"/>
      <c r="R1044" s="94"/>
      <c r="S1044" s="124"/>
      <c r="T1044" s="124"/>
      <c r="U1044" s="124"/>
      <c r="V1044" s="165"/>
      <c r="W1044" s="94"/>
      <c r="X1044" s="124"/>
      <c r="Y1044" s="124"/>
      <c r="Z1044" s="124"/>
      <c r="AA1044" s="165"/>
      <c r="AB1044" s="160"/>
    </row>
    <row r="1045" spans="1:28" ht="13.5" customHeight="1" thickBot="1" x14ac:dyDescent="0.3">
      <c r="A1045" s="163"/>
      <c r="B1045" s="138"/>
      <c r="C1045" s="95"/>
      <c r="D1045" s="125"/>
      <c r="E1045" s="125"/>
      <c r="F1045" s="125"/>
      <c r="G1045" s="166"/>
      <c r="H1045" s="95"/>
      <c r="I1045" s="125"/>
      <c r="J1045" s="125"/>
      <c r="K1045" s="125"/>
      <c r="L1045" s="166"/>
      <c r="M1045" s="131"/>
      <c r="N1045" s="116"/>
      <c r="O1045" s="116"/>
      <c r="P1045" s="116"/>
      <c r="Q1045" s="158"/>
      <c r="R1045" s="95"/>
      <c r="S1045" s="125"/>
      <c r="T1045" s="125"/>
      <c r="U1045" s="125"/>
      <c r="V1045" s="166"/>
      <c r="W1045" s="95"/>
      <c r="X1045" s="125"/>
      <c r="Y1045" s="125"/>
      <c r="Z1045" s="125"/>
      <c r="AA1045" s="166"/>
      <c r="AB1045" s="161"/>
    </row>
    <row r="1046" spans="1:28" ht="14.25" customHeight="1" thickTop="1" x14ac:dyDescent="0.25">
      <c r="A1046" s="150">
        <v>191</v>
      </c>
      <c r="B1046" s="153">
        <f>ESCUADRAS!C195</f>
        <v>0</v>
      </c>
      <c r="C1046" s="93"/>
      <c r="D1046" s="123"/>
      <c r="E1046" s="123"/>
      <c r="F1046" s="123"/>
      <c r="G1046" s="164"/>
      <c r="H1046" s="129"/>
      <c r="I1046" s="114"/>
      <c r="J1046" s="114"/>
      <c r="K1046" s="114"/>
      <c r="L1046" s="156"/>
      <c r="M1046" s="93"/>
      <c r="N1046" s="123"/>
      <c r="O1046" s="123"/>
      <c r="P1046" s="123"/>
      <c r="Q1046" s="164"/>
      <c r="R1046" s="93"/>
      <c r="S1046" s="123"/>
      <c r="T1046" s="123"/>
      <c r="U1046" s="123"/>
      <c r="V1046" s="164"/>
      <c r="W1046" s="93"/>
      <c r="X1046" s="123"/>
      <c r="Y1046" s="123"/>
      <c r="Z1046" s="123"/>
      <c r="AA1046" s="164"/>
      <c r="AB1046" s="159"/>
    </row>
    <row r="1047" spans="1:28" ht="14.25" customHeight="1" x14ac:dyDescent="0.25">
      <c r="A1047" s="151"/>
      <c r="B1047" s="154"/>
      <c r="C1047" s="94"/>
      <c r="D1047" s="124"/>
      <c r="E1047" s="124"/>
      <c r="F1047" s="124"/>
      <c r="G1047" s="165"/>
      <c r="H1047" s="130"/>
      <c r="I1047" s="115"/>
      <c r="J1047" s="115"/>
      <c r="K1047" s="115"/>
      <c r="L1047" s="157"/>
      <c r="M1047" s="94"/>
      <c r="N1047" s="124"/>
      <c r="O1047" s="124"/>
      <c r="P1047" s="124"/>
      <c r="Q1047" s="165"/>
      <c r="R1047" s="94"/>
      <c r="S1047" s="124"/>
      <c r="T1047" s="124"/>
      <c r="U1047" s="124"/>
      <c r="V1047" s="165"/>
      <c r="W1047" s="94"/>
      <c r="X1047" s="124"/>
      <c r="Y1047" s="124"/>
      <c r="Z1047" s="124"/>
      <c r="AA1047" s="165"/>
      <c r="AB1047" s="160"/>
    </row>
    <row r="1048" spans="1:28" ht="14.25" customHeight="1" thickBot="1" x14ac:dyDescent="0.3">
      <c r="A1048" s="152"/>
      <c r="B1048" s="155"/>
      <c r="C1048" s="95"/>
      <c r="D1048" s="125"/>
      <c r="E1048" s="125"/>
      <c r="F1048" s="125"/>
      <c r="G1048" s="166"/>
      <c r="H1048" s="131"/>
      <c r="I1048" s="116"/>
      <c r="J1048" s="116"/>
      <c r="K1048" s="116"/>
      <c r="L1048" s="158"/>
      <c r="M1048" s="95"/>
      <c r="N1048" s="125"/>
      <c r="O1048" s="125"/>
      <c r="P1048" s="125"/>
      <c r="Q1048" s="166"/>
      <c r="R1048" s="95"/>
      <c r="S1048" s="125"/>
      <c r="T1048" s="125"/>
      <c r="U1048" s="125"/>
      <c r="V1048" s="166"/>
      <c r="W1048" s="95"/>
      <c r="X1048" s="125"/>
      <c r="Y1048" s="125"/>
      <c r="Z1048" s="125"/>
      <c r="AA1048" s="166"/>
      <c r="AB1048" s="161"/>
    </row>
    <row r="1049" spans="1:28" ht="13.5" customHeight="1" thickTop="1" x14ac:dyDescent="0.25">
      <c r="A1049" s="162">
        <v>192</v>
      </c>
      <c r="B1049" s="136">
        <f>ESCUADRAS!C196</f>
        <v>0</v>
      </c>
      <c r="C1049" s="129"/>
      <c r="D1049" s="114"/>
      <c r="E1049" s="114"/>
      <c r="F1049" s="114"/>
      <c r="G1049" s="156"/>
      <c r="H1049" s="93"/>
      <c r="I1049" s="123"/>
      <c r="J1049" s="123"/>
      <c r="K1049" s="123"/>
      <c r="L1049" s="164"/>
      <c r="M1049" s="93"/>
      <c r="N1049" s="123"/>
      <c r="O1049" s="123"/>
      <c r="P1049" s="123"/>
      <c r="Q1049" s="164"/>
      <c r="R1049" s="93"/>
      <c r="S1049" s="123"/>
      <c r="T1049" s="123"/>
      <c r="U1049" s="123"/>
      <c r="V1049" s="164"/>
      <c r="W1049" s="93"/>
      <c r="X1049" s="123"/>
      <c r="Y1049" s="123"/>
      <c r="Z1049" s="123"/>
      <c r="AA1049" s="164"/>
      <c r="AB1049" s="159"/>
    </row>
    <row r="1050" spans="1:28" ht="12.75" customHeight="1" x14ac:dyDescent="0.25">
      <c r="A1050" s="141"/>
      <c r="B1050" s="137"/>
      <c r="C1050" s="130"/>
      <c r="D1050" s="115"/>
      <c r="E1050" s="115"/>
      <c r="F1050" s="115"/>
      <c r="G1050" s="157"/>
      <c r="H1050" s="94"/>
      <c r="I1050" s="124"/>
      <c r="J1050" s="124"/>
      <c r="K1050" s="124"/>
      <c r="L1050" s="165"/>
      <c r="M1050" s="94"/>
      <c r="N1050" s="124"/>
      <c r="O1050" s="124"/>
      <c r="P1050" s="124"/>
      <c r="Q1050" s="165"/>
      <c r="R1050" s="94"/>
      <c r="S1050" s="124"/>
      <c r="T1050" s="124"/>
      <c r="U1050" s="124"/>
      <c r="V1050" s="165"/>
      <c r="W1050" s="94"/>
      <c r="X1050" s="124"/>
      <c r="Y1050" s="124"/>
      <c r="Z1050" s="124"/>
      <c r="AA1050" s="165"/>
      <c r="AB1050" s="160"/>
    </row>
    <row r="1051" spans="1:28" ht="13.5" customHeight="1" thickBot="1" x14ac:dyDescent="0.3">
      <c r="A1051" s="142"/>
      <c r="B1051" s="138"/>
      <c r="C1051" s="131"/>
      <c r="D1051" s="116"/>
      <c r="E1051" s="116"/>
      <c r="F1051" s="116"/>
      <c r="G1051" s="158"/>
      <c r="H1051" s="95"/>
      <c r="I1051" s="125"/>
      <c r="J1051" s="125"/>
      <c r="K1051" s="125"/>
      <c r="L1051" s="166"/>
      <c r="M1051" s="95"/>
      <c r="N1051" s="125"/>
      <c r="O1051" s="125"/>
      <c r="P1051" s="125"/>
      <c r="Q1051" s="166"/>
      <c r="R1051" s="95"/>
      <c r="S1051" s="125"/>
      <c r="T1051" s="125"/>
      <c r="U1051" s="125"/>
      <c r="V1051" s="166"/>
      <c r="W1051" s="95"/>
      <c r="X1051" s="125"/>
      <c r="Y1051" s="125"/>
      <c r="Z1051" s="125"/>
      <c r="AA1051" s="166"/>
      <c r="AB1051" s="161"/>
    </row>
    <row r="1053" spans="1:28" ht="15" x14ac:dyDescent="0.25">
      <c r="A1053" s="28"/>
      <c r="B1053" s="26" t="s">
        <v>35</v>
      </c>
      <c r="E1053" s="21" t="s">
        <v>41</v>
      </c>
      <c r="I1053" s="21" t="s">
        <v>42</v>
      </c>
      <c r="M1053" s="21" t="s">
        <v>43</v>
      </c>
      <c r="Q1053" s="21" t="s">
        <v>44</v>
      </c>
      <c r="U1053" s="21" t="s">
        <v>45</v>
      </c>
      <c r="Y1053" s="21" t="s">
        <v>46</v>
      </c>
    </row>
    <row r="1059" spans="1:32" ht="24.6" x14ac:dyDescent="0.25">
      <c r="A1059" s="144" t="str">
        <f>'INSCRIPCION '!A$1</f>
        <v>TIRADA</v>
      </c>
      <c r="B1059" s="144"/>
      <c r="C1059" s="144"/>
      <c r="D1059" s="144"/>
      <c r="E1059" s="144"/>
      <c r="F1059" s="144"/>
      <c r="G1059" s="144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  <c r="AF1059" s="144"/>
    </row>
    <row r="1060" spans="1:32" ht="24.6" x14ac:dyDescent="0.4">
      <c r="A1060" s="23"/>
      <c r="B1060" s="23"/>
    </row>
    <row r="1061" spans="1:32" ht="22.8" x14ac:dyDescent="0.25">
      <c r="A1061" s="132" t="str">
        <f>'INSCRIPCION '!A$2</f>
        <v>CAMPO DE TIRO LA ISLA</v>
      </c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L1061" s="132"/>
      <c r="M1061" s="132"/>
      <c r="N1061" s="132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  <c r="AC1061" s="132"/>
      <c r="AD1061" s="132"/>
      <c r="AE1061" s="132"/>
      <c r="AF1061" s="132"/>
    </row>
    <row r="1062" spans="1:32" ht="20.399999999999999" x14ac:dyDescent="0.25">
      <c r="A1062" s="143" t="str">
        <f>'INSCRIPCION '!A$3</f>
        <v>XXX PLATOS</v>
      </c>
      <c r="B1062" s="143"/>
      <c r="C1062" s="143"/>
      <c r="D1062" s="143"/>
      <c r="E1062" s="143"/>
      <c r="F1062" s="143"/>
      <c r="G1062" s="143"/>
      <c r="H1062" s="143"/>
      <c r="I1062" s="143"/>
      <c r="J1062" s="143"/>
      <c r="K1062" s="143"/>
      <c r="L1062" s="143"/>
      <c r="M1062" s="143"/>
      <c r="N1062" s="143"/>
      <c r="O1062" s="143"/>
      <c r="P1062" s="143"/>
      <c r="Q1062" s="143"/>
      <c r="R1062" s="143"/>
      <c r="S1062" s="143"/>
      <c r="T1062" s="143"/>
      <c r="U1062" s="143"/>
      <c r="V1062" s="143"/>
      <c r="W1062" s="143"/>
      <c r="X1062" s="143"/>
      <c r="Y1062" s="143"/>
      <c r="Z1062" s="143"/>
      <c r="AA1062" s="143"/>
      <c r="AB1062" s="143"/>
      <c r="AC1062" s="143"/>
      <c r="AD1062" s="143"/>
      <c r="AE1062" s="143"/>
      <c r="AF1062" s="143"/>
    </row>
    <row r="1063" spans="1:32" ht="22.8" x14ac:dyDescent="0.4">
      <c r="A1063" s="24"/>
      <c r="B1063" s="24"/>
    </row>
    <row r="1064" spans="1:32" ht="17.399999999999999" x14ac:dyDescent="0.3">
      <c r="A1064" s="25" t="s">
        <v>69</v>
      </c>
      <c r="B1064" s="25"/>
      <c r="J1064" s="9" t="s">
        <v>6</v>
      </c>
      <c r="K1064" s="9"/>
      <c r="L1064" s="9"/>
      <c r="M1064" s="9"/>
      <c r="N1064" s="9"/>
      <c r="O1064" s="22">
        <v>3</v>
      </c>
      <c r="P1064" s="22"/>
      <c r="Q1064" s="8"/>
      <c r="R1064" s="8"/>
      <c r="S1064" s="7"/>
      <c r="T1064" s="8"/>
      <c r="U1064" s="8"/>
      <c r="V1064" s="9" t="s">
        <v>7</v>
      </c>
      <c r="W1064" s="9"/>
      <c r="X1064" s="9"/>
      <c r="Y1064" s="9"/>
      <c r="Z1064" s="22">
        <v>3</v>
      </c>
      <c r="AA1064" s="22"/>
    </row>
    <row r="1065" spans="1:32" ht="13.8" thickBot="1" x14ac:dyDescent="0.3"/>
    <row r="1066" spans="1:32" ht="15.6" thickBot="1" x14ac:dyDescent="0.3">
      <c r="A1066" s="27" t="s">
        <v>0</v>
      </c>
      <c r="B1066" s="27" t="s">
        <v>8</v>
      </c>
      <c r="C1066" s="47">
        <v>1</v>
      </c>
      <c r="D1066" s="48">
        <v>2</v>
      </c>
      <c r="E1066" s="48">
        <v>3</v>
      </c>
      <c r="F1066" s="48">
        <v>4</v>
      </c>
      <c r="G1066" s="49">
        <v>5</v>
      </c>
      <c r="H1066" s="47">
        <v>6</v>
      </c>
      <c r="I1066" s="48">
        <v>7</v>
      </c>
      <c r="J1066" s="48">
        <v>8</v>
      </c>
      <c r="K1066" s="48">
        <v>9</v>
      </c>
      <c r="L1066" s="49">
        <v>10</v>
      </c>
      <c r="M1066" s="47">
        <v>11</v>
      </c>
      <c r="N1066" s="48">
        <v>12</v>
      </c>
      <c r="O1066" s="48">
        <v>13</v>
      </c>
      <c r="P1066" s="48">
        <v>14</v>
      </c>
      <c r="Q1066" s="49">
        <v>15</v>
      </c>
      <c r="R1066" s="47">
        <v>16</v>
      </c>
      <c r="S1066" s="48">
        <v>17</v>
      </c>
      <c r="T1066" s="48">
        <v>18</v>
      </c>
      <c r="U1066" s="48">
        <v>19</v>
      </c>
      <c r="V1066" s="49">
        <v>20</v>
      </c>
      <c r="W1066" s="47">
        <v>21</v>
      </c>
      <c r="X1066" s="48">
        <v>22</v>
      </c>
      <c r="Y1066" s="48">
        <v>23</v>
      </c>
      <c r="Z1066" s="48">
        <v>24</v>
      </c>
      <c r="AA1066" s="49">
        <v>25</v>
      </c>
      <c r="AB1066" s="30" t="s">
        <v>1</v>
      </c>
    </row>
    <row r="1067" spans="1:32" ht="14.25" customHeight="1" thickTop="1" x14ac:dyDescent="0.25">
      <c r="A1067" s="150">
        <v>193</v>
      </c>
      <c r="B1067" s="153">
        <f>ESCUADRAS!C203</f>
        <v>0</v>
      </c>
      <c r="C1067" s="129"/>
      <c r="D1067" s="114"/>
      <c r="E1067" s="114"/>
      <c r="F1067" s="114"/>
      <c r="G1067" s="156"/>
      <c r="H1067" s="129"/>
      <c r="I1067" s="114"/>
      <c r="J1067" s="114"/>
      <c r="K1067" s="114"/>
      <c r="L1067" s="156"/>
      <c r="M1067" s="129"/>
      <c r="N1067" s="114"/>
      <c r="O1067" s="114"/>
      <c r="P1067" s="114"/>
      <c r="Q1067" s="156"/>
      <c r="R1067" s="129"/>
      <c r="S1067" s="114"/>
      <c r="T1067" s="114"/>
      <c r="U1067" s="114"/>
      <c r="V1067" s="156"/>
      <c r="W1067" s="129"/>
      <c r="X1067" s="114"/>
      <c r="Y1067" s="114"/>
      <c r="Z1067" s="114"/>
      <c r="AA1067" s="156"/>
      <c r="AB1067" s="159"/>
    </row>
    <row r="1068" spans="1:32" ht="14.25" customHeight="1" x14ac:dyDescent="0.25">
      <c r="A1068" s="151"/>
      <c r="B1068" s="154"/>
      <c r="C1068" s="130"/>
      <c r="D1068" s="115"/>
      <c r="E1068" s="115"/>
      <c r="F1068" s="115"/>
      <c r="G1068" s="157"/>
      <c r="H1068" s="130"/>
      <c r="I1068" s="115"/>
      <c r="J1068" s="115"/>
      <c r="K1068" s="115"/>
      <c r="L1068" s="157"/>
      <c r="M1068" s="130"/>
      <c r="N1068" s="115"/>
      <c r="O1068" s="115"/>
      <c r="P1068" s="115"/>
      <c r="Q1068" s="157"/>
      <c r="R1068" s="130"/>
      <c r="S1068" s="115"/>
      <c r="T1068" s="115"/>
      <c r="U1068" s="115"/>
      <c r="V1068" s="157"/>
      <c r="W1068" s="130"/>
      <c r="X1068" s="115"/>
      <c r="Y1068" s="115"/>
      <c r="Z1068" s="115"/>
      <c r="AA1068" s="157"/>
      <c r="AB1068" s="160"/>
    </row>
    <row r="1069" spans="1:32" ht="14.25" customHeight="1" thickBot="1" x14ac:dyDescent="0.3">
      <c r="A1069" s="152"/>
      <c r="B1069" s="155"/>
      <c r="C1069" s="131"/>
      <c r="D1069" s="116"/>
      <c r="E1069" s="116"/>
      <c r="F1069" s="116"/>
      <c r="G1069" s="158"/>
      <c r="H1069" s="131"/>
      <c r="I1069" s="116"/>
      <c r="J1069" s="116"/>
      <c r="K1069" s="116"/>
      <c r="L1069" s="158"/>
      <c r="M1069" s="131"/>
      <c r="N1069" s="116"/>
      <c r="O1069" s="116"/>
      <c r="P1069" s="116"/>
      <c r="Q1069" s="158"/>
      <c r="R1069" s="131"/>
      <c r="S1069" s="116"/>
      <c r="T1069" s="116"/>
      <c r="U1069" s="116"/>
      <c r="V1069" s="158"/>
      <c r="W1069" s="131"/>
      <c r="X1069" s="116"/>
      <c r="Y1069" s="116"/>
      <c r="Z1069" s="116"/>
      <c r="AA1069" s="158"/>
      <c r="AB1069" s="161"/>
    </row>
    <row r="1070" spans="1:32" ht="13.5" customHeight="1" thickTop="1" x14ac:dyDescent="0.25">
      <c r="A1070" s="162">
        <v>194</v>
      </c>
      <c r="B1070" s="136">
        <f>ESCUADRAS!C204</f>
        <v>0</v>
      </c>
      <c r="C1070" s="93"/>
      <c r="D1070" s="123"/>
      <c r="E1070" s="123"/>
      <c r="F1070" s="123"/>
      <c r="G1070" s="164"/>
      <c r="H1070" s="93"/>
      <c r="I1070" s="123"/>
      <c r="J1070" s="123"/>
      <c r="K1070" s="123"/>
      <c r="L1070" s="164"/>
      <c r="M1070" s="93"/>
      <c r="N1070" s="123"/>
      <c r="O1070" s="123"/>
      <c r="P1070" s="123"/>
      <c r="Q1070" s="164"/>
      <c r="R1070" s="93"/>
      <c r="S1070" s="123"/>
      <c r="T1070" s="123"/>
      <c r="U1070" s="123"/>
      <c r="V1070" s="164"/>
      <c r="W1070" s="129"/>
      <c r="X1070" s="114"/>
      <c r="Y1070" s="114"/>
      <c r="Z1070" s="114"/>
      <c r="AA1070" s="156"/>
      <c r="AB1070" s="159"/>
    </row>
    <row r="1071" spans="1:32" ht="12.75" customHeight="1" x14ac:dyDescent="0.25">
      <c r="A1071" s="141"/>
      <c r="B1071" s="137"/>
      <c r="C1071" s="94"/>
      <c r="D1071" s="124"/>
      <c r="E1071" s="124"/>
      <c r="F1071" s="124"/>
      <c r="G1071" s="165"/>
      <c r="H1071" s="94"/>
      <c r="I1071" s="124"/>
      <c r="J1071" s="124"/>
      <c r="K1071" s="124"/>
      <c r="L1071" s="165"/>
      <c r="M1071" s="94"/>
      <c r="N1071" s="124"/>
      <c r="O1071" s="124"/>
      <c r="P1071" s="124"/>
      <c r="Q1071" s="165"/>
      <c r="R1071" s="94"/>
      <c r="S1071" s="124"/>
      <c r="T1071" s="124"/>
      <c r="U1071" s="124"/>
      <c r="V1071" s="165"/>
      <c r="W1071" s="130"/>
      <c r="X1071" s="115"/>
      <c r="Y1071" s="115"/>
      <c r="Z1071" s="115"/>
      <c r="AA1071" s="157"/>
      <c r="AB1071" s="160"/>
    </row>
    <row r="1072" spans="1:32" ht="13.5" customHeight="1" thickBot="1" x14ac:dyDescent="0.3">
      <c r="A1072" s="163"/>
      <c r="B1072" s="138"/>
      <c r="C1072" s="95"/>
      <c r="D1072" s="125"/>
      <c r="E1072" s="125"/>
      <c r="F1072" s="125"/>
      <c r="G1072" s="166"/>
      <c r="H1072" s="95"/>
      <c r="I1072" s="125"/>
      <c r="J1072" s="125"/>
      <c r="K1072" s="125"/>
      <c r="L1072" s="166"/>
      <c r="M1072" s="95"/>
      <c r="N1072" s="125"/>
      <c r="O1072" s="125"/>
      <c r="P1072" s="125"/>
      <c r="Q1072" s="166"/>
      <c r="R1072" s="95"/>
      <c r="S1072" s="125"/>
      <c r="T1072" s="125"/>
      <c r="U1072" s="125"/>
      <c r="V1072" s="166"/>
      <c r="W1072" s="131"/>
      <c r="X1072" s="116"/>
      <c r="Y1072" s="116"/>
      <c r="Z1072" s="116"/>
      <c r="AA1072" s="158"/>
      <c r="AB1072" s="161"/>
    </row>
    <row r="1073" spans="1:28" ht="14.25" customHeight="1" thickTop="1" x14ac:dyDescent="0.25">
      <c r="A1073" s="150">
        <v>195</v>
      </c>
      <c r="B1073" s="153">
        <f>ESCUADRAS!C199</f>
        <v>0</v>
      </c>
      <c r="C1073" s="93"/>
      <c r="D1073" s="123"/>
      <c r="E1073" s="123"/>
      <c r="F1073" s="123"/>
      <c r="G1073" s="164"/>
      <c r="H1073" s="93"/>
      <c r="I1073" s="123"/>
      <c r="J1073" s="123"/>
      <c r="K1073" s="123"/>
      <c r="L1073" s="164"/>
      <c r="M1073" s="93"/>
      <c r="N1073" s="123"/>
      <c r="O1073" s="123"/>
      <c r="P1073" s="123"/>
      <c r="Q1073" s="164"/>
      <c r="R1073" s="129"/>
      <c r="S1073" s="114"/>
      <c r="T1073" s="114"/>
      <c r="U1073" s="114"/>
      <c r="V1073" s="156"/>
      <c r="W1073" s="93"/>
      <c r="X1073" s="123"/>
      <c r="Y1073" s="123"/>
      <c r="Z1073" s="123"/>
      <c r="AA1073" s="164"/>
      <c r="AB1073" s="159"/>
    </row>
    <row r="1074" spans="1:28" ht="14.25" customHeight="1" x14ac:dyDescent="0.25">
      <c r="A1074" s="151"/>
      <c r="B1074" s="154"/>
      <c r="C1074" s="94"/>
      <c r="D1074" s="124"/>
      <c r="E1074" s="124"/>
      <c r="F1074" s="124"/>
      <c r="G1074" s="165"/>
      <c r="H1074" s="94"/>
      <c r="I1074" s="124"/>
      <c r="J1074" s="124"/>
      <c r="K1074" s="124"/>
      <c r="L1074" s="165"/>
      <c r="M1074" s="94"/>
      <c r="N1074" s="124"/>
      <c r="O1074" s="124"/>
      <c r="P1074" s="124"/>
      <c r="Q1074" s="165"/>
      <c r="R1074" s="130"/>
      <c r="S1074" s="115"/>
      <c r="T1074" s="115"/>
      <c r="U1074" s="115"/>
      <c r="V1074" s="157"/>
      <c r="W1074" s="94"/>
      <c r="X1074" s="124"/>
      <c r="Y1074" s="124"/>
      <c r="Z1074" s="124"/>
      <c r="AA1074" s="165"/>
      <c r="AB1074" s="160"/>
    </row>
    <row r="1075" spans="1:28" ht="14.25" customHeight="1" thickBot="1" x14ac:dyDescent="0.3">
      <c r="A1075" s="152"/>
      <c r="B1075" s="155"/>
      <c r="C1075" s="95"/>
      <c r="D1075" s="125"/>
      <c r="E1075" s="125"/>
      <c r="F1075" s="125"/>
      <c r="G1075" s="166"/>
      <c r="H1075" s="95"/>
      <c r="I1075" s="125"/>
      <c r="J1075" s="125"/>
      <c r="K1075" s="125"/>
      <c r="L1075" s="166"/>
      <c r="M1075" s="95"/>
      <c r="N1075" s="125"/>
      <c r="O1075" s="125"/>
      <c r="P1075" s="125"/>
      <c r="Q1075" s="166"/>
      <c r="R1075" s="131"/>
      <c r="S1075" s="116"/>
      <c r="T1075" s="116"/>
      <c r="U1075" s="116"/>
      <c r="V1075" s="158"/>
      <c r="W1075" s="95"/>
      <c r="X1075" s="125"/>
      <c r="Y1075" s="125"/>
      <c r="Z1075" s="125"/>
      <c r="AA1075" s="166"/>
      <c r="AB1075" s="161"/>
    </row>
    <row r="1076" spans="1:28" ht="13.5" customHeight="1" thickTop="1" x14ac:dyDescent="0.25">
      <c r="A1076" s="162">
        <v>196</v>
      </c>
      <c r="B1076" s="136">
        <f>ESCUADRAS!C200</f>
        <v>0</v>
      </c>
      <c r="C1076" s="93"/>
      <c r="D1076" s="123"/>
      <c r="E1076" s="123"/>
      <c r="F1076" s="123"/>
      <c r="G1076" s="164"/>
      <c r="H1076" s="93"/>
      <c r="I1076" s="123"/>
      <c r="J1076" s="123"/>
      <c r="K1076" s="123"/>
      <c r="L1076" s="164"/>
      <c r="M1076" s="129"/>
      <c r="N1076" s="114"/>
      <c r="O1076" s="114"/>
      <c r="P1076" s="114"/>
      <c r="Q1076" s="156"/>
      <c r="R1076" s="93"/>
      <c r="S1076" s="123"/>
      <c r="T1076" s="123"/>
      <c r="U1076" s="123"/>
      <c r="V1076" s="164"/>
      <c r="W1076" s="93"/>
      <c r="X1076" s="123"/>
      <c r="Y1076" s="123"/>
      <c r="Z1076" s="123"/>
      <c r="AA1076" s="164"/>
      <c r="AB1076" s="159"/>
    </row>
    <row r="1077" spans="1:28" ht="12.75" customHeight="1" x14ac:dyDescent="0.25">
      <c r="A1077" s="141"/>
      <c r="B1077" s="137"/>
      <c r="C1077" s="94"/>
      <c r="D1077" s="124"/>
      <c r="E1077" s="124"/>
      <c r="F1077" s="124"/>
      <c r="G1077" s="165"/>
      <c r="H1077" s="94"/>
      <c r="I1077" s="124"/>
      <c r="J1077" s="124"/>
      <c r="K1077" s="124"/>
      <c r="L1077" s="165"/>
      <c r="M1077" s="130"/>
      <c r="N1077" s="115"/>
      <c r="O1077" s="115"/>
      <c r="P1077" s="115"/>
      <c r="Q1077" s="157"/>
      <c r="R1077" s="94"/>
      <c r="S1077" s="124"/>
      <c r="T1077" s="124"/>
      <c r="U1077" s="124"/>
      <c r="V1077" s="165"/>
      <c r="W1077" s="94"/>
      <c r="X1077" s="124"/>
      <c r="Y1077" s="124"/>
      <c r="Z1077" s="124"/>
      <c r="AA1077" s="165"/>
      <c r="AB1077" s="160"/>
    </row>
    <row r="1078" spans="1:28" ht="13.5" customHeight="1" thickBot="1" x14ac:dyDescent="0.3">
      <c r="A1078" s="163"/>
      <c r="B1078" s="138"/>
      <c r="C1078" s="95"/>
      <c r="D1078" s="125"/>
      <c r="E1078" s="125"/>
      <c r="F1078" s="125"/>
      <c r="G1078" s="166"/>
      <c r="H1078" s="95"/>
      <c r="I1078" s="125"/>
      <c r="J1078" s="125"/>
      <c r="K1078" s="125"/>
      <c r="L1078" s="166"/>
      <c r="M1078" s="131"/>
      <c r="N1078" s="116"/>
      <c r="O1078" s="116"/>
      <c r="P1078" s="116"/>
      <c r="Q1078" s="158"/>
      <c r="R1078" s="95"/>
      <c r="S1078" s="125"/>
      <c r="T1078" s="125"/>
      <c r="U1078" s="125"/>
      <c r="V1078" s="166"/>
      <c r="W1078" s="95"/>
      <c r="X1078" s="125"/>
      <c r="Y1078" s="125"/>
      <c r="Z1078" s="125"/>
      <c r="AA1078" s="166"/>
      <c r="AB1078" s="161"/>
    </row>
    <row r="1079" spans="1:28" ht="14.25" customHeight="1" thickTop="1" x14ac:dyDescent="0.25">
      <c r="A1079" s="150">
        <v>197</v>
      </c>
      <c r="B1079" s="153">
        <f>ESCUADRAS!C201</f>
        <v>0</v>
      </c>
      <c r="C1079" s="93"/>
      <c r="D1079" s="123"/>
      <c r="E1079" s="123"/>
      <c r="F1079" s="123"/>
      <c r="G1079" s="164"/>
      <c r="H1079" s="129"/>
      <c r="I1079" s="114"/>
      <c r="J1079" s="114"/>
      <c r="K1079" s="114"/>
      <c r="L1079" s="156"/>
      <c r="M1079" s="93"/>
      <c r="N1079" s="123"/>
      <c r="O1079" s="123"/>
      <c r="P1079" s="123"/>
      <c r="Q1079" s="164"/>
      <c r="R1079" s="93"/>
      <c r="S1079" s="123"/>
      <c r="T1079" s="123"/>
      <c r="U1079" s="123"/>
      <c r="V1079" s="164"/>
      <c r="W1079" s="93"/>
      <c r="X1079" s="123"/>
      <c r="Y1079" s="123"/>
      <c r="Z1079" s="123"/>
      <c r="AA1079" s="164"/>
      <c r="AB1079" s="159"/>
    </row>
    <row r="1080" spans="1:28" ht="14.25" customHeight="1" x14ac:dyDescent="0.25">
      <c r="A1080" s="151"/>
      <c r="B1080" s="154"/>
      <c r="C1080" s="94"/>
      <c r="D1080" s="124"/>
      <c r="E1080" s="124"/>
      <c r="F1080" s="124"/>
      <c r="G1080" s="165"/>
      <c r="H1080" s="130"/>
      <c r="I1080" s="115"/>
      <c r="J1080" s="115"/>
      <c r="K1080" s="115"/>
      <c r="L1080" s="157"/>
      <c r="M1080" s="94"/>
      <c r="N1080" s="124"/>
      <c r="O1080" s="124"/>
      <c r="P1080" s="124"/>
      <c r="Q1080" s="165"/>
      <c r="R1080" s="94"/>
      <c r="S1080" s="124"/>
      <c r="T1080" s="124"/>
      <c r="U1080" s="124"/>
      <c r="V1080" s="165"/>
      <c r="W1080" s="94"/>
      <c r="X1080" s="124"/>
      <c r="Y1080" s="124"/>
      <c r="Z1080" s="124"/>
      <c r="AA1080" s="165"/>
      <c r="AB1080" s="160"/>
    </row>
    <row r="1081" spans="1:28" ht="14.25" customHeight="1" thickBot="1" x14ac:dyDescent="0.3">
      <c r="A1081" s="152"/>
      <c r="B1081" s="155"/>
      <c r="C1081" s="95"/>
      <c r="D1081" s="125"/>
      <c r="E1081" s="125"/>
      <c r="F1081" s="125"/>
      <c r="G1081" s="166"/>
      <c r="H1081" s="131"/>
      <c r="I1081" s="116"/>
      <c r="J1081" s="116"/>
      <c r="K1081" s="116"/>
      <c r="L1081" s="158"/>
      <c r="M1081" s="95"/>
      <c r="N1081" s="125"/>
      <c r="O1081" s="125"/>
      <c r="P1081" s="125"/>
      <c r="Q1081" s="166"/>
      <c r="R1081" s="95"/>
      <c r="S1081" s="125"/>
      <c r="T1081" s="125"/>
      <c r="U1081" s="125"/>
      <c r="V1081" s="166"/>
      <c r="W1081" s="95"/>
      <c r="X1081" s="125"/>
      <c r="Y1081" s="125"/>
      <c r="Z1081" s="125"/>
      <c r="AA1081" s="166"/>
      <c r="AB1081" s="161"/>
    </row>
    <row r="1082" spans="1:28" ht="13.5" customHeight="1" thickTop="1" x14ac:dyDescent="0.25">
      <c r="A1082" s="162">
        <v>198</v>
      </c>
      <c r="B1082" s="136">
        <f>ESCUADRAS!C202</f>
        <v>0</v>
      </c>
      <c r="C1082" s="129"/>
      <c r="D1082" s="114"/>
      <c r="E1082" s="114"/>
      <c r="F1082" s="114"/>
      <c r="G1082" s="156"/>
      <c r="H1082" s="93"/>
      <c r="I1082" s="123"/>
      <c r="J1082" s="123"/>
      <c r="K1082" s="123"/>
      <c r="L1082" s="164"/>
      <c r="M1082" s="93"/>
      <c r="N1082" s="123"/>
      <c r="O1082" s="123"/>
      <c r="P1082" s="123"/>
      <c r="Q1082" s="164"/>
      <c r="R1082" s="93"/>
      <c r="S1082" s="123"/>
      <c r="T1082" s="123"/>
      <c r="U1082" s="123"/>
      <c r="V1082" s="164"/>
      <c r="W1082" s="93"/>
      <c r="X1082" s="123"/>
      <c r="Y1082" s="123"/>
      <c r="Z1082" s="123"/>
      <c r="AA1082" s="164"/>
      <c r="AB1082" s="159"/>
    </row>
    <row r="1083" spans="1:28" ht="12.75" customHeight="1" x14ac:dyDescent="0.25">
      <c r="A1083" s="141"/>
      <c r="B1083" s="137"/>
      <c r="C1083" s="130"/>
      <c r="D1083" s="115"/>
      <c r="E1083" s="115"/>
      <c r="F1083" s="115"/>
      <c r="G1083" s="157"/>
      <c r="H1083" s="94"/>
      <c r="I1083" s="124"/>
      <c r="J1083" s="124"/>
      <c r="K1083" s="124"/>
      <c r="L1083" s="165"/>
      <c r="M1083" s="94"/>
      <c r="N1083" s="124"/>
      <c r="O1083" s="124"/>
      <c r="P1083" s="124"/>
      <c r="Q1083" s="165"/>
      <c r="R1083" s="94"/>
      <c r="S1083" s="124"/>
      <c r="T1083" s="124"/>
      <c r="U1083" s="124"/>
      <c r="V1083" s="165"/>
      <c r="W1083" s="94"/>
      <c r="X1083" s="124"/>
      <c r="Y1083" s="124"/>
      <c r="Z1083" s="124"/>
      <c r="AA1083" s="165"/>
      <c r="AB1083" s="160"/>
    </row>
    <row r="1084" spans="1:28" ht="13.5" customHeight="1" thickBot="1" x14ac:dyDescent="0.3">
      <c r="A1084" s="142"/>
      <c r="B1084" s="138"/>
      <c r="C1084" s="131"/>
      <c r="D1084" s="116"/>
      <c r="E1084" s="116"/>
      <c r="F1084" s="116"/>
      <c r="G1084" s="158"/>
      <c r="H1084" s="95"/>
      <c r="I1084" s="125"/>
      <c r="J1084" s="125"/>
      <c r="K1084" s="125"/>
      <c r="L1084" s="166"/>
      <c r="M1084" s="95"/>
      <c r="N1084" s="125"/>
      <c r="O1084" s="125"/>
      <c r="P1084" s="125"/>
      <c r="Q1084" s="166"/>
      <c r="R1084" s="95"/>
      <c r="S1084" s="125"/>
      <c r="T1084" s="125"/>
      <c r="U1084" s="125"/>
      <c r="V1084" s="166"/>
      <c r="W1084" s="95"/>
      <c r="X1084" s="125"/>
      <c r="Y1084" s="125"/>
      <c r="Z1084" s="125"/>
      <c r="AA1084" s="166"/>
      <c r="AB1084" s="161"/>
    </row>
    <row r="1086" spans="1:28" ht="15" x14ac:dyDescent="0.25">
      <c r="A1086" s="28"/>
      <c r="B1086" s="26" t="s">
        <v>35</v>
      </c>
      <c r="E1086" s="21" t="s">
        <v>41</v>
      </c>
      <c r="I1086" s="21" t="s">
        <v>42</v>
      </c>
      <c r="M1086" s="21" t="s">
        <v>43</v>
      </c>
      <c r="Q1086" s="21" t="s">
        <v>44</v>
      </c>
      <c r="U1086" s="21" t="s">
        <v>45</v>
      </c>
      <c r="Y1086" s="21" t="s">
        <v>46</v>
      </c>
    </row>
    <row r="1092" spans="1:32" ht="24.6" x14ac:dyDescent="0.25">
      <c r="A1092" s="144" t="str">
        <f>'INSCRIPCION '!A$1</f>
        <v>TIRADA</v>
      </c>
      <c r="B1092" s="144"/>
      <c r="C1092" s="144"/>
      <c r="D1092" s="144"/>
      <c r="E1092" s="144"/>
      <c r="F1092" s="144"/>
      <c r="G1092" s="144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  <c r="AF1092" s="144"/>
    </row>
    <row r="1093" spans="1:32" ht="24.6" x14ac:dyDescent="0.4">
      <c r="A1093" s="23"/>
      <c r="B1093" s="23"/>
    </row>
    <row r="1094" spans="1:32" ht="22.8" x14ac:dyDescent="0.25">
      <c r="A1094" s="132" t="str">
        <f>'INSCRIPCION '!A$2</f>
        <v>CAMPO DE TIRO LA ISLA</v>
      </c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L1094" s="132"/>
      <c r="M1094" s="132"/>
      <c r="N1094" s="132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  <c r="AC1094" s="132"/>
      <c r="AD1094" s="132"/>
      <c r="AE1094" s="132"/>
      <c r="AF1094" s="132"/>
    </row>
    <row r="1095" spans="1:32" ht="20.399999999999999" x14ac:dyDescent="0.25">
      <c r="A1095" s="143" t="str">
        <f>'INSCRIPCION '!A$3</f>
        <v>XXX PLATOS</v>
      </c>
      <c r="B1095" s="143"/>
      <c r="C1095" s="143"/>
      <c r="D1095" s="143"/>
      <c r="E1095" s="143"/>
      <c r="F1095" s="143"/>
      <c r="G1095" s="143"/>
      <c r="H1095" s="143"/>
      <c r="I1095" s="143"/>
      <c r="J1095" s="143"/>
      <c r="K1095" s="143"/>
      <c r="L1095" s="143"/>
      <c r="M1095" s="143"/>
      <c r="N1095" s="143"/>
      <c r="O1095" s="143"/>
      <c r="P1095" s="143"/>
      <c r="Q1095" s="143"/>
      <c r="R1095" s="143"/>
      <c r="S1095" s="143"/>
      <c r="T1095" s="143"/>
      <c r="U1095" s="143"/>
      <c r="V1095" s="143"/>
      <c r="W1095" s="143"/>
      <c r="X1095" s="143"/>
      <c r="Y1095" s="143"/>
      <c r="Z1095" s="143"/>
      <c r="AA1095" s="143"/>
      <c r="AB1095" s="143"/>
      <c r="AC1095" s="143"/>
      <c r="AD1095" s="143"/>
      <c r="AE1095" s="143"/>
      <c r="AF1095" s="143"/>
    </row>
    <row r="1096" spans="1:32" ht="22.8" x14ac:dyDescent="0.4">
      <c r="A1096" s="24"/>
      <c r="B1096" s="24"/>
    </row>
    <row r="1097" spans="1:32" ht="17.399999999999999" x14ac:dyDescent="0.3">
      <c r="A1097" s="25" t="s">
        <v>70</v>
      </c>
      <c r="B1097" s="25"/>
      <c r="J1097" s="9" t="s">
        <v>6</v>
      </c>
      <c r="K1097" s="9"/>
      <c r="L1097" s="9"/>
      <c r="M1097" s="9"/>
      <c r="N1097" s="9"/>
      <c r="O1097" s="22">
        <v>4</v>
      </c>
      <c r="P1097" s="22"/>
      <c r="Q1097" s="8"/>
      <c r="R1097" s="8"/>
      <c r="S1097" s="7"/>
      <c r="T1097" s="8"/>
      <c r="U1097" s="8"/>
      <c r="V1097" s="9" t="s">
        <v>7</v>
      </c>
      <c r="W1097" s="9"/>
      <c r="X1097" s="9"/>
      <c r="Y1097" s="9"/>
      <c r="Z1097" s="22">
        <v>3</v>
      </c>
      <c r="AA1097" s="22"/>
    </row>
    <row r="1098" spans="1:32" ht="13.8" thickBot="1" x14ac:dyDescent="0.3"/>
    <row r="1099" spans="1:32" ht="15.6" thickBot="1" x14ac:dyDescent="0.3">
      <c r="A1099" s="27" t="s">
        <v>0</v>
      </c>
      <c r="B1099" s="27" t="s">
        <v>8</v>
      </c>
      <c r="C1099" s="47">
        <v>1</v>
      </c>
      <c r="D1099" s="48">
        <v>2</v>
      </c>
      <c r="E1099" s="48">
        <v>3</v>
      </c>
      <c r="F1099" s="48">
        <v>4</v>
      </c>
      <c r="G1099" s="49">
        <v>5</v>
      </c>
      <c r="H1099" s="47">
        <v>6</v>
      </c>
      <c r="I1099" s="48">
        <v>7</v>
      </c>
      <c r="J1099" s="48">
        <v>8</v>
      </c>
      <c r="K1099" s="48">
        <v>9</v>
      </c>
      <c r="L1099" s="49">
        <v>10</v>
      </c>
      <c r="M1099" s="47">
        <v>11</v>
      </c>
      <c r="N1099" s="48">
        <v>12</v>
      </c>
      <c r="O1099" s="48">
        <v>13</v>
      </c>
      <c r="P1099" s="48">
        <v>14</v>
      </c>
      <c r="Q1099" s="49">
        <v>15</v>
      </c>
      <c r="R1099" s="47">
        <v>16</v>
      </c>
      <c r="S1099" s="48">
        <v>17</v>
      </c>
      <c r="T1099" s="48">
        <v>18</v>
      </c>
      <c r="U1099" s="48">
        <v>19</v>
      </c>
      <c r="V1099" s="49">
        <v>20</v>
      </c>
      <c r="W1099" s="47">
        <v>21</v>
      </c>
      <c r="X1099" s="48">
        <v>22</v>
      </c>
      <c r="Y1099" s="48">
        <v>23</v>
      </c>
      <c r="Z1099" s="48">
        <v>24</v>
      </c>
      <c r="AA1099" s="49">
        <v>25</v>
      </c>
      <c r="AB1099" s="30" t="s">
        <v>1</v>
      </c>
    </row>
    <row r="1100" spans="1:32" ht="14.25" customHeight="1" thickTop="1" x14ac:dyDescent="0.25">
      <c r="A1100" s="150">
        <v>199</v>
      </c>
      <c r="B1100" s="153">
        <f>ESCUADRAS!C209</f>
        <v>0</v>
      </c>
      <c r="C1100" s="129"/>
      <c r="D1100" s="114"/>
      <c r="E1100" s="114"/>
      <c r="F1100" s="114"/>
      <c r="G1100" s="156"/>
      <c r="H1100" s="129"/>
      <c r="I1100" s="114"/>
      <c r="J1100" s="114"/>
      <c r="K1100" s="114"/>
      <c r="L1100" s="156"/>
      <c r="M1100" s="129"/>
      <c r="N1100" s="114"/>
      <c r="O1100" s="114"/>
      <c r="P1100" s="114"/>
      <c r="Q1100" s="156"/>
      <c r="R1100" s="129"/>
      <c r="S1100" s="114"/>
      <c r="T1100" s="114"/>
      <c r="U1100" s="114"/>
      <c r="V1100" s="156"/>
      <c r="W1100" s="129"/>
      <c r="X1100" s="114"/>
      <c r="Y1100" s="114"/>
      <c r="Z1100" s="114"/>
      <c r="AA1100" s="156"/>
      <c r="AB1100" s="159"/>
    </row>
    <row r="1101" spans="1:32" ht="14.25" customHeight="1" x14ac:dyDescent="0.25">
      <c r="A1101" s="151"/>
      <c r="B1101" s="154"/>
      <c r="C1101" s="130"/>
      <c r="D1101" s="115"/>
      <c r="E1101" s="115"/>
      <c r="F1101" s="115"/>
      <c r="G1101" s="157"/>
      <c r="H1101" s="130"/>
      <c r="I1101" s="115"/>
      <c r="J1101" s="115"/>
      <c r="K1101" s="115"/>
      <c r="L1101" s="157"/>
      <c r="M1101" s="130"/>
      <c r="N1101" s="115"/>
      <c r="O1101" s="115"/>
      <c r="P1101" s="115"/>
      <c r="Q1101" s="157"/>
      <c r="R1101" s="130"/>
      <c r="S1101" s="115"/>
      <c r="T1101" s="115"/>
      <c r="U1101" s="115"/>
      <c r="V1101" s="157"/>
      <c r="W1101" s="130"/>
      <c r="X1101" s="115"/>
      <c r="Y1101" s="115"/>
      <c r="Z1101" s="115"/>
      <c r="AA1101" s="157"/>
      <c r="AB1101" s="160"/>
    </row>
    <row r="1102" spans="1:32" ht="14.25" customHeight="1" thickBot="1" x14ac:dyDescent="0.3">
      <c r="A1102" s="152"/>
      <c r="B1102" s="155"/>
      <c r="C1102" s="131"/>
      <c r="D1102" s="116"/>
      <c r="E1102" s="116"/>
      <c r="F1102" s="116"/>
      <c r="G1102" s="158"/>
      <c r="H1102" s="131"/>
      <c r="I1102" s="116"/>
      <c r="J1102" s="116"/>
      <c r="K1102" s="116"/>
      <c r="L1102" s="158"/>
      <c r="M1102" s="131"/>
      <c r="N1102" s="116"/>
      <c r="O1102" s="116"/>
      <c r="P1102" s="116"/>
      <c r="Q1102" s="158"/>
      <c r="R1102" s="131"/>
      <c r="S1102" s="116"/>
      <c r="T1102" s="116"/>
      <c r="U1102" s="116"/>
      <c r="V1102" s="158"/>
      <c r="W1102" s="131"/>
      <c r="X1102" s="116"/>
      <c r="Y1102" s="116"/>
      <c r="Z1102" s="116"/>
      <c r="AA1102" s="158"/>
      <c r="AB1102" s="161"/>
    </row>
    <row r="1103" spans="1:32" ht="13.5" customHeight="1" thickTop="1" x14ac:dyDescent="0.25">
      <c r="A1103" s="162">
        <v>200</v>
      </c>
      <c r="B1103" s="136">
        <f>ESCUADRAS!C210</f>
        <v>0</v>
      </c>
      <c r="C1103" s="93"/>
      <c r="D1103" s="123"/>
      <c r="E1103" s="123"/>
      <c r="F1103" s="123"/>
      <c r="G1103" s="164"/>
      <c r="H1103" s="93"/>
      <c r="I1103" s="123"/>
      <c r="J1103" s="123"/>
      <c r="K1103" s="123"/>
      <c r="L1103" s="164"/>
      <c r="M1103" s="93"/>
      <c r="N1103" s="123"/>
      <c r="O1103" s="123"/>
      <c r="P1103" s="123"/>
      <c r="Q1103" s="164"/>
      <c r="R1103" s="93"/>
      <c r="S1103" s="123"/>
      <c r="T1103" s="123"/>
      <c r="U1103" s="123"/>
      <c r="V1103" s="164"/>
      <c r="W1103" s="129"/>
      <c r="X1103" s="114"/>
      <c r="Y1103" s="114"/>
      <c r="Z1103" s="114"/>
      <c r="AA1103" s="156"/>
      <c r="AB1103" s="159"/>
    </row>
    <row r="1104" spans="1:32" ht="12.75" customHeight="1" x14ac:dyDescent="0.25">
      <c r="A1104" s="141"/>
      <c r="B1104" s="137"/>
      <c r="C1104" s="94"/>
      <c r="D1104" s="124"/>
      <c r="E1104" s="124"/>
      <c r="F1104" s="124"/>
      <c r="G1104" s="165"/>
      <c r="H1104" s="94"/>
      <c r="I1104" s="124"/>
      <c r="J1104" s="124"/>
      <c r="K1104" s="124"/>
      <c r="L1104" s="165"/>
      <c r="M1104" s="94"/>
      <c r="N1104" s="124"/>
      <c r="O1104" s="124"/>
      <c r="P1104" s="124"/>
      <c r="Q1104" s="165"/>
      <c r="R1104" s="94"/>
      <c r="S1104" s="124"/>
      <c r="T1104" s="124"/>
      <c r="U1104" s="124"/>
      <c r="V1104" s="165"/>
      <c r="W1104" s="130"/>
      <c r="X1104" s="115"/>
      <c r="Y1104" s="115"/>
      <c r="Z1104" s="115"/>
      <c r="AA1104" s="157"/>
      <c r="AB1104" s="160"/>
    </row>
    <row r="1105" spans="1:28" ht="13.5" customHeight="1" thickBot="1" x14ac:dyDescent="0.3">
      <c r="A1105" s="163"/>
      <c r="B1105" s="138"/>
      <c r="C1105" s="95"/>
      <c r="D1105" s="125"/>
      <c r="E1105" s="125"/>
      <c r="F1105" s="125"/>
      <c r="G1105" s="166"/>
      <c r="H1105" s="95"/>
      <c r="I1105" s="125"/>
      <c r="J1105" s="125"/>
      <c r="K1105" s="125"/>
      <c r="L1105" s="166"/>
      <c r="M1105" s="95"/>
      <c r="N1105" s="125"/>
      <c r="O1105" s="125"/>
      <c r="P1105" s="125"/>
      <c r="Q1105" s="166"/>
      <c r="R1105" s="95"/>
      <c r="S1105" s="125"/>
      <c r="T1105" s="125"/>
      <c r="U1105" s="125"/>
      <c r="V1105" s="166"/>
      <c r="W1105" s="131"/>
      <c r="X1105" s="116"/>
      <c r="Y1105" s="116"/>
      <c r="Z1105" s="116"/>
      <c r="AA1105" s="158"/>
      <c r="AB1105" s="161"/>
    </row>
    <row r="1106" spans="1:28" ht="14.25" customHeight="1" thickTop="1" x14ac:dyDescent="0.25">
      <c r="A1106" s="150">
        <v>201</v>
      </c>
      <c r="B1106" s="182">
        <f>ESCUADRAS!C205</f>
        <v>0</v>
      </c>
      <c r="C1106" s="93"/>
      <c r="D1106" s="123"/>
      <c r="E1106" s="123"/>
      <c r="F1106" s="123"/>
      <c r="G1106" s="164"/>
      <c r="H1106" s="93"/>
      <c r="I1106" s="123"/>
      <c r="J1106" s="123"/>
      <c r="K1106" s="123"/>
      <c r="L1106" s="164"/>
      <c r="M1106" s="93"/>
      <c r="N1106" s="123"/>
      <c r="O1106" s="123"/>
      <c r="P1106" s="123"/>
      <c r="Q1106" s="164"/>
      <c r="R1106" s="129"/>
      <c r="S1106" s="114"/>
      <c r="T1106" s="114"/>
      <c r="U1106" s="114"/>
      <c r="V1106" s="156"/>
      <c r="W1106" s="93"/>
      <c r="X1106" s="123"/>
      <c r="Y1106" s="123"/>
      <c r="Z1106" s="123"/>
      <c r="AA1106" s="164"/>
      <c r="AB1106" s="159"/>
    </row>
    <row r="1107" spans="1:28" ht="14.25" customHeight="1" x14ac:dyDescent="0.25">
      <c r="A1107" s="151"/>
      <c r="B1107" s="183"/>
      <c r="C1107" s="94"/>
      <c r="D1107" s="124"/>
      <c r="E1107" s="124"/>
      <c r="F1107" s="124"/>
      <c r="G1107" s="165"/>
      <c r="H1107" s="94"/>
      <c r="I1107" s="124"/>
      <c r="J1107" s="124"/>
      <c r="K1107" s="124"/>
      <c r="L1107" s="165"/>
      <c r="M1107" s="94"/>
      <c r="N1107" s="124"/>
      <c r="O1107" s="124"/>
      <c r="P1107" s="124"/>
      <c r="Q1107" s="165"/>
      <c r="R1107" s="130"/>
      <c r="S1107" s="115"/>
      <c r="T1107" s="115"/>
      <c r="U1107" s="115"/>
      <c r="V1107" s="157"/>
      <c r="W1107" s="94"/>
      <c r="X1107" s="124"/>
      <c r="Y1107" s="124"/>
      <c r="Z1107" s="124"/>
      <c r="AA1107" s="165"/>
      <c r="AB1107" s="160"/>
    </row>
    <row r="1108" spans="1:28" ht="14.25" customHeight="1" thickBot="1" x14ac:dyDescent="0.3">
      <c r="A1108" s="152"/>
      <c r="B1108" s="184"/>
      <c r="C1108" s="95"/>
      <c r="D1108" s="125"/>
      <c r="E1108" s="125"/>
      <c r="F1108" s="125"/>
      <c r="G1108" s="166"/>
      <c r="H1108" s="95"/>
      <c r="I1108" s="125"/>
      <c r="J1108" s="125"/>
      <c r="K1108" s="125"/>
      <c r="L1108" s="166"/>
      <c r="M1108" s="95"/>
      <c r="N1108" s="125"/>
      <c r="O1108" s="125"/>
      <c r="P1108" s="125"/>
      <c r="Q1108" s="166"/>
      <c r="R1108" s="131"/>
      <c r="S1108" s="116"/>
      <c r="T1108" s="116"/>
      <c r="U1108" s="116"/>
      <c r="V1108" s="158"/>
      <c r="W1108" s="95"/>
      <c r="X1108" s="125"/>
      <c r="Y1108" s="125"/>
      <c r="Z1108" s="125"/>
      <c r="AA1108" s="166"/>
      <c r="AB1108" s="161"/>
    </row>
    <row r="1109" spans="1:28" ht="13.5" customHeight="1" thickTop="1" x14ac:dyDescent="0.25">
      <c r="A1109" s="162">
        <v>202</v>
      </c>
      <c r="B1109" s="136">
        <f>ESCUADRAS!C206</f>
        <v>0</v>
      </c>
      <c r="C1109" s="93"/>
      <c r="D1109" s="123"/>
      <c r="E1109" s="123"/>
      <c r="F1109" s="123"/>
      <c r="G1109" s="164"/>
      <c r="H1109" s="93"/>
      <c r="I1109" s="123"/>
      <c r="J1109" s="123"/>
      <c r="K1109" s="123"/>
      <c r="L1109" s="164"/>
      <c r="M1109" s="129"/>
      <c r="N1109" s="114"/>
      <c r="O1109" s="114"/>
      <c r="P1109" s="114"/>
      <c r="Q1109" s="156"/>
      <c r="R1109" s="93"/>
      <c r="S1109" s="123"/>
      <c r="T1109" s="123"/>
      <c r="U1109" s="123"/>
      <c r="V1109" s="164"/>
      <c r="W1109" s="93"/>
      <c r="X1109" s="123"/>
      <c r="Y1109" s="123"/>
      <c r="Z1109" s="123"/>
      <c r="AA1109" s="164"/>
      <c r="AB1109" s="159"/>
    </row>
    <row r="1110" spans="1:28" ht="12.75" customHeight="1" x14ac:dyDescent="0.25">
      <c r="A1110" s="141"/>
      <c r="B1110" s="137"/>
      <c r="C1110" s="94"/>
      <c r="D1110" s="124"/>
      <c r="E1110" s="124"/>
      <c r="F1110" s="124"/>
      <c r="G1110" s="165"/>
      <c r="H1110" s="94"/>
      <c r="I1110" s="124"/>
      <c r="J1110" s="124"/>
      <c r="K1110" s="124"/>
      <c r="L1110" s="165"/>
      <c r="M1110" s="130"/>
      <c r="N1110" s="115"/>
      <c r="O1110" s="115"/>
      <c r="P1110" s="115"/>
      <c r="Q1110" s="157"/>
      <c r="R1110" s="94"/>
      <c r="S1110" s="124"/>
      <c r="T1110" s="124"/>
      <c r="U1110" s="124"/>
      <c r="V1110" s="165"/>
      <c r="W1110" s="94"/>
      <c r="X1110" s="124"/>
      <c r="Y1110" s="124"/>
      <c r="Z1110" s="124"/>
      <c r="AA1110" s="165"/>
      <c r="AB1110" s="160"/>
    </row>
    <row r="1111" spans="1:28" ht="13.5" customHeight="1" thickBot="1" x14ac:dyDescent="0.3">
      <c r="A1111" s="163"/>
      <c r="B1111" s="138"/>
      <c r="C1111" s="95"/>
      <c r="D1111" s="125"/>
      <c r="E1111" s="125"/>
      <c r="F1111" s="125"/>
      <c r="G1111" s="166"/>
      <c r="H1111" s="95"/>
      <c r="I1111" s="125"/>
      <c r="J1111" s="125"/>
      <c r="K1111" s="125"/>
      <c r="L1111" s="166"/>
      <c r="M1111" s="131"/>
      <c r="N1111" s="116"/>
      <c r="O1111" s="116"/>
      <c r="P1111" s="116"/>
      <c r="Q1111" s="158"/>
      <c r="R1111" s="95"/>
      <c r="S1111" s="125"/>
      <c r="T1111" s="125"/>
      <c r="U1111" s="125"/>
      <c r="V1111" s="166"/>
      <c r="W1111" s="95"/>
      <c r="X1111" s="125"/>
      <c r="Y1111" s="125"/>
      <c r="Z1111" s="125"/>
      <c r="AA1111" s="166"/>
      <c r="AB1111" s="161"/>
    </row>
    <row r="1112" spans="1:28" ht="14.25" customHeight="1" thickTop="1" x14ac:dyDescent="0.25">
      <c r="A1112" s="150">
        <v>203</v>
      </c>
      <c r="B1112" s="153">
        <f>ESCUADRAS!C207</f>
        <v>0</v>
      </c>
      <c r="C1112" s="93"/>
      <c r="D1112" s="123"/>
      <c r="E1112" s="123"/>
      <c r="F1112" s="123"/>
      <c r="G1112" s="164"/>
      <c r="H1112" s="129"/>
      <c r="I1112" s="114"/>
      <c r="J1112" s="114"/>
      <c r="K1112" s="114"/>
      <c r="L1112" s="156"/>
      <c r="M1112" s="93"/>
      <c r="N1112" s="123"/>
      <c r="O1112" s="123"/>
      <c r="P1112" s="123"/>
      <c r="Q1112" s="164"/>
      <c r="R1112" s="93"/>
      <c r="S1112" s="123"/>
      <c r="T1112" s="123"/>
      <c r="U1112" s="123"/>
      <c r="V1112" s="164"/>
      <c r="W1112" s="93"/>
      <c r="X1112" s="123"/>
      <c r="Y1112" s="123"/>
      <c r="Z1112" s="123"/>
      <c r="AA1112" s="164"/>
      <c r="AB1112" s="159"/>
    </row>
    <row r="1113" spans="1:28" ht="14.25" customHeight="1" x14ac:dyDescent="0.25">
      <c r="A1113" s="151"/>
      <c r="B1113" s="154"/>
      <c r="C1113" s="94"/>
      <c r="D1113" s="124"/>
      <c r="E1113" s="124"/>
      <c r="F1113" s="124"/>
      <c r="G1113" s="165"/>
      <c r="H1113" s="130"/>
      <c r="I1113" s="115"/>
      <c r="J1113" s="115"/>
      <c r="K1113" s="115"/>
      <c r="L1113" s="157"/>
      <c r="M1113" s="94"/>
      <c r="N1113" s="124"/>
      <c r="O1113" s="124"/>
      <c r="P1113" s="124"/>
      <c r="Q1113" s="165"/>
      <c r="R1113" s="94"/>
      <c r="S1113" s="124"/>
      <c r="T1113" s="124"/>
      <c r="U1113" s="124"/>
      <c r="V1113" s="165"/>
      <c r="W1113" s="94"/>
      <c r="X1113" s="124"/>
      <c r="Y1113" s="124"/>
      <c r="Z1113" s="124"/>
      <c r="AA1113" s="165"/>
      <c r="AB1113" s="160"/>
    </row>
    <row r="1114" spans="1:28" ht="14.25" customHeight="1" thickBot="1" x14ac:dyDescent="0.3">
      <c r="A1114" s="152"/>
      <c r="B1114" s="155"/>
      <c r="C1114" s="95"/>
      <c r="D1114" s="125"/>
      <c r="E1114" s="125"/>
      <c r="F1114" s="125"/>
      <c r="G1114" s="166"/>
      <c r="H1114" s="131"/>
      <c r="I1114" s="116"/>
      <c r="J1114" s="116"/>
      <c r="K1114" s="116"/>
      <c r="L1114" s="158"/>
      <c r="M1114" s="95"/>
      <c r="N1114" s="125"/>
      <c r="O1114" s="125"/>
      <c r="P1114" s="125"/>
      <c r="Q1114" s="166"/>
      <c r="R1114" s="95"/>
      <c r="S1114" s="125"/>
      <c r="T1114" s="125"/>
      <c r="U1114" s="125"/>
      <c r="V1114" s="166"/>
      <c r="W1114" s="95"/>
      <c r="X1114" s="125"/>
      <c r="Y1114" s="125"/>
      <c r="Z1114" s="125"/>
      <c r="AA1114" s="166"/>
      <c r="AB1114" s="161"/>
    </row>
    <row r="1115" spans="1:28" ht="13.5" customHeight="1" thickTop="1" x14ac:dyDescent="0.25">
      <c r="A1115" s="162">
        <v>204</v>
      </c>
      <c r="B1115" s="136">
        <f>ESCUADRAS!C208</f>
        <v>0</v>
      </c>
      <c r="C1115" s="129"/>
      <c r="D1115" s="114"/>
      <c r="E1115" s="114"/>
      <c r="F1115" s="114"/>
      <c r="G1115" s="156"/>
      <c r="H1115" s="93"/>
      <c r="I1115" s="123"/>
      <c r="J1115" s="123"/>
      <c r="K1115" s="123"/>
      <c r="L1115" s="164"/>
      <c r="M1115" s="93"/>
      <c r="N1115" s="123"/>
      <c r="O1115" s="123"/>
      <c r="P1115" s="123"/>
      <c r="Q1115" s="164"/>
      <c r="R1115" s="93"/>
      <c r="S1115" s="123"/>
      <c r="T1115" s="123"/>
      <c r="U1115" s="123"/>
      <c r="V1115" s="164"/>
      <c r="W1115" s="93"/>
      <c r="X1115" s="123"/>
      <c r="Y1115" s="123"/>
      <c r="Z1115" s="123"/>
      <c r="AA1115" s="164"/>
      <c r="AB1115" s="159"/>
    </row>
    <row r="1116" spans="1:28" ht="12.75" customHeight="1" x14ac:dyDescent="0.25">
      <c r="A1116" s="141"/>
      <c r="B1116" s="137"/>
      <c r="C1116" s="130"/>
      <c r="D1116" s="115"/>
      <c r="E1116" s="115"/>
      <c r="F1116" s="115"/>
      <c r="G1116" s="157"/>
      <c r="H1116" s="94"/>
      <c r="I1116" s="124"/>
      <c r="J1116" s="124"/>
      <c r="K1116" s="124"/>
      <c r="L1116" s="165"/>
      <c r="M1116" s="94"/>
      <c r="N1116" s="124"/>
      <c r="O1116" s="124"/>
      <c r="P1116" s="124"/>
      <c r="Q1116" s="165"/>
      <c r="R1116" s="94"/>
      <c r="S1116" s="124"/>
      <c r="T1116" s="124"/>
      <c r="U1116" s="124"/>
      <c r="V1116" s="165"/>
      <c r="W1116" s="94"/>
      <c r="X1116" s="124"/>
      <c r="Y1116" s="124"/>
      <c r="Z1116" s="124"/>
      <c r="AA1116" s="165"/>
      <c r="AB1116" s="160"/>
    </row>
    <row r="1117" spans="1:28" ht="13.5" customHeight="1" thickBot="1" x14ac:dyDescent="0.3">
      <c r="A1117" s="142"/>
      <c r="B1117" s="138"/>
      <c r="C1117" s="131"/>
      <c r="D1117" s="116"/>
      <c r="E1117" s="116"/>
      <c r="F1117" s="116"/>
      <c r="G1117" s="158"/>
      <c r="H1117" s="95"/>
      <c r="I1117" s="125"/>
      <c r="J1117" s="125"/>
      <c r="K1117" s="125"/>
      <c r="L1117" s="166"/>
      <c r="M1117" s="95"/>
      <c r="N1117" s="125"/>
      <c r="O1117" s="125"/>
      <c r="P1117" s="125"/>
      <c r="Q1117" s="166"/>
      <c r="R1117" s="95"/>
      <c r="S1117" s="125"/>
      <c r="T1117" s="125"/>
      <c r="U1117" s="125"/>
      <c r="V1117" s="166"/>
      <c r="W1117" s="95"/>
      <c r="X1117" s="125"/>
      <c r="Y1117" s="125"/>
      <c r="Z1117" s="125"/>
      <c r="AA1117" s="166"/>
      <c r="AB1117" s="161"/>
    </row>
    <row r="1119" spans="1:28" ht="15" x14ac:dyDescent="0.25">
      <c r="A1119" s="28"/>
      <c r="B1119" s="26" t="s">
        <v>35</v>
      </c>
      <c r="E1119" s="21" t="s">
        <v>41</v>
      </c>
      <c r="I1119" s="21" t="s">
        <v>42</v>
      </c>
      <c r="M1119" s="21" t="s">
        <v>43</v>
      </c>
      <c r="Q1119" s="21" t="s">
        <v>44</v>
      </c>
      <c r="U1119" s="21" t="s">
        <v>45</v>
      </c>
      <c r="Y1119" s="21" t="s">
        <v>46</v>
      </c>
    </row>
  </sheetData>
  <mergeCells count="5815">
    <mergeCell ref="X1115:X1117"/>
    <mergeCell ref="Y1115:Y1117"/>
    <mergeCell ref="Z1115:Z1117"/>
    <mergeCell ref="AA1115:AA1117"/>
    <mergeCell ref="AB1115:AB1117"/>
    <mergeCell ref="R1115:R1117"/>
    <mergeCell ref="S1115:S1117"/>
    <mergeCell ref="T1115:T1117"/>
    <mergeCell ref="U1115:U1117"/>
    <mergeCell ref="V1115:V1117"/>
    <mergeCell ref="W1115:W1117"/>
    <mergeCell ref="L1115:L1117"/>
    <mergeCell ref="M1115:M1117"/>
    <mergeCell ref="N1115:N1117"/>
    <mergeCell ref="O1115:O1117"/>
    <mergeCell ref="P1115:P1117"/>
    <mergeCell ref="Q1115:Q1117"/>
    <mergeCell ref="F1115:F1117"/>
    <mergeCell ref="G1115:G1117"/>
    <mergeCell ref="H1115:H1117"/>
    <mergeCell ref="I1115:I1117"/>
    <mergeCell ref="J1115:J1117"/>
    <mergeCell ref="K1115:K1117"/>
    <mergeCell ref="X1112:X1114"/>
    <mergeCell ref="Y1112:Y1114"/>
    <mergeCell ref="Z1112:Z1114"/>
    <mergeCell ref="AA1112:AA1114"/>
    <mergeCell ref="AB1112:AB1114"/>
    <mergeCell ref="A1115:A1117"/>
    <mergeCell ref="B1115:B1117"/>
    <mergeCell ref="C1115:C1117"/>
    <mergeCell ref="D1115:D1117"/>
    <mergeCell ref="E1115:E1117"/>
    <mergeCell ref="R1112:R1114"/>
    <mergeCell ref="S1112:S1114"/>
    <mergeCell ref="T1112:T1114"/>
    <mergeCell ref="U1112:U1114"/>
    <mergeCell ref="V1112:V1114"/>
    <mergeCell ref="W1112:W1114"/>
    <mergeCell ref="L1112:L1114"/>
    <mergeCell ref="M1112:M1114"/>
    <mergeCell ref="N1112:N1114"/>
    <mergeCell ref="O1112:O1114"/>
    <mergeCell ref="P1112:P1114"/>
    <mergeCell ref="Q1112:Q1114"/>
    <mergeCell ref="F1112:F1114"/>
    <mergeCell ref="G1112:G1114"/>
    <mergeCell ref="H1112:H1114"/>
    <mergeCell ref="I1112:I1114"/>
    <mergeCell ref="J1112:J1114"/>
    <mergeCell ref="K1112:K1114"/>
    <mergeCell ref="X1109:X1111"/>
    <mergeCell ref="Y1109:Y1111"/>
    <mergeCell ref="Z1109:Z1111"/>
    <mergeCell ref="AA1109:AA1111"/>
    <mergeCell ref="AB1109:AB1111"/>
    <mergeCell ref="A1112:A1114"/>
    <mergeCell ref="B1112:B1114"/>
    <mergeCell ref="C1112:C1114"/>
    <mergeCell ref="D1112:D1114"/>
    <mergeCell ref="E1112:E1114"/>
    <mergeCell ref="R1109:R1111"/>
    <mergeCell ref="S1109:S1111"/>
    <mergeCell ref="T1109:T1111"/>
    <mergeCell ref="U1109:U1111"/>
    <mergeCell ref="V1109:V1111"/>
    <mergeCell ref="W1109:W1111"/>
    <mergeCell ref="L1109:L1111"/>
    <mergeCell ref="M1109:M1111"/>
    <mergeCell ref="N1109:N1111"/>
    <mergeCell ref="O1109:O1111"/>
    <mergeCell ref="P1109:P1111"/>
    <mergeCell ref="Q1109:Q1111"/>
    <mergeCell ref="F1109:F1111"/>
    <mergeCell ref="G1109:G1111"/>
    <mergeCell ref="H1109:H1111"/>
    <mergeCell ref="I1109:I1111"/>
    <mergeCell ref="J1109:J1111"/>
    <mergeCell ref="K1109:K1111"/>
    <mergeCell ref="AB1106:AB1108"/>
    <mergeCell ref="A1109:A1111"/>
    <mergeCell ref="B1109:B1111"/>
    <mergeCell ref="C1109:C1111"/>
    <mergeCell ref="D1109:D1111"/>
    <mergeCell ref="E1109:E1111"/>
    <mergeCell ref="R1106:R1108"/>
    <mergeCell ref="S1106:S1108"/>
    <mergeCell ref="T1106:T1108"/>
    <mergeCell ref="U1106:U1108"/>
    <mergeCell ref="V1106:V1108"/>
    <mergeCell ref="W1106:W1108"/>
    <mergeCell ref="L1106:L1108"/>
    <mergeCell ref="M1106:M1108"/>
    <mergeCell ref="N1106:N1108"/>
    <mergeCell ref="O1106:O1108"/>
    <mergeCell ref="P1106:P1108"/>
    <mergeCell ref="Q1106:Q1108"/>
    <mergeCell ref="F1106:F1108"/>
    <mergeCell ref="G1106:G1108"/>
    <mergeCell ref="H1106:H1108"/>
    <mergeCell ref="I1106:I1108"/>
    <mergeCell ref="J1106:J1108"/>
    <mergeCell ref="K1106:K1108"/>
    <mergeCell ref="X1103:X1105"/>
    <mergeCell ref="Y1103:Y1105"/>
    <mergeCell ref="Z1103:Z1105"/>
    <mergeCell ref="AA1103:AA1105"/>
    <mergeCell ref="AB1103:AB1105"/>
    <mergeCell ref="A1106:A1108"/>
    <mergeCell ref="B1106:B1108"/>
    <mergeCell ref="C1106:C1108"/>
    <mergeCell ref="D1106:D1108"/>
    <mergeCell ref="E1106:E1108"/>
    <mergeCell ref="R1103:R1105"/>
    <mergeCell ref="S1103:S1105"/>
    <mergeCell ref="T1103:T1105"/>
    <mergeCell ref="U1103:U1105"/>
    <mergeCell ref="V1103:V1105"/>
    <mergeCell ref="W1103:W1105"/>
    <mergeCell ref="L1103:L1105"/>
    <mergeCell ref="M1103:M1105"/>
    <mergeCell ref="N1103:N1105"/>
    <mergeCell ref="O1103:O1105"/>
    <mergeCell ref="P1103:P1105"/>
    <mergeCell ref="Q1103:Q1105"/>
    <mergeCell ref="F1103:F1105"/>
    <mergeCell ref="G1103:G1105"/>
    <mergeCell ref="H1103:H1105"/>
    <mergeCell ref="I1103:I1105"/>
    <mergeCell ref="J1103:J1105"/>
    <mergeCell ref="K1103:K1105"/>
    <mergeCell ref="X1106:X1108"/>
    <mergeCell ref="Y1106:Y1108"/>
    <mergeCell ref="Z1106:Z1108"/>
    <mergeCell ref="AA1106:AA1108"/>
    <mergeCell ref="A1103:A1105"/>
    <mergeCell ref="B1103:B1105"/>
    <mergeCell ref="C1103:C1105"/>
    <mergeCell ref="D1103:D1105"/>
    <mergeCell ref="E1103:E1105"/>
    <mergeCell ref="R1100:R1102"/>
    <mergeCell ref="S1100:S1102"/>
    <mergeCell ref="T1100:T1102"/>
    <mergeCell ref="U1100:U1102"/>
    <mergeCell ref="V1100:V1102"/>
    <mergeCell ref="W1100:W1102"/>
    <mergeCell ref="L1100:L1102"/>
    <mergeCell ref="M1100:M1102"/>
    <mergeCell ref="N1100:N1102"/>
    <mergeCell ref="O1100:O1102"/>
    <mergeCell ref="P1100:P1102"/>
    <mergeCell ref="Q1100:Q1102"/>
    <mergeCell ref="F1100:F1102"/>
    <mergeCell ref="G1100:G1102"/>
    <mergeCell ref="H1100:H1102"/>
    <mergeCell ref="I1100:I1102"/>
    <mergeCell ref="J1100:J1102"/>
    <mergeCell ref="K1100:K1102"/>
    <mergeCell ref="A1092:AF1092"/>
    <mergeCell ref="A1094:AF1094"/>
    <mergeCell ref="A1095:AF1095"/>
    <mergeCell ref="A1100:A1102"/>
    <mergeCell ref="B1100:B1102"/>
    <mergeCell ref="C1100:C1102"/>
    <mergeCell ref="D1100:D1102"/>
    <mergeCell ref="E1100:E1102"/>
    <mergeCell ref="U1082:U1084"/>
    <mergeCell ref="V1082:V1084"/>
    <mergeCell ref="W1082:W1084"/>
    <mergeCell ref="X1082:X1084"/>
    <mergeCell ref="Y1082:Y1084"/>
    <mergeCell ref="Z1082:Z1084"/>
    <mergeCell ref="O1082:O1084"/>
    <mergeCell ref="P1082:P1084"/>
    <mergeCell ref="Q1082:Q1084"/>
    <mergeCell ref="R1082:R1084"/>
    <mergeCell ref="S1082:S1084"/>
    <mergeCell ref="T1082:T1084"/>
    <mergeCell ref="I1082:I1084"/>
    <mergeCell ref="J1082:J1084"/>
    <mergeCell ref="K1082:K1084"/>
    <mergeCell ref="L1082:L1084"/>
    <mergeCell ref="M1082:M1084"/>
    <mergeCell ref="N1082:N1084"/>
    <mergeCell ref="X1100:X1102"/>
    <mergeCell ref="Y1100:Y1102"/>
    <mergeCell ref="Z1100:Z1102"/>
    <mergeCell ref="AA1100:AA1102"/>
    <mergeCell ref="AB1100:AB1102"/>
    <mergeCell ref="AA1079:AA1081"/>
    <mergeCell ref="AB1079:AB1081"/>
    <mergeCell ref="A1082:A1084"/>
    <mergeCell ref="B1082:B1084"/>
    <mergeCell ref="C1082:C1084"/>
    <mergeCell ref="D1082:D1084"/>
    <mergeCell ref="E1082:E1084"/>
    <mergeCell ref="F1082:F1084"/>
    <mergeCell ref="G1082:G1084"/>
    <mergeCell ref="H1082:H1084"/>
    <mergeCell ref="U1079:U1081"/>
    <mergeCell ref="V1079:V1081"/>
    <mergeCell ref="W1079:W1081"/>
    <mergeCell ref="X1079:X1081"/>
    <mergeCell ref="Y1079:Y1081"/>
    <mergeCell ref="Z1079:Z1081"/>
    <mergeCell ref="O1079:O1081"/>
    <mergeCell ref="P1079:P1081"/>
    <mergeCell ref="Q1079:Q1081"/>
    <mergeCell ref="R1079:R1081"/>
    <mergeCell ref="S1079:S1081"/>
    <mergeCell ref="T1079:T1081"/>
    <mergeCell ref="I1079:I1081"/>
    <mergeCell ref="J1079:J1081"/>
    <mergeCell ref="K1079:K1081"/>
    <mergeCell ref="L1079:L1081"/>
    <mergeCell ref="M1079:M1081"/>
    <mergeCell ref="N1079:N1081"/>
    <mergeCell ref="AA1082:AA1084"/>
    <mergeCell ref="AB1082:AB1084"/>
    <mergeCell ref="A1079:A1081"/>
    <mergeCell ref="B1079:B1081"/>
    <mergeCell ref="C1079:C1081"/>
    <mergeCell ref="D1079:D1081"/>
    <mergeCell ref="E1079:E1081"/>
    <mergeCell ref="F1079:F1081"/>
    <mergeCell ref="G1079:G1081"/>
    <mergeCell ref="H1079:H1081"/>
    <mergeCell ref="U1076:U1078"/>
    <mergeCell ref="V1076:V1078"/>
    <mergeCell ref="W1076:W1078"/>
    <mergeCell ref="X1076:X1078"/>
    <mergeCell ref="Y1076:Y1078"/>
    <mergeCell ref="Z1076:Z1078"/>
    <mergeCell ref="O1076:O1078"/>
    <mergeCell ref="P1076:P1078"/>
    <mergeCell ref="Q1076:Q1078"/>
    <mergeCell ref="R1076:R1078"/>
    <mergeCell ref="S1076:S1078"/>
    <mergeCell ref="T1076:T1078"/>
    <mergeCell ref="I1076:I1078"/>
    <mergeCell ref="J1076:J1078"/>
    <mergeCell ref="K1076:K1078"/>
    <mergeCell ref="L1076:L1078"/>
    <mergeCell ref="M1076:M1078"/>
    <mergeCell ref="N1076:N1078"/>
    <mergeCell ref="AA1073:AA1075"/>
    <mergeCell ref="AB1073:AB1075"/>
    <mergeCell ref="A1076:A1078"/>
    <mergeCell ref="B1076:B1078"/>
    <mergeCell ref="C1076:C1078"/>
    <mergeCell ref="D1076:D1078"/>
    <mergeCell ref="E1076:E1078"/>
    <mergeCell ref="F1076:F1078"/>
    <mergeCell ref="G1076:G1078"/>
    <mergeCell ref="H1076:H1078"/>
    <mergeCell ref="U1073:U1075"/>
    <mergeCell ref="V1073:V1075"/>
    <mergeCell ref="W1073:W1075"/>
    <mergeCell ref="X1073:X1075"/>
    <mergeCell ref="Y1073:Y1075"/>
    <mergeCell ref="Z1073:Z1075"/>
    <mergeCell ref="O1073:O1075"/>
    <mergeCell ref="P1073:P1075"/>
    <mergeCell ref="Q1073:Q1075"/>
    <mergeCell ref="R1073:R1075"/>
    <mergeCell ref="S1073:S1075"/>
    <mergeCell ref="T1073:T1075"/>
    <mergeCell ref="I1073:I1075"/>
    <mergeCell ref="J1073:J1075"/>
    <mergeCell ref="K1073:K1075"/>
    <mergeCell ref="L1073:L1075"/>
    <mergeCell ref="M1073:M1075"/>
    <mergeCell ref="N1073:N1075"/>
    <mergeCell ref="AA1076:AA1078"/>
    <mergeCell ref="AB1076:AB1078"/>
    <mergeCell ref="A1073:A1075"/>
    <mergeCell ref="B1073:B1075"/>
    <mergeCell ref="C1073:C1075"/>
    <mergeCell ref="D1073:D1075"/>
    <mergeCell ref="E1073:E1075"/>
    <mergeCell ref="F1073:F1075"/>
    <mergeCell ref="G1073:G1075"/>
    <mergeCell ref="H1073:H1075"/>
    <mergeCell ref="U1070:U1072"/>
    <mergeCell ref="V1070:V1072"/>
    <mergeCell ref="W1070:W1072"/>
    <mergeCell ref="X1070:X1072"/>
    <mergeCell ref="Y1070:Y1072"/>
    <mergeCell ref="Z1070:Z1072"/>
    <mergeCell ref="O1070:O1072"/>
    <mergeCell ref="P1070:P1072"/>
    <mergeCell ref="Q1070:Q1072"/>
    <mergeCell ref="R1070:R1072"/>
    <mergeCell ref="S1070:S1072"/>
    <mergeCell ref="T1070:T1072"/>
    <mergeCell ref="I1070:I1072"/>
    <mergeCell ref="J1070:J1072"/>
    <mergeCell ref="K1070:K1072"/>
    <mergeCell ref="L1070:L1072"/>
    <mergeCell ref="M1070:M1072"/>
    <mergeCell ref="N1070:N1072"/>
    <mergeCell ref="AA1067:AA1069"/>
    <mergeCell ref="AB1067:AB1069"/>
    <mergeCell ref="A1070:A1072"/>
    <mergeCell ref="B1070:B1072"/>
    <mergeCell ref="C1070:C1072"/>
    <mergeCell ref="D1070:D1072"/>
    <mergeCell ref="E1070:E1072"/>
    <mergeCell ref="F1070:F1072"/>
    <mergeCell ref="G1070:G1072"/>
    <mergeCell ref="H1070:H1072"/>
    <mergeCell ref="U1067:U1069"/>
    <mergeCell ref="V1067:V1069"/>
    <mergeCell ref="W1067:W1069"/>
    <mergeCell ref="X1067:X1069"/>
    <mergeCell ref="Y1067:Y1069"/>
    <mergeCell ref="Z1067:Z1069"/>
    <mergeCell ref="O1067:O1069"/>
    <mergeCell ref="P1067:P1069"/>
    <mergeCell ref="Q1067:Q1069"/>
    <mergeCell ref="R1067:R1069"/>
    <mergeCell ref="S1067:S1069"/>
    <mergeCell ref="T1067:T1069"/>
    <mergeCell ref="I1067:I1069"/>
    <mergeCell ref="J1067:J1069"/>
    <mergeCell ref="K1067:K1069"/>
    <mergeCell ref="L1067:L1069"/>
    <mergeCell ref="M1067:M1069"/>
    <mergeCell ref="N1067:N1069"/>
    <mergeCell ref="AA1070:AA1072"/>
    <mergeCell ref="AB1070:AB1072"/>
    <mergeCell ref="A1061:AF1061"/>
    <mergeCell ref="A1062:AF1062"/>
    <mergeCell ref="A1067:A1069"/>
    <mergeCell ref="B1067:B1069"/>
    <mergeCell ref="C1067:C1069"/>
    <mergeCell ref="D1067:D1069"/>
    <mergeCell ref="E1067:E1069"/>
    <mergeCell ref="F1067:F1069"/>
    <mergeCell ref="G1067:G1069"/>
    <mergeCell ref="H1067:H1069"/>
    <mergeCell ref="X1049:X1051"/>
    <mergeCell ref="Y1049:Y1051"/>
    <mergeCell ref="Z1049:Z1051"/>
    <mergeCell ref="AA1049:AA1051"/>
    <mergeCell ref="AB1049:AB1051"/>
    <mergeCell ref="A1059:AF1059"/>
    <mergeCell ref="R1049:R1051"/>
    <mergeCell ref="S1049:S1051"/>
    <mergeCell ref="T1049:T1051"/>
    <mergeCell ref="U1049:U1051"/>
    <mergeCell ref="V1049:V1051"/>
    <mergeCell ref="W1049:W1051"/>
    <mergeCell ref="L1049:L1051"/>
    <mergeCell ref="M1049:M1051"/>
    <mergeCell ref="N1049:N1051"/>
    <mergeCell ref="O1049:O1051"/>
    <mergeCell ref="P1049:P1051"/>
    <mergeCell ref="Q1049:Q1051"/>
    <mergeCell ref="F1049:F1051"/>
    <mergeCell ref="G1049:G1051"/>
    <mergeCell ref="H1049:H1051"/>
    <mergeCell ref="I1049:I1051"/>
    <mergeCell ref="J1049:J1051"/>
    <mergeCell ref="K1049:K1051"/>
    <mergeCell ref="X1046:X1048"/>
    <mergeCell ref="Y1046:Y1048"/>
    <mergeCell ref="Z1046:Z1048"/>
    <mergeCell ref="AA1046:AA1048"/>
    <mergeCell ref="AB1046:AB1048"/>
    <mergeCell ref="A1049:A1051"/>
    <mergeCell ref="B1049:B1051"/>
    <mergeCell ref="C1049:C1051"/>
    <mergeCell ref="D1049:D1051"/>
    <mergeCell ref="E1049:E1051"/>
    <mergeCell ref="R1046:R1048"/>
    <mergeCell ref="S1046:S1048"/>
    <mergeCell ref="T1046:T1048"/>
    <mergeCell ref="U1046:U1048"/>
    <mergeCell ref="V1046:V1048"/>
    <mergeCell ref="W1046:W1048"/>
    <mergeCell ref="L1046:L1048"/>
    <mergeCell ref="M1046:M1048"/>
    <mergeCell ref="N1046:N1048"/>
    <mergeCell ref="O1046:O1048"/>
    <mergeCell ref="P1046:P1048"/>
    <mergeCell ref="Q1046:Q1048"/>
    <mergeCell ref="F1046:F1048"/>
    <mergeCell ref="G1046:G1048"/>
    <mergeCell ref="H1046:H1048"/>
    <mergeCell ref="I1046:I1048"/>
    <mergeCell ref="J1046:J1048"/>
    <mergeCell ref="K1046:K1048"/>
    <mergeCell ref="A1046:A1048"/>
    <mergeCell ref="B1046:B1048"/>
    <mergeCell ref="C1046:C1048"/>
    <mergeCell ref="D1046:D1048"/>
    <mergeCell ref="E1046:E1048"/>
    <mergeCell ref="R1043:R1045"/>
    <mergeCell ref="S1043:S1045"/>
    <mergeCell ref="T1043:T1045"/>
    <mergeCell ref="U1043:U1045"/>
    <mergeCell ref="V1043:V1045"/>
    <mergeCell ref="W1043:W1045"/>
    <mergeCell ref="L1043:L1045"/>
    <mergeCell ref="M1043:M1045"/>
    <mergeCell ref="N1043:N1045"/>
    <mergeCell ref="O1043:O1045"/>
    <mergeCell ref="P1043:P1045"/>
    <mergeCell ref="Q1043:Q1045"/>
    <mergeCell ref="F1043:F1045"/>
    <mergeCell ref="G1043:G1045"/>
    <mergeCell ref="H1043:H1045"/>
    <mergeCell ref="I1043:I1045"/>
    <mergeCell ref="J1043:J1045"/>
    <mergeCell ref="K1043:K1045"/>
    <mergeCell ref="AB1040:AB1042"/>
    <mergeCell ref="A1043:A1045"/>
    <mergeCell ref="B1043:B1045"/>
    <mergeCell ref="C1043:C1045"/>
    <mergeCell ref="D1043:D1045"/>
    <mergeCell ref="E1043:E1045"/>
    <mergeCell ref="R1040:R1042"/>
    <mergeCell ref="S1040:S1042"/>
    <mergeCell ref="T1040:T1042"/>
    <mergeCell ref="U1040:U1042"/>
    <mergeCell ref="V1040:V1042"/>
    <mergeCell ref="W1040:W1042"/>
    <mergeCell ref="L1040:L1042"/>
    <mergeCell ref="M1040:M1042"/>
    <mergeCell ref="N1040:N1042"/>
    <mergeCell ref="O1040:O1042"/>
    <mergeCell ref="P1040:P1042"/>
    <mergeCell ref="Q1040:Q1042"/>
    <mergeCell ref="F1040:F1042"/>
    <mergeCell ref="G1040:G1042"/>
    <mergeCell ref="H1040:H1042"/>
    <mergeCell ref="I1040:I1042"/>
    <mergeCell ref="J1040:J1042"/>
    <mergeCell ref="K1040:K1042"/>
    <mergeCell ref="X1043:X1045"/>
    <mergeCell ref="Y1043:Y1045"/>
    <mergeCell ref="Z1043:Z1045"/>
    <mergeCell ref="AA1043:AA1045"/>
    <mergeCell ref="AB1043:AB1045"/>
    <mergeCell ref="X1037:X1039"/>
    <mergeCell ref="Y1037:Y1039"/>
    <mergeCell ref="Z1037:Z1039"/>
    <mergeCell ref="AA1037:AA1039"/>
    <mergeCell ref="AB1037:AB1039"/>
    <mergeCell ref="A1040:A1042"/>
    <mergeCell ref="B1040:B1042"/>
    <mergeCell ref="C1040:C1042"/>
    <mergeCell ref="D1040:D1042"/>
    <mergeCell ref="E1040:E1042"/>
    <mergeCell ref="R1037:R1039"/>
    <mergeCell ref="S1037:S1039"/>
    <mergeCell ref="T1037:T1039"/>
    <mergeCell ref="U1037:U1039"/>
    <mergeCell ref="V1037:V1039"/>
    <mergeCell ref="W1037:W1039"/>
    <mergeCell ref="L1037:L1039"/>
    <mergeCell ref="M1037:M1039"/>
    <mergeCell ref="N1037:N1039"/>
    <mergeCell ref="O1037:O1039"/>
    <mergeCell ref="P1037:P1039"/>
    <mergeCell ref="Q1037:Q1039"/>
    <mergeCell ref="F1037:F1039"/>
    <mergeCell ref="G1037:G1039"/>
    <mergeCell ref="H1037:H1039"/>
    <mergeCell ref="I1037:I1039"/>
    <mergeCell ref="J1037:J1039"/>
    <mergeCell ref="K1037:K1039"/>
    <mergeCell ref="X1040:X1042"/>
    <mergeCell ref="Y1040:Y1042"/>
    <mergeCell ref="Z1040:Z1042"/>
    <mergeCell ref="AA1040:AA1042"/>
    <mergeCell ref="A1037:A1039"/>
    <mergeCell ref="B1037:B1039"/>
    <mergeCell ref="C1037:C1039"/>
    <mergeCell ref="D1037:D1039"/>
    <mergeCell ref="E1037:E1039"/>
    <mergeCell ref="R1034:R1036"/>
    <mergeCell ref="S1034:S1036"/>
    <mergeCell ref="T1034:T1036"/>
    <mergeCell ref="U1034:U1036"/>
    <mergeCell ref="V1034:V1036"/>
    <mergeCell ref="W1034:W1036"/>
    <mergeCell ref="L1034:L1036"/>
    <mergeCell ref="M1034:M1036"/>
    <mergeCell ref="N1034:N1036"/>
    <mergeCell ref="O1034:O1036"/>
    <mergeCell ref="P1034:P1036"/>
    <mergeCell ref="Q1034:Q1036"/>
    <mergeCell ref="F1034:F1036"/>
    <mergeCell ref="G1034:G1036"/>
    <mergeCell ref="H1034:H1036"/>
    <mergeCell ref="I1034:I1036"/>
    <mergeCell ref="J1034:J1036"/>
    <mergeCell ref="K1034:K1036"/>
    <mergeCell ref="A1026:AF1026"/>
    <mergeCell ref="A1028:AF1028"/>
    <mergeCell ref="A1029:AF1029"/>
    <mergeCell ref="A1034:A1036"/>
    <mergeCell ref="B1034:B1036"/>
    <mergeCell ref="C1034:C1036"/>
    <mergeCell ref="D1034:D1036"/>
    <mergeCell ref="E1034:E1036"/>
    <mergeCell ref="U1016:U1018"/>
    <mergeCell ref="V1016:V1018"/>
    <mergeCell ref="W1016:W1018"/>
    <mergeCell ref="X1016:X1018"/>
    <mergeCell ref="Y1016:Y1018"/>
    <mergeCell ref="Z1016:Z1018"/>
    <mergeCell ref="O1016:O1018"/>
    <mergeCell ref="P1016:P1018"/>
    <mergeCell ref="Q1016:Q1018"/>
    <mergeCell ref="R1016:R1018"/>
    <mergeCell ref="S1016:S1018"/>
    <mergeCell ref="T1016:T1018"/>
    <mergeCell ref="I1016:I1018"/>
    <mergeCell ref="J1016:J1018"/>
    <mergeCell ref="K1016:K1018"/>
    <mergeCell ref="L1016:L1018"/>
    <mergeCell ref="M1016:M1018"/>
    <mergeCell ref="N1016:N1018"/>
    <mergeCell ref="X1034:X1036"/>
    <mergeCell ref="Y1034:Y1036"/>
    <mergeCell ref="Z1034:Z1036"/>
    <mergeCell ref="AA1034:AA1036"/>
    <mergeCell ref="AB1034:AB1036"/>
    <mergeCell ref="AA1013:AA1015"/>
    <mergeCell ref="AB1013:AB1015"/>
    <mergeCell ref="A1016:A1018"/>
    <mergeCell ref="B1016:B1018"/>
    <mergeCell ref="C1016:C1018"/>
    <mergeCell ref="D1016:D1018"/>
    <mergeCell ref="E1016:E1018"/>
    <mergeCell ref="F1016:F1018"/>
    <mergeCell ref="G1016:G1018"/>
    <mergeCell ref="H1016:H1018"/>
    <mergeCell ref="U1013:U1015"/>
    <mergeCell ref="V1013:V1015"/>
    <mergeCell ref="W1013:W1015"/>
    <mergeCell ref="X1013:X1015"/>
    <mergeCell ref="Y1013:Y1015"/>
    <mergeCell ref="Z1013:Z1015"/>
    <mergeCell ref="O1013:O1015"/>
    <mergeCell ref="P1013:P1015"/>
    <mergeCell ref="Q1013:Q1015"/>
    <mergeCell ref="R1013:R1015"/>
    <mergeCell ref="S1013:S1015"/>
    <mergeCell ref="T1013:T1015"/>
    <mergeCell ref="I1013:I1015"/>
    <mergeCell ref="J1013:J1015"/>
    <mergeCell ref="K1013:K1015"/>
    <mergeCell ref="L1013:L1015"/>
    <mergeCell ref="M1013:M1015"/>
    <mergeCell ref="N1013:N1015"/>
    <mergeCell ref="AA1016:AA1018"/>
    <mergeCell ref="AB1016:AB1018"/>
    <mergeCell ref="A1013:A1015"/>
    <mergeCell ref="B1013:B1015"/>
    <mergeCell ref="C1013:C1015"/>
    <mergeCell ref="D1013:D1015"/>
    <mergeCell ref="E1013:E1015"/>
    <mergeCell ref="F1013:F1015"/>
    <mergeCell ref="G1013:G1015"/>
    <mergeCell ref="H1013:H1015"/>
    <mergeCell ref="U1010:U1012"/>
    <mergeCell ref="V1010:V1012"/>
    <mergeCell ref="W1010:W1012"/>
    <mergeCell ref="X1010:X1012"/>
    <mergeCell ref="Y1010:Y1012"/>
    <mergeCell ref="Z1010:Z1012"/>
    <mergeCell ref="O1010:O1012"/>
    <mergeCell ref="P1010:P1012"/>
    <mergeCell ref="Q1010:Q1012"/>
    <mergeCell ref="R1010:R1012"/>
    <mergeCell ref="S1010:S1012"/>
    <mergeCell ref="T1010:T1012"/>
    <mergeCell ref="I1010:I1012"/>
    <mergeCell ref="J1010:J1012"/>
    <mergeCell ref="K1010:K1012"/>
    <mergeCell ref="L1010:L1012"/>
    <mergeCell ref="M1010:M1012"/>
    <mergeCell ref="N1010:N1012"/>
    <mergeCell ref="AA1007:AA1009"/>
    <mergeCell ref="AB1007:AB1009"/>
    <mergeCell ref="A1010:A1012"/>
    <mergeCell ref="B1010:B1012"/>
    <mergeCell ref="C1010:C1012"/>
    <mergeCell ref="D1010:D1012"/>
    <mergeCell ref="E1010:E1012"/>
    <mergeCell ref="F1010:F1012"/>
    <mergeCell ref="G1010:G1012"/>
    <mergeCell ref="H1010:H1012"/>
    <mergeCell ref="U1007:U1009"/>
    <mergeCell ref="V1007:V1009"/>
    <mergeCell ref="W1007:W1009"/>
    <mergeCell ref="X1007:X1009"/>
    <mergeCell ref="Y1007:Y1009"/>
    <mergeCell ref="Z1007:Z1009"/>
    <mergeCell ref="O1007:O1009"/>
    <mergeCell ref="P1007:P1009"/>
    <mergeCell ref="Q1007:Q1009"/>
    <mergeCell ref="R1007:R1009"/>
    <mergeCell ref="S1007:S1009"/>
    <mergeCell ref="T1007:T1009"/>
    <mergeCell ref="I1007:I1009"/>
    <mergeCell ref="J1007:J1009"/>
    <mergeCell ref="K1007:K1009"/>
    <mergeCell ref="L1007:L1009"/>
    <mergeCell ref="M1007:M1009"/>
    <mergeCell ref="N1007:N1009"/>
    <mergeCell ref="AA1010:AA1012"/>
    <mergeCell ref="AB1010:AB1012"/>
    <mergeCell ref="A1007:A1009"/>
    <mergeCell ref="B1007:B1009"/>
    <mergeCell ref="C1007:C1009"/>
    <mergeCell ref="D1007:D1009"/>
    <mergeCell ref="E1007:E1009"/>
    <mergeCell ref="F1007:F1009"/>
    <mergeCell ref="G1007:G1009"/>
    <mergeCell ref="H1007:H1009"/>
    <mergeCell ref="U1004:U1006"/>
    <mergeCell ref="V1004:V1006"/>
    <mergeCell ref="W1004:W1006"/>
    <mergeCell ref="X1004:X1006"/>
    <mergeCell ref="Y1004:Y1006"/>
    <mergeCell ref="Z1004:Z1006"/>
    <mergeCell ref="O1004:O1006"/>
    <mergeCell ref="P1004:P1006"/>
    <mergeCell ref="Q1004:Q1006"/>
    <mergeCell ref="R1004:R1006"/>
    <mergeCell ref="S1004:S1006"/>
    <mergeCell ref="T1004:T1006"/>
    <mergeCell ref="I1004:I1006"/>
    <mergeCell ref="J1004:J1006"/>
    <mergeCell ref="K1004:K1006"/>
    <mergeCell ref="L1004:L1006"/>
    <mergeCell ref="M1004:M1006"/>
    <mergeCell ref="N1004:N1006"/>
    <mergeCell ref="AA1001:AA1003"/>
    <mergeCell ref="AB1001:AB1003"/>
    <mergeCell ref="A1004:A1006"/>
    <mergeCell ref="B1004:B1006"/>
    <mergeCell ref="C1004:C1006"/>
    <mergeCell ref="D1004:D1006"/>
    <mergeCell ref="E1004:E1006"/>
    <mergeCell ref="F1004:F1006"/>
    <mergeCell ref="G1004:G1006"/>
    <mergeCell ref="H1004:H1006"/>
    <mergeCell ref="U1001:U1003"/>
    <mergeCell ref="V1001:V1003"/>
    <mergeCell ref="W1001:W1003"/>
    <mergeCell ref="X1001:X1003"/>
    <mergeCell ref="Y1001:Y1003"/>
    <mergeCell ref="Z1001:Z1003"/>
    <mergeCell ref="O1001:O1003"/>
    <mergeCell ref="P1001:P1003"/>
    <mergeCell ref="Q1001:Q1003"/>
    <mergeCell ref="R1001:R1003"/>
    <mergeCell ref="S1001:S1003"/>
    <mergeCell ref="T1001:T1003"/>
    <mergeCell ref="I1001:I1003"/>
    <mergeCell ref="J1001:J1003"/>
    <mergeCell ref="K1001:K1003"/>
    <mergeCell ref="L1001:L1003"/>
    <mergeCell ref="M1001:M1003"/>
    <mergeCell ref="N1001:N1003"/>
    <mergeCell ref="AA1004:AA1006"/>
    <mergeCell ref="AB1004:AB1006"/>
    <mergeCell ref="A995:AF995"/>
    <mergeCell ref="A996:AF996"/>
    <mergeCell ref="A1001:A1003"/>
    <mergeCell ref="B1001:B1003"/>
    <mergeCell ref="C1001:C1003"/>
    <mergeCell ref="D1001:D1003"/>
    <mergeCell ref="E1001:E1003"/>
    <mergeCell ref="F1001:F1003"/>
    <mergeCell ref="G1001:G1003"/>
    <mergeCell ref="H1001:H1003"/>
    <mergeCell ref="X980:X982"/>
    <mergeCell ref="Y980:Y982"/>
    <mergeCell ref="Z980:Z982"/>
    <mergeCell ref="AA980:AA982"/>
    <mergeCell ref="AB980:AB982"/>
    <mergeCell ref="A993:AF993"/>
    <mergeCell ref="R980:R982"/>
    <mergeCell ref="S980:S982"/>
    <mergeCell ref="T980:T982"/>
    <mergeCell ref="U980:U982"/>
    <mergeCell ref="V980:V982"/>
    <mergeCell ref="W980:W982"/>
    <mergeCell ref="L980:L982"/>
    <mergeCell ref="M980:M982"/>
    <mergeCell ref="N980:N982"/>
    <mergeCell ref="O980:O982"/>
    <mergeCell ref="P980:P982"/>
    <mergeCell ref="Q980:Q982"/>
    <mergeCell ref="F980:F982"/>
    <mergeCell ref="G980:G982"/>
    <mergeCell ref="H980:H982"/>
    <mergeCell ref="I980:I982"/>
    <mergeCell ref="J980:J982"/>
    <mergeCell ref="K980:K982"/>
    <mergeCell ref="X977:X979"/>
    <mergeCell ref="Y977:Y979"/>
    <mergeCell ref="Z977:Z979"/>
    <mergeCell ref="AA977:AA979"/>
    <mergeCell ref="AB977:AB979"/>
    <mergeCell ref="A980:A982"/>
    <mergeCell ref="B980:B982"/>
    <mergeCell ref="C980:C982"/>
    <mergeCell ref="D980:D982"/>
    <mergeCell ref="E980:E982"/>
    <mergeCell ref="R977:R979"/>
    <mergeCell ref="S977:S979"/>
    <mergeCell ref="T977:T979"/>
    <mergeCell ref="U977:U979"/>
    <mergeCell ref="V977:V979"/>
    <mergeCell ref="W977:W979"/>
    <mergeCell ref="L977:L979"/>
    <mergeCell ref="M977:M979"/>
    <mergeCell ref="N977:N979"/>
    <mergeCell ref="O977:O979"/>
    <mergeCell ref="P977:P979"/>
    <mergeCell ref="Q977:Q979"/>
    <mergeCell ref="F977:F979"/>
    <mergeCell ref="G977:G979"/>
    <mergeCell ref="H977:H979"/>
    <mergeCell ref="I977:I979"/>
    <mergeCell ref="J977:J979"/>
    <mergeCell ref="K977:K979"/>
    <mergeCell ref="A977:A979"/>
    <mergeCell ref="B977:B979"/>
    <mergeCell ref="C977:C979"/>
    <mergeCell ref="D977:D979"/>
    <mergeCell ref="E977:E979"/>
    <mergeCell ref="R974:R976"/>
    <mergeCell ref="S974:S976"/>
    <mergeCell ref="T974:T976"/>
    <mergeCell ref="U974:U976"/>
    <mergeCell ref="V974:V976"/>
    <mergeCell ref="W974:W976"/>
    <mergeCell ref="L974:L976"/>
    <mergeCell ref="M974:M976"/>
    <mergeCell ref="N974:N976"/>
    <mergeCell ref="O974:O976"/>
    <mergeCell ref="P974:P976"/>
    <mergeCell ref="Q974:Q976"/>
    <mergeCell ref="F974:F976"/>
    <mergeCell ref="G974:G976"/>
    <mergeCell ref="H974:H976"/>
    <mergeCell ref="I974:I976"/>
    <mergeCell ref="J974:J976"/>
    <mergeCell ref="K974:K976"/>
    <mergeCell ref="AB971:AB973"/>
    <mergeCell ref="A974:A976"/>
    <mergeCell ref="B974:B976"/>
    <mergeCell ref="C974:C976"/>
    <mergeCell ref="D974:D976"/>
    <mergeCell ref="E974:E976"/>
    <mergeCell ref="R971:R973"/>
    <mergeCell ref="S971:S973"/>
    <mergeCell ref="T971:T973"/>
    <mergeCell ref="U971:U973"/>
    <mergeCell ref="V971:V973"/>
    <mergeCell ref="W971:W973"/>
    <mergeCell ref="L971:L973"/>
    <mergeCell ref="M971:M973"/>
    <mergeCell ref="N971:N973"/>
    <mergeCell ref="O971:O973"/>
    <mergeCell ref="P971:P973"/>
    <mergeCell ref="Q971:Q973"/>
    <mergeCell ref="F971:F973"/>
    <mergeCell ref="G971:G973"/>
    <mergeCell ref="H971:H973"/>
    <mergeCell ref="I971:I973"/>
    <mergeCell ref="J971:J973"/>
    <mergeCell ref="K971:K973"/>
    <mergeCell ref="X974:X976"/>
    <mergeCell ref="Y974:Y976"/>
    <mergeCell ref="Z974:Z976"/>
    <mergeCell ref="AA974:AA976"/>
    <mergeCell ref="AB974:AB976"/>
    <mergeCell ref="X968:X970"/>
    <mergeCell ref="Y968:Y970"/>
    <mergeCell ref="Z968:Z970"/>
    <mergeCell ref="AA968:AA970"/>
    <mergeCell ref="AB968:AB970"/>
    <mergeCell ref="A971:A973"/>
    <mergeCell ref="B971:B973"/>
    <mergeCell ref="C971:C973"/>
    <mergeCell ref="D971:D973"/>
    <mergeCell ref="E971:E973"/>
    <mergeCell ref="R968:R970"/>
    <mergeCell ref="S968:S970"/>
    <mergeCell ref="T968:T970"/>
    <mergeCell ref="U968:U970"/>
    <mergeCell ref="V968:V970"/>
    <mergeCell ref="W968:W970"/>
    <mergeCell ref="L968:L970"/>
    <mergeCell ref="M968:M970"/>
    <mergeCell ref="N968:N970"/>
    <mergeCell ref="O968:O970"/>
    <mergeCell ref="P968:P970"/>
    <mergeCell ref="Q968:Q970"/>
    <mergeCell ref="F968:F970"/>
    <mergeCell ref="G968:G970"/>
    <mergeCell ref="H968:H970"/>
    <mergeCell ref="I968:I970"/>
    <mergeCell ref="J968:J970"/>
    <mergeCell ref="K968:K970"/>
    <mergeCell ref="X971:X973"/>
    <mergeCell ref="Y971:Y973"/>
    <mergeCell ref="Z971:Z973"/>
    <mergeCell ref="AA971:AA973"/>
    <mergeCell ref="A968:A970"/>
    <mergeCell ref="B968:B970"/>
    <mergeCell ref="C968:C970"/>
    <mergeCell ref="D968:D970"/>
    <mergeCell ref="E968:E970"/>
    <mergeCell ref="R965:R967"/>
    <mergeCell ref="S965:S967"/>
    <mergeCell ref="T965:T967"/>
    <mergeCell ref="U965:U967"/>
    <mergeCell ref="V965:V967"/>
    <mergeCell ref="W965:W967"/>
    <mergeCell ref="L965:L967"/>
    <mergeCell ref="M965:M967"/>
    <mergeCell ref="N965:N967"/>
    <mergeCell ref="O965:O967"/>
    <mergeCell ref="P965:P967"/>
    <mergeCell ref="Q965:Q967"/>
    <mergeCell ref="F965:F967"/>
    <mergeCell ref="G965:G967"/>
    <mergeCell ref="H965:H967"/>
    <mergeCell ref="I965:I967"/>
    <mergeCell ref="J965:J967"/>
    <mergeCell ref="K965:K967"/>
    <mergeCell ref="A957:AF957"/>
    <mergeCell ref="A959:AF959"/>
    <mergeCell ref="A960:AF960"/>
    <mergeCell ref="A965:A967"/>
    <mergeCell ref="B965:B967"/>
    <mergeCell ref="C965:C967"/>
    <mergeCell ref="D965:D967"/>
    <mergeCell ref="E965:E967"/>
    <mergeCell ref="U946:U948"/>
    <mergeCell ref="V946:V948"/>
    <mergeCell ref="W946:W948"/>
    <mergeCell ref="X946:X948"/>
    <mergeCell ref="Y946:Y948"/>
    <mergeCell ref="Z946:Z948"/>
    <mergeCell ref="O946:O948"/>
    <mergeCell ref="P946:P948"/>
    <mergeCell ref="Q946:Q948"/>
    <mergeCell ref="R946:R948"/>
    <mergeCell ref="S946:S948"/>
    <mergeCell ref="T946:T948"/>
    <mergeCell ref="I946:I948"/>
    <mergeCell ref="J946:J948"/>
    <mergeCell ref="K946:K948"/>
    <mergeCell ref="L946:L948"/>
    <mergeCell ref="M946:M948"/>
    <mergeCell ref="N946:N948"/>
    <mergeCell ref="X965:X967"/>
    <mergeCell ref="Y965:Y967"/>
    <mergeCell ref="Z965:Z967"/>
    <mergeCell ref="AA965:AA967"/>
    <mergeCell ref="AB965:AB967"/>
    <mergeCell ref="AA943:AA945"/>
    <mergeCell ref="AB943:AB945"/>
    <mergeCell ref="A946:A948"/>
    <mergeCell ref="B946:B948"/>
    <mergeCell ref="C946:C948"/>
    <mergeCell ref="D946:D948"/>
    <mergeCell ref="E946:E948"/>
    <mergeCell ref="F946:F948"/>
    <mergeCell ref="G946:G948"/>
    <mergeCell ref="H946:H948"/>
    <mergeCell ref="U943:U945"/>
    <mergeCell ref="V943:V945"/>
    <mergeCell ref="W943:W945"/>
    <mergeCell ref="X943:X945"/>
    <mergeCell ref="Y943:Y945"/>
    <mergeCell ref="Z943:Z945"/>
    <mergeCell ref="O943:O945"/>
    <mergeCell ref="P943:P945"/>
    <mergeCell ref="Q943:Q945"/>
    <mergeCell ref="R943:R945"/>
    <mergeCell ref="S943:S945"/>
    <mergeCell ref="T943:T945"/>
    <mergeCell ref="I943:I945"/>
    <mergeCell ref="J943:J945"/>
    <mergeCell ref="K943:K945"/>
    <mergeCell ref="L943:L945"/>
    <mergeCell ref="M943:M945"/>
    <mergeCell ref="N943:N945"/>
    <mergeCell ref="AA946:AA948"/>
    <mergeCell ref="AB946:AB948"/>
    <mergeCell ref="A943:A945"/>
    <mergeCell ref="B943:B945"/>
    <mergeCell ref="C943:C945"/>
    <mergeCell ref="D943:D945"/>
    <mergeCell ref="E943:E945"/>
    <mergeCell ref="F943:F945"/>
    <mergeCell ref="G943:G945"/>
    <mergeCell ref="H943:H945"/>
    <mergeCell ref="U940:U942"/>
    <mergeCell ref="V940:V942"/>
    <mergeCell ref="W940:W942"/>
    <mergeCell ref="X940:X942"/>
    <mergeCell ref="Y940:Y942"/>
    <mergeCell ref="Z940:Z942"/>
    <mergeCell ref="O940:O942"/>
    <mergeCell ref="P940:P942"/>
    <mergeCell ref="Q940:Q942"/>
    <mergeCell ref="R940:R942"/>
    <mergeCell ref="S940:S942"/>
    <mergeCell ref="T940:T942"/>
    <mergeCell ref="I940:I942"/>
    <mergeCell ref="J940:J942"/>
    <mergeCell ref="K940:K942"/>
    <mergeCell ref="L940:L942"/>
    <mergeCell ref="M940:M942"/>
    <mergeCell ref="N940:N942"/>
    <mergeCell ref="AA937:AA939"/>
    <mergeCell ref="AB937:AB939"/>
    <mergeCell ref="A940:A942"/>
    <mergeCell ref="B940:B942"/>
    <mergeCell ref="C940:C942"/>
    <mergeCell ref="D940:D942"/>
    <mergeCell ref="E940:E942"/>
    <mergeCell ref="F940:F942"/>
    <mergeCell ref="G940:G942"/>
    <mergeCell ref="H940:H942"/>
    <mergeCell ref="U937:U939"/>
    <mergeCell ref="V937:V939"/>
    <mergeCell ref="W937:W939"/>
    <mergeCell ref="X937:X939"/>
    <mergeCell ref="Y937:Y939"/>
    <mergeCell ref="Z937:Z939"/>
    <mergeCell ref="O937:O939"/>
    <mergeCell ref="P937:P939"/>
    <mergeCell ref="Q937:Q939"/>
    <mergeCell ref="R937:R939"/>
    <mergeCell ref="S937:S939"/>
    <mergeCell ref="T937:T939"/>
    <mergeCell ref="I937:I939"/>
    <mergeCell ref="J937:J939"/>
    <mergeCell ref="K937:K939"/>
    <mergeCell ref="L937:L939"/>
    <mergeCell ref="M937:M939"/>
    <mergeCell ref="N937:N939"/>
    <mergeCell ref="AA940:AA942"/>
    <mergeCell ref="AB940:AB942"/>
    <mergeCell ref="A937:A939"/>
    <mergeCell ref="B937:B939"/>
    <mergeCell ref="C937:C939"/>
    <mergeCell ref="D937:D939"/>
    <mergeCell ref="E937:E939"/>
    <mergeCell ref="F937:F939"/>
    <mergeCell ref="G937:G939"/>
    <mergeCell ref="H937:H939"/>
    <mergeCell ref="U934:U936"/>
    <mergeCell ref="V934:V936"/>
    <mergeCell ref="W934:W936"/>
    <mergeCell ref="X934:X936"/>
    <mergeCell ref="Y934:Y936"/>
    <mergeCell ref="Z934:Z936"/>
    <mergeCell ref="O934:O936"/>
    <mergeCell ref="P934:P936"/>
    <mergeCell ref="Q934:Q936"/>
    <mergeCell ref="R934:R936"/>
    <mergeCell ref="S934:S936"/>
    <mergeCell ref="T934:T936"/>
    <mergeCell ref="I934:I936"/>
    <mergeCell ref="J934:J936"/>
    <mergeCell ref="K934:K936"/>
    <mergeCell ref="L934:L936"/>
    <mergeCell ref="M934:M936"/>
    <mergeCell ref="N934:N936"/>
    <mergeCell ref="AA931:AA933"/>
    <mergeCell ref="AB931:AB933"/>
    <mergeCell ref="A934:A936"/>
    <mergeCell ref="B934:B936"/>
    <mergeCell ref="C934:C936"/>
    <mergeCell ref="D934:D936"/>
    <mergeCell ref="E934:E936"/>
    <mergeCell ref="F934:F936"/>
    <mergeCell ref="G934:G936"/>
    <mergeCell ref="H934:H936"/>
    <mergeCell ref="U931:U933"/>
    <mergeCell ref="V931:V933"/>
    <mergeCell ref="W931:W933"/>
    <mergeCell ref="X931:X933"/>
    <mergeCell ref="Y931:Y933"/>
    <mergeCell ref="Z931:Z933"/>
    <mergeCell ref="O931:O933"/>
    <mergeCell ref="P931:P933"/>
    <mergeCell ref="Q931:Q933"/>
    <mergeCell ref="R931:R933"/>
    <mergeCell ref="S931:S933"/>
    <mergeCell ref="T931:T933"/>
    <mergeCell ref="I931:I933"/>
    <mergeCell ref="J931:J933"/>
    <mergeCell ref="K931:K933"/>
    <mergeCell ref="L931:L933"/>
    <mergeCell ref="M931:M933"/>
    <mergeCell ref="N931:N933"/>
    <mergeCell ref="AA934:AA936"/>
    <mergeCell ref="AB934:AB936"/>
    <mergeCell ref="A925:AF925"/>
    <mergeCell ref="A926:AF926"/>
    <mergeCell ref="A931:A933"/>
    <mergeCell ref="B931:B933"/>
    <mergeCell ref="C931:C933"/>
    <mergeCell ref="D931:D933"/>
    <mergeCell ref="E931:E933"/>
    <mergeCell ref="F931:F933"/>
    <mergeCell ref="G931:G933"/>
    <mergeCell ref="H931:H933"/>
    <mergeCell ref="X912:X914"/>
    <mergeCell ref="Y912:Y914"/>
    <mergeCell ref="Z912:Z914"/>
    <mergeCell ref="AA912:AA914"/>
    <mergeCell ref="AB912:AB914"/>
    <mergeCell ref="A923:AF923"/>
    <mergeCell ref="R912:R914"/>
    <mergeCell ref="S912:S914"/>
    <mergeCell ref="T912:T914"/>
    <mergeCell ref="U912:U914"/>
    <mergeCell ref="V912:V914"/>
    <mergeCell ref="W912:W914"/>
    <mergeCell ref="L912:L914"/>
    <mergeCell ref="M912:M914"/>
    <mergeCell ref="N912:N914"/>
    <mergeCell ref="O912:O914"/>
    <mergeCell ref="P912:P914"/>
    <mergeCell ref="Q912:Q914"/>
    <mergeCell ref="F912:F914"/>
    <mergeCell ref="G912:G914"/>
    <mergeCell ref="H912:H914"/>
    <mergeCell ref="I912:I914"/>
    <mergeCell ref="J912:J914"/>
    <mergeCell ref="K912:K914"/>
    <mergeCell ref="X909:X911"/>
    <mergeCell ref="Y909:Y911"/>
    <mergeCell ref="Z909:Z911"/>
    <mergeCell ref="AA909:AA911"/>
    <mergeCell ref="AB909:AB911"/>
    <mergeCell ref="A912:A914"/>
    <mergeCell ref="B912:B914"/>
    <mergeCell ref="C912:C914"/>
    <mergeCell ref="D912:D914"/>
    <mergeCell ref="E912:E914"/>
    <mergeCell ref="R909:R911"/>
    <mergeCell ref="S909:S911"/>
    <mergeCell ref="T909:T911"/>
    <mergeCell ref="U909:U911"/>
    <mergeCell ref="V909:V911"/>
    <mergeCell ref="W909:W911"/>
    <mergeCell ref="L909:L911"/>
    <mergeCell ref="M909:M911"/>
    <mergeCell ref="N909:N911"/>
    <mergeCell ref="O909:O911"/>
    <mergeCell ref="P909:P911"/>
    <mergeCell ref="Q909:Q911"/>
    <mergeCell ref="F909:F911"/>
    <mergeCell ref="G909:G911"/>
    <mergeCell ref="H909:H911"/>
    <mergeCell ref="I909:I911"/>
    <mergeCell ref="J909:J911"/>
    <mergeCell ref="K909:K911"/>
    <mergeCell ref="A909:A911"/>
    <mergeCell ref="B909:B911"/>
    <mergeCell ref="C909:C911"/>
    <mergeCell ref="D909:D911"/>
    <mergeCell ref="E909:E911"/>
    <mergeCell ref="R906:R908"/>
    <mergeCell ref="S906:S908"/>
    <mergeCell ref="T906:T908"/>
    <mergeCell ref="U906:U908"/>
    <mergeCell ref="V906:V908"/>
    <mergeCell ref="W906:W908"/>
    <mergeCell ref="L906:L908"/>
    <mergeCell ref="M906:M908"/>
    <mergeCell ref="N906:N908"/>
    <mergeCell ref="O906:O908"/>
    <mergeCell ref="P906:P908"/>
    <mergeCell ref="Q906:Q908"/>
    <mergeCell ref="F906:F908"/>
    <mergeCell ref="G906:G908"/>
    <mergeCell ref="H906:H908"/>
    <mergeCell ref="I906:I908"/>
    <mergeCell ref="J906:J908"/>
    <mergeCell ref="K906:K908"/>
    <mergeCell ref="AB903:AB905"/>
    <mergeCell ref="A906:A908"/>
    <mergeCell ref="B906:B908"/>
    <mergeCell ref="C906:C908"/>
    <mergeCell ref="D906:D908"/>
    <mergeCell ref="E906:E908"/>
    <mergeCell ref="R903:R905"/>
    <mergeCell ref="S903:S905"/>
    <mergeCell ref="T903:T905"/>
    <mergeCell ref="U903:U905"/>
    <mergeCell ref="V903:V905"/>
    <mergeCell ref="W903:W905"/>
    <mergeCell ref="L903:L905"/>
    <mergeCell ref="M903:M905"/>
    <mergeCell ref="N903:N905"/>
    <mergeCell ref="O903:O905"/>
    <mergeCell ref="P903:P905"/>
    <mergeCell ref="Q903:Q905"/>
    <mergeCell ref="F903:F905"/>
    <mergeCell ref="G903:G905"/>
    <mergeCell ref="H903:H905"/>
    <mergeCell ref="I903:I905"/>
    <mergeCell ref="J903:J905"/>
    <mergeCell ref="K903:K905"/>
    <mergeCell ref="X906:X908"/>
    <mergeCell ref="Y906:Y908"/>
    <mergeCell ref="Z906:Z908"/>
    <mergeCell ref="AA906:AA908"/>
    <mergeCell ref="AB906:AB908"/>
    <mergeCell ref="X900:X902"/>
    <mergeCell ref="Y900:Y902"/>
    <mergeCell ref="Z900:Z902"/>
    <mergeCell ref="AA900:AA902"/>
    <mergeCell ref="AB900:AB902"/>
    <mergeCell ref="A903:A905"/>
    <mergeCell ref="B903:B905"/>
    <mergeCell ref="C903:C905"/>
    <mergeCell ref="D903:D905"/>
    <mergeCell ref="E903:E905"/>
    <mergeCell ref="R900:R902"/>
    <mergeCell ref="S900:S902"/>
    <mergeCell ref="T900:T902"/>
    <mergeCell ref="U900:U902"/>
    <mergeCell ref="V900:V902"/>
    <mergeCell ref="W900:W902"/>
    <mergeCell ref="L900:L902"/>
    <mergeCell ref="M900:M902"/>
    <mergeCell ref="N900:N902"/>
    <mergeCell ref="O900:O902"/>
    <mergeCell ref="P900:P902"/>
    <mergeCell ref="Q900:Q902"/>
    <mergeCell ref="F900:F902"/>
    <mergeCell ref="G900:G902"/>
    <mergeCell ref="H900:H902"/>
    <mergeCell ref="I900:I902"/>
    <mergeCell ref="J900:J902"/>
    <mergeCell ref="K900:K902"/>
    <mergeCell ref="X903:X905"/>
    <mergeCell ref="Y903:Y905"/>
    <mergeCell ref="Z903:Z905"/>
    <mergeCell ref="AA903:AA905"/>
    <mergeCell ref="A900:A902"/>
    <mergeCell ref="B900:B902"/>
    <mergeCell ref="C900:C902"/>
    <mergeCell ref="D900:D902"/>
    <mergeCell ref="E900:E902"/>
    <mergeCell ref="R897:R899"/>
    <mergeCell ref="S897:S899"/>
    <mergeCell ref="T897:T899"/>
    <mergeCell ref="U897:U899"/>
    <mergeCell ref="V897:V899"/>
    <mergeCell ref="W897:W899"/>
    <mergeCell ref="L897:L899"/>
    <mergeCell ref="M897:M899"/>
    <mergeCell ref="N897:N899"/>
    <mergeCell ref="O897:O899"/>
    <mergeCell ref="P897:P899"/>
    <mergeCell ref="Q897:Q899"/>
    <mergeCell ref="F897:F899"/>
    <mergeCell ref="G897:G899"/>
    <mergeCell ref="H897:H899"/>
    <mergeCell ref="I897:I899"/>
    <mergeCell ref="J897:J899"/>
    <mergeCell ref="K897:K899"/>
    <mergeCell ref="A889:AF889"/>
    <mergeCell ref="A891:AF891"/>
    <mergeCell ref="A892:AF892"/>
    <mergeCell ref="A897:A899"/>
    <mergeCell ref="B897:B899"/>
    <mergeCell ref="C897:C899"/>
    <mergeCell ref="D897:D899"/>
    <mergeCell ref="E897:E899"/>
    <mergeCell ref="U878:U880"/>
    <mergeCell ref="V878:V880"/>
    <mergeCell ref="W878:W880"/>
    <mergeCell ref="X878:X880"/>
    <mergeCell ref="Y878:Y880"/>
    <mergeCell ref="Z878:Z880"/>
    <mergeCell ref="O878:O880"/>
    <mergeCell ref="P878:P880"/>
    <mergeCell ref="Q878:Q880"/>
    <mergeCell ref="R878:R880"/>
    <mergeCell ref="S878:S880"/>
    <mergeCell ref="T878:T880"/>
    <mergeCell ref="I878:I880"/>
    <mergeCell ref="J878:J880"/>
    <mergeCell ref="K878:K880"/>
    <mergeCell ref="L878:L880"/>
    <mergeCell ref="M878:M880"/>
    <mergeCell ref="N878:N880"/>
    <mergeCell ref="X897:X899"/>
    <mergeCell ref="Y897:Y899"/>
    <mergeCell ref="Z897:Z899"/>
    <mergeCell ref="AA897:AA899"/>
    <mergeCell ref="AB897:AB899"/>
    <mergeCell ref="AA875:AA877"/>
    <mergeCell ref="AB875:AB877"/>
    <mergeCell ref="A878:A880"/>
    <mergeCell ref="B878:B880"/>
    <mergeCell ref="C878:C880"/>
    <mergeCell ref="D878:D880"/>
    <mergeCell ref="E878:E880"/>
    <mergeCell ref="F878:F880"/>
    <mergeCell ref="G878:G880"/>
    <mergeCell ref="H878:H880"/>
    <mergeCell ref="U875:U877"/>
    <mergeCell ref="V875:V877"/>
    <mergeCell ref="W875:W877"/>
    <mergeCell ref="X875:X877"/>
    <mergeCell ref="Y875:Y877"/>
    <mergeCell ref="Z875:Z877"/>
    <mergeCell ref="O875:O877"/>
    <mergeCell ref="P875:P877"/>
    <mergeCell ref="Q875:Q877"/>
    <mergeCell ref="R875:R877"/>
    <mergeCell ref="S875:S877"/>
    <mergeCell ref="T875:T877"/>
    <mergeCell ref="I875:I877"/>
    <mergeCell ref="J875:J877"/>
    <mergeCell ref="K875:K877"/>
    <mergeCell ref="L875:L877"/>
    <mergeCell ref="M875:M877"/>
    <mergeCell ref="N875:N877"/>
    <mergeCell ref="AA878:AA880"/>
    <mergeCell ref="AB878:AB880"/>
    <mergeCell ref="A875:A877"/>
    <mergeCell ref="B875:B877"/>
    <mergeCell ref="C875:C877"/>
    <mergeCell ref="D875:D877"/>
    <mergeCell ref="E875:E877"/>
    <mergeCell ref="F875:F877"/>
    <mergeCell ref="G875:G877"/>
    <mergeCell ref="H875:H877"/>
    <mergeCell ref="U872:U874"/>
    <mergeCell ref="V872:V874"/>
    <mergeCell ref="W872:W874"/>
    <mergeCell ref="X872:X874"/>
    <mergeCell ref="Y872:Y874"/>
    <mergeCell ref="Z872:Z874"/>
    <mergeCell ref="O872:O874"/>
    <mergeCell ref="P872:P874"/>
    <mergeCell ref="Q872:Q874"/>
    <mergeCell ref="R872:R874"/>
    <mergeCell ref="S872:S874"/>
    <mergeCell ref="T872:T874"/>
    <mergeCell ref="I872:I874"/>
    <mergeCell ref="J872:J874"/>
    <mergeCell ref="K872:K874"/>
    <mergeCell ref="L872:L874"/>
    <mergeCell ref="M872:M874"/>
    <mergeCell ref="N872:N874"/>
    <mergeCell ref="AA869:AA871"/>
    <mergeCell ref="AB869:AB871"/>
    <mergeCell ref="A872:A874"/>
    <mergeCell ref="B872:B874"/>
    <mergeCell ref="C872:C874"/>
    <mergeCell ref="D872:D874"/>
    <mergeCell ref="E872:E874"/>
    <mergeCell ref="F872:F874"/>
    <mergeCell ref="G872:G874"/>
    <mergeCell ref="H872:H874"/>
    <mergeCell ref="U869:U871"/>
    <mergeCell ref="V869:V871"/>
    <mergeCell ref="W869:W871"/>
    <mergeCell ref="X869:X871"/>
    <mergeCell ref="Y869:Y871"/>
    <mergeCell ref="Z869:Z871"/>
    <mergeCell ref="O869:O871"/>
    <mergeCell ref="P869:P871"/>
    <mergeCell ref="Q869:Q871"/>
    <mergeCell ref="R869:R871"/>
    <mergeCell ref="S869:S871"/>
    <mergeCell ref="T869:T871"/>
    <mergeCell ref="I869:I871"/>
    <mergeCell ref="J869:J871"/>
    <mergeCell ref="K869:K871"/>
    <mergeCell ref="L869:L871"/>
    <mergeCell ref="M869:M871"/>
    <mergeCell ref="N869:N871"/>
    <mergeCell ref="AA872:AA874"/>
    <mergeCell ref="AB872:AB874"/>
    <mergeCell ref="A869:A871"/>
    <mergeCell ref="B869:B871"/>
    <mergeCell ref="C869:C871"/>
    <mergeCell ref="D869:D871"/>
    <mergeCell ref="E869:E871"/>
    <mergeCell ref="F869:F871"/>
    <mergeCell ref="G869:G871"/>
    <mergeCell ref="H869:H871"/>
    <mergeCell ref="U866:U868"/>
    <mergeCell ref="V866:V868"/>
    <mergeCell ref="W866:W868"/>
    <mergeCell ref="X866:X868"/>
    <mergeCell ref="Y866:Y868"/>
    <mergeCell ref="Z866:Z868"/>
    <mergeCell ref="O866:O868"/>
    <mergeCell ref="P866:P868"/>
    <mergeCell ref="Q866:Q868"/>
    <mergeCell ref="R866:R868"/>
    <mergeCell ref="S866:S868"/>
    <mergeCell ref="T866:T868"/>
    <mergeCell ref="I866:I868"/>
    <mergeCell ref="J866:J868"/>
    <mergeCell ref="K866:K868"/>
    <mergeCell ref="L866:L868"/>
    <mergeCell ref="M866:M868"/>
    <mergeCell ref="N866:N868"/>
    <mergeCell ref="AA863:AA865"/>
    <mergeCell ref="AB863:AB865"/>
    <mergeCell ref="A866:A868"/>
    <mergeCell ref="B866:B868"/>
    <mergeCell ref="C866:C868"/>
    <mergeCell ref="D866:D868"/>
    <mergeCell ref="E866:E868"/>
    <mergeCell ref="F866:F868"/>
    <mergeCell ref="G866:G868"/>
    <mergeCell ref="H866:H868"/>
    <mergeCell ref="U863:U865"/>
    <mergeCell ref="V863:V865"/>
    <mergeCell ref="W863:W865"/>
    <mergeCell ref="X863:X865"/>
    <mergeCell ref="Y863:Y865"/>
    <mergeCell ref="Z863:Z865"/>
    <mergeCell ref="O863:O865"/>
    <mergeCell ref="P863:P865"/>
    <mergeCell ref="Q863:Q865"/>
    <mergeCell ref="R863:R865"/>
    <mergeCell ref="S863:S865"/>
    <mergeCell ref="T863:T865"/>
    <mergeCell ref="I863:I865"/>
    <mergeCell ref="J863:J865"/>
    <mergeCell ref="K863:K865"/>
    <mergeCell ref="L863:L865"/>
    <mergeCell ref="M863:M865"/>
    <mergeCell ref="N863:N865"/>
    <mergeCell ref="AA866:AA868"/>
    <mergeCell ref="AB866:AB868"/>
    <mergeCell ref="A857:AF857"/>
    <mergeCell ref="A858:AF858"/>
    <mergeCell ref="A863:A865"/>
    <mergeCell ref="B863:B865"/>
    <mergeCell ref="C863:C865"/>
    <mergeCell ref="D863:D865"/>
    <mergeCell ref="E863:E865"/>
    <mergeCell ref="F863:F865"/>
    <mergeCell ref="G863:G865"/>
    <mergeCell ref="H863:H865"/>
    <mergeCell ref="X844:X846"/>
    <mergeCell ref="Y844:Y846"/>
    <mergeCell ref="Z844:Z846"/>
    <mergeCell ref="AA844:AA846"/>
    <mergeCell ref="AB844:AB846"/>
    <mergeCell ref="A855:AF855"/>
    <mergeCell ref="R844:R846"/>
    <mergeCell ref="S844:S846"/>
    <mergeCell ref="T844:T846"/>
    <mergeCell ref="U844:U846"/>
    <mergeCell ref="V844:V846"/>
    <mergeCell ref="W844:W846"/>
    <mergeCell ref="L844:L846"/>
    <mergeCell ref="M844:M846"/>
    <mergeCell ref="N844:N846"/>
    <mergeCell ref="O844:O846"/>
    <mergeCell ref="P844:P846"/>
    <mergeCell ref="Q844:Q846"/>
    <mergeCell ref="F844:F846"/>
    <mergeCell ref="G844:G846"/>
    <mergeCell ref="H844:H846"/>
    <mergeCell ref="I844:I846"/>
    <mergeCell ref="J844:J846"/>
    <mergeCell ref="K844:K846"/>
    <mergeCell ref="X841:X843"/>
    <mergeCell ref="Y841:Y843"/>
    <mergeCell ref="Z841:Z843"/>
    <mergeCell ref="AA841:AA843"/>
    <mergeCell ref="AB841:AB843"/>
    <mergeCell ref="A844:A846"/>
    <mergeCell ref="B844:B846"/>
    <mergeCell ref="C844:C846"/>
    <mergeCell ref="D844:D846"/>
    <mergeCell ref="E844:E846"/>
    <mergeCell ref="R841:R843"/>
    <mergeCell ref="S841:S843"/>
    <mergeCell ref="T841:T843"/>
    <mergeCell ref="U841:U843"/>
    <mergeCell ref="V841:V843"/>
    <mergeCell ref="W841:W843"/>
    <mergeCell ref="L841:L843"/>
    <mergeCell ref="M841:M843"/>
    <mergeCell ref="N841:N843"/>
    <mergeCell ref="O841:O843"/>
    <mergeCell ref="P841:P843"/>
    <mergeCell ref="Q841:Q843"/>
    <mergeCell ref="F841:F843"/>
    <mergeCell ref="G841:G843"/>
    <mergeCell ref="H841:H843"/>
    <mergeCell ref="I841:I843"/>
    <mergeCell ref="J841:J843"/>
    <mergeCell ref="K841:K843"/>
    <mergeCell ref="A841:A843"/>
    <mergeCell ref="B841:B843"/>
    <mergeCell ref="C841:C843"/>
    <mergeCell ref="D841:D843"/>
    <mergeCell ref="E841:E843"/>
    <mergeCell ref="R838:R840"/>
    <mergeCell ref="S838:S840"/>
    <mergeCell ref="T838:T840"/>
    <mergeCell ref="U838:U840"/>
    <mergeCell ref="V838:V840"/>
    <mergeCell ref="W838:W840"/>
    <mergeCell ref="L838:L840"/>
    <mergeCell ref="M838:M840"/>
    <mergeCell ref="N838:N840"/>
    <mergeCell ref="O838:O840"/>
    <mergeCell ref="P838:P840"/>
    <mergeCell ref="Q838:Q840"/>
    <mergeCell ref="F838:F840"/>
    <mergeCell ref="G838:G840"/>
    <mergeCell ref="H838:H840"/>
    <mergeCell ref="I838:I840"/>
    <mergeCell ref="J838:J840"/>
    <mergeCell ref="K838:K840"/>
    <mergeCell ref="AB835:AB837"/>
    <mergeCell ref="A838:A840"/>
    <mergeCell ref="B838:B840"/>
    <mergeCell ref="C838:C840"/>
    <mergeCell ref="D838:D840"/>
    <mergeCell ref="E838:E840"/>
    <mergeCell ref="R835:R837"/>
    <mergeCell ref="S835:S837"/>
    <mergeCell ref="T835:T837"/>
    <mergeCell ref="U835:U837"/>
    <mergeCell ref="V835:V837"/>
    <mergeCell ref="W835:W837"/>
    <mergeCell ref="L835:L837"/>
    <mergeCell ref="M835:M837"/>
    <mergeCell ref="N835:N837"/>
    <mergeCell ref="O835:O837"/>
    <mergeCell ref="P835:P837"/>
    <mergeCell ref="Q835:Q837"/>
    <mergeCell ref="F835:F837"/>
    <mergeCell ref="G835:G837"/>
    <mergeCell ref="H835:H837"/>
    <mergeCell ref="I835:I837"/>
    <mergeCell ref="J835:J837"/>
    <mergeCell ref="K835:K837"/>
    <mergeCell ref="X838:X840"/>
    <mergeCell ref="Y838:Y840"/>
    <mergeCell ref="Z838:Z840"/>
    <mergeCell ref="AA838:AA840"/>
    <mergeCell ref="AB838:AB840"/>
    <mergeCell ref="X832:X834"/>
    <mergeCell ref="Y832:Y834"/>
    <mergeCell ref="Z832:Z834"/>
    <mergeCell ref="AA832:AA834"/>
    <mergeCell ref="AB832:AB834"/>
    <mergeCell ref="A835:A837"/>
    <mergeCell ref="B835:B837"/>
    <mergeCell ref="C835:C837"/>
    <mergeCell ref="D835:D837"/>
    <mergeCell ref="E835:E837"/>
    <mergeCell ref="R832:R834"/>
    <mergeCell ref="S832:S834"/>
    <mergeCell ref="T832:T834"/>
    <mergeCell ref="U832:U834"/>
    <mergeCell ref="V832:V834"/>
    <mergeCell ref="W832:W834"/>
    <mergeCell ref="L832:L834"/>
    <mergeCell ref="M832:M834"/>
    <mergeCell ref="N832:N834"/>
    <mergeCell ref="O832:O834"/>
    <mergeCell ref="P832:P834"/>
    <mergeCell ref="Q832:Q834"/>
    <mergeCell ref="F832:F834"/>
    <mergeCell ref="G832:G834"/>
    <mergeCell ref="H832:H834"/>
    <mergeCell ref="I832:I834"/>
    <mergeCell ref="J832:J834"/>
    <mergeCell ref="K832:K834"/>
    <mergeCell ref="X835:X837"/>
    <mergeCell ref="Y835:Y837"/>
    <mergeCell ref="Z835:Z837"/>
    <mergeCell ref="AA835:AA837"/>
    <mergeCell ref="A832:A834"/>
    <mergeCell ref="B832:B834"/>
    <mergeCell ref="C832:C834"/>
    <mergeCell ref="D832:D834"/>
    <mergeCell ref="E832:E834"/>
    <mergeCell ref="R829:R831"/>
    <mergeCell ref="S829:S831"/>
    <mergeCell ref="T829:T831"/>
    <mergeCell ref="U829:U831"/>
    <mergeCell ref="V829:V831"/>
    <mergeCell ref="W829:W831"/>
    <mergeCell ref="L829:L831"/>
    <mergeCell ref="M829:M831"/>
    <mergeCell ref="N829:N831"/>
    <mergeCell ref="O829:O831"/>
    <mergeCell ref="P829:P831"/>
    <mergeCell ref="Q829:Q831"/>
    <mergeCell ref="F829:F831"/>
    <mergeCell ref="G829:G831"/>
    <mergeCell ref="H829:H831"/>
    <mergeCell ref="I829:I831"/>
    <mergeCell ref="J829:J831"/>
    <mergeCell ref="K829:K831"/>
    <mergeCell ref="A821:AF821"/>
    <mergeCell ref="A823:AF823"/>
    <mergeCell ref="A824:AF824"/>
    <mergeCell ref="A829:A831"/>
    <mergeCell ref="B829:B831"/>
    <mergeCell ref="C829:C831"/>
    <mergeCell ref="D829:D831"/>
    <mergeCell ref="E829:E831"/>
    <mergeCell ref="U810:U812"/>
    <mergeCell ref="V810:V812"/>
    <mergeCell ref="W810:W812"/>
    <mergeCell ref="X810:X812"/>
    <mergeCell ref="Y810:Y812"/>
    <mergeCell ref="Z810:Z812"/>
    <mergeCell ref="O810:O812"/>
    <mergeCell ref="P810:P812"/>
    <mergeCell ref="Q810:Q812"/>
    <mergeCell ref="R810:R812"/>
    <mergeCell ref="S810:S812"/>
    <mergeCell ref="T810:T812"/>
    <mergeCell ref="I810:I812"/>
    <mergeCell ref="J810:J812"/>
    <mergeCell ref="K810:K812"/>
    <mergeCell ref="L810:L812"/>
    <mergeCell ref="M810:M812"/>
    <mergeCell ref="N810:N812"/>
    <mergeCell ref="X829:X831"/>
    <mergeCell ref="Y829:Y831"/>
    <mergeCell ref="Z829:Z831"/>
    <mergeCell ref="AA829:AA831"/>
    <mergeCell ref="AB829:AB831"/>
    <mergeCell ref="AA807:AA809"/>
    <mergeCell ref="AB807:AB809"/>
    <mergeCell ref="A810:A812"/>
    <mergeCell ref="B810:B812"/>
    <mergeCell ref="C810:C812"/>
    <mergeCell ref="D810:D812"/>
    <mergeCell ref="E810:E812"/>
    <mergeCell ref="F810:F812"/>
    <mergeCell ref="G810:G812"/>
    <mergeCell ref="H810:H812"/>
    <mergeCell ref="U807:U809"/>
    <mergeCell ref="V807:V809"/>
    <mergeCell ref="W807:W809"/>
    <mergeCell ref="X807:X809"/>
    <mergeCell ref="Y807:Y809"/>
    <mergeCell ref="Z807:Z809"/>
    <mergeCell ref="O807:O809"/>
    <mergeCell ref="P807:P809"/>
    <mergeCell ref="Q807:Q809"/>
    <mergeCell ref="R807:R809"/>
    <mergeCell ref="S807:S809"/>
    <mergeCell ref="T807:T809"/>
    <mergeCell ref="I807:I809"/>
    <mergeCell ref="J807:J809"/>
    <mergeCell ref="K807:K809"/>
    <mergeCell ref="L807:L809"/>
    <mergeCell ref="M807:M809"/>
    <mergeCell ref="N807:N809"/>
    <mergeCell ref="AA810:AA812"/>
    <mergeCell ref="AB810:AB812"/>
    <mergeCell ref="A807:A809"/>
    <mergeCell ref="B807:B809"/>
    <mergeCell ref="C807:C809"/>
    <mergeCell ref="D807:D809"/>
    <mergeCell ref="E807:E809"/>
    <mergeCell ref="F807:F809"/>
    <mergeCell ref="G807:G809"/>
    <mergeCell ref="H807:H809"/>
    <mergeCell ref="U804:U806"/>
    <mergeCell ref="V804:V806"/>
    <mergeCell ref="W804:W806"/>
    <mergeCell ref="X804:X806"/>
    <mergeCell ref="Y804:Y806"/>
    <mergeCell ref="Z804:Z806"/>
    <mergeCell ref="O804:O806"/>
    <mergeCell ref="P804:P806"/>
    <mergeCell ref="Q804:Q806"/>
    <mergeCell ref="R804:R806"/>
    <mergeCell ref="S804:S806"/>
    <mergeCell ref="T804:T806"/>
    <mergeCell ref="I804:I806"/>
    <mergeCell ref="J804:J806"/>
    <mergeCell ref="K804:K806"/>
    <mergeCell ref="L804:L806"/>
    <mergeCell ref="M804:M806"/>
    <mergeCell ref="N804:N806"/>
    <mergeCell ref="AA801:AA803"/>
    <mergeCell ref="AB801:AB803"/>
    <mergeCell ref="A804:A806"/>
    <mergeCell ref="B804:B806"/>
    <mergeCell ref="C804:C806"/>
    <mergeCell ref="D804:D806"/>
    <mergeCell ref="E804:E806"/>
    <mergeCell ref="F804:F806"/>
    <mergeCell ref="G804:G806"/>
    <mergeCell ref="H804:H806"/>
    <mergeCell ref="U801:U803"/>
    <mergeCell ref="V801:V803"/>
    <mergeCell ref="W801:W803"/>
    <mergeCell ref="X801:X803"/>
    <mergeCell ref="Y801:Y803"/>
    <mergeCell ref="Z801:Z803"/>
    <mergeCell ref="O801:O803"/>
    <mergeCell ref="P801:P803"/>
    <mergeCell ref="Q801:Q803"/>
    <mergeCell ref="R801:R803"/>
    <mergeCell ref="S801:S803"/>
    <mergeCell ref="T801:T803"/>
    <mergeCell ref="I801:I803"/>
    <mergeCell ref="J801:J803"/>
    <mergeCell ref="K801:K803"/>
    <mergeCell ref="L801:L803"/>
    <mergeCell ref="M801:M803"/>
    <mergeCell ref="N801:N803"/>
    <mergeCell ref="AA804:AA806"/>
    <mergeCell ref="AB804:AB806"/>
    <mergeCell ref="A801:A803"/>
    <mergeCell ref="B801:B803"/>
    <mergeCell ref="C801:C803"/>
    <mergeCell ref="D801:D803"/>
    <mergeCell ref="E801:E803"/>
    <mergeCell ref="F801:F803"/>
    <mergeCell ref="G801:G803"/>
    <mergeCell ref="H801:H803"/>
    <mergeCell ref="U798:U800"/>
    <mergeCell ref="V798:V800"/>
    <mergeCell ref="W798:W800"/>
    <mergeCell ref="X798:X800"/>
    <mergeCell ref="Y798:Y800"/>
    <mergeCell ref="Z798:Z800"/>
    <mergeCell ref="O798:O800"/>
    <mergeCell ref="P798:P800"/>
    <mergeCell ref="Q798:Q800"/>
    <mergeCell ref="R798:R800"/>
    <mergeCell ref="S798:S800"/>
    <mergeCell ref="T798:T800"/>
    <mergeCell ref="I798:I800"/>
    <mergeCell ref="J798:J800"/>
    <mergeCell ref="K798:K800"/>
    <mergeCell ref="L798:L800"/>
    <mergeCell ref="M798:M800"/>
    <mergeCell ref="N798:N800"/>
    <mergeCell ref="AA795:AA797"/>
    <mergeCell ref="AB795:AB797"/>
    <mergeCell ref="A798:A800"/>
    <mergeCell ref="B798:B800"/>
    <mergeCell ref="C798:C800"/>
    <mergeCell ref="D798:D800"/>
    <mergeCell ref="E798:E800"/>
    <mergeCell ref="F798:F800"/>
    <mergeCell ref="G798:G800"/>
    <mergeCell ref="H798:H800"/>
    <mergeCell ref="U795:U797"/>
    <mergeCell ref="V795:V797"/>
    <mergeCell ref="W795:W797"/>
    <mergeCell ref="X795:X797"/>
    <mergeCell ref="Y795:Y797"/>
    <mergeCell ref="Z795:Z797"/>
    <mergeCell ref="O795:O797"/>
    <mergeCell ref="P795:P797"/>
    <mergeCell ref="Q795:Q797"/>
    <mergeCell ref="R795:R797"/>
    <mergeCell ref="S795:S797"/>
    <mergeCell ref="T795:T797"/>
    <mergeCell ref="I795:I797"/>
    <mergeCell ref="J795:J797"/>
    <mergeCell ref="K795:K797"/>
    <mergeCell ref="L795:L797"/>
    <mergeCell ref="M795:M797"/>
    <mergeCell ref="N795:N797"/>
    <mergeCell ref="AA798:AA800"/>
    <mergeCell ref="AB798:AB800"/>
    <mergeCell ref="A789:AF789"/>
    <mergeCell ref="A790:AF790"/>
    <mergeCell ref="A795:A797"/>
    <mergeCell ref="B795:B797"/>
    <mergeCell ref="C795:C797"/>
    <mergeCell ref="D795:D797"/>
    <mergeCell ref="E795:E797"/>
    <mergeCell ref="F795:F797"/>
    <mergeCell ref="G795:G797"/>
    <mergeCell ref="H795:H797"/>
    <mergeCell ref="X776:X778"/>
    <mergeCell ref="Y776:Y778"/>
    <mergeCell ref="Z776:Z778"/>
    <mergeCell ref="AA776:AA778"/>
    <mergeCell ref="AB776:AB778"/>
    <mergeCell ref="A787:AF787"/>
    <mergeCell ref="R776:R778"/>
    <mergeCell ref="S776:S778"/>
    <mergeCell ref="T776:T778"/>
    <mergeCell ref="U776:U778"/>
    <mergeCell ref="V776:V778"/>
    <mergeCell ref="W776:W778"/>
    <mergeCell ref="L776:L778"/>
    <mergeCell ref="M776:M778"/>
    <mergeCell ref="N776:N778"/>
    <mergeCell ref="O776:O778"/>
    <mergeCell ref="P776:P778"/>
    <mergeCell ref="Q776:Q778"/>
    <mergeCell ref="F776:F778"/>
    <mergeCell ref="G776:G778"/>
    <mergeCell ref="H776:H778"/>
    <mergeCell ref="I776:I778"/>
    <mergeCell ref="J776:J778"/>
    <mergeCell ref="K776:K778"/>
    <mergeCell ref="X773:X775"/>
    <mergeCell ref="Y773:Y775"/>
    <mergeCell ref="Z773:Z775"/>
    <mergeCell ref="AA773:AA775"/>
    <mergeCell ref="AB773:AB775"/>
    <mergeCell ref="A776:A778"/>
    <mergeCell ref="B776:B778"/>
    <mergeCell ref="C776:C778"/>
    <mergeCell ref="D776:D778"/>
    <mergeCell ref="E776:E778"/>
    <mergeCell ref="R773:R775"/>
    <mergeCell ref="S773:S775"/>
    <mergeCell ref="T773:T775"/>
    <mergeCell ref="U773:U775"/>
    <mergeCell ref="V773:V775"/>
    <mergeCell ref="W773:W775"/>
    <mergeCell ref="L773:L775"/>
    <mergeCell ref="M773:M775"/>
    <mergeCell ref="N773:N775"/>
    <mergeCell ref="O773:O775"/>
    <mergeCell ref="P773:P775"/>
    <mergeCell ref="Q773:Q775"/>
    <mergeCell ref="F773:F775"/>
    <mergeCell ref="G773:G775"/>
    <mergeCell ref="H773:H775"/>
    <mergeCell ref="I773:I775"/>
    <mergeCell ref="J773:J775"/>
    <mergeCell ref="K773:K775"/>
    <mergeCell ref="A773:A775"/>
    <mergeCell ref="B773:B775"/>
    <mergeCell ref="C773:C775"/>
    <mergeCell ref="D773:D775"/>
    <mergeCell ref="E773:E775"/>
    <mergeCell ref="R770:R772"/>
    <mergeCell ref="S770:S772"/>
    <mergeCell ref="T770:T772"/>
    <mergeCell ref="U770:U772"/>
    <mergeCell ref="V770:V772"/>
    <mergeCell ref="W770:W772"/>
    <mergeCell ref="L770:L772"/>
    <mergeCell ref="M770:M772"/>
    <mergeCell ref="N770:N772"/>
    <mergeCell ref="O770:O772"/>
    <mergeCell ref="P770:P772"/>
    <mergeCell ref="Q770:Q772"/>
    <mergeCell ref="F770:F772"/>
    <mergeCell ref="G770:G772"/>
    <mergeCell ref="H770:H772"/>
    <mergeCell ref="I770:I772"/>
    <mergeCell ref="J770:J772"/>
    <mergeCell ref="K770:K772"/>
    <mergeCell ref="AB767:AB769"/>
    <mergeCell ref="A770:A772"/>
    <mergeCell ref="B770:B772"/>
    <mergeCell ref="C770:C772"/>
    <mergeCell ref="D770:D772"/>
    <mergeCell ref="E770:E772"/>
    <mergeCell ref="R767:R769"/>
    <mergeCell ref="S767:S769"/>
    <mergeCell ref="T767:T769"/>
    <mergeCell ref="U767:U769"/>
    <mergeCell ref="V767:V769"/>
    <mergeCell ref="W767:W769"/>
    <mergeCell ref="L767:L769"/>
    <mergeCell ref="M767:M769"/>
    <mergeCell ref="N767:N769"/>
    <mergeCell ref="O767:O769"/>
    <mergeCell ref="P767:P769"/>
    <mergeCell ref="Q767:Q769"/>
    <mergeCell ref="F767:F769"/>
    <mergeCell ref="G767:G769"/>
    <mergeCell ref="H767:H769"/>
    <mergeCell ref="I767:I769"/>
    <mergeCell ref="J767:J769"/>
    <mergeCell ref="K767:K769"/>
    <mergeCell ref="X770:X772"/>
    <mergeCell ref="Y770:Y772"/>
    <mergeCell ref="Z770:Z772"/>
    <mergeCell ref="AA770:AA772"/>
    <mergeCell ref="AB770:AB772"/>
    <mergeCell ref="X764:X766"/>
    <mergeCell ref="Y764:Y766"/>
    <mergeCell ref="Z764:Z766"/>
    <mergeCell ref="AA764:AA766"/>
    <mergeCell ref="AB764:AB766"/>
    <mergeCell ref="A767:A769"/>
    <mergeCell ref="B767:B769"/>
    <mergeCell ref="C767:C769"/>
    <mergeCell ref="D767:D769"/>
    <mergeCell ref="E767:E769"/>
    <mergeCell ref="R764:R766"/>
    <mergeCell ref="S764:S766"/>
    <mergeCell ref="T764:T766"/>
    <mergeCell ref="U764:U766"/>
    <mergeCell ref="V764:V766"/>
    <mergeCell ref="W764:W766"/>
    <mergeCell ref="L764:L766"/>
    <mergeCell ref="M764:M766"/>
    <mergeCell ref="N764:N766"/>
    <mergeCell ref="O764:O766"/>
    <mergeCell ref="P764:P766"/>
    <mergeCell ref="Q764:Q766"/>
    <mergeCell ref="F764:F766"/>
    <mergeCell ref="G764:G766"/>
    <mergeCell ref="H764:H766"/>
    <mergeCell ref="I764:I766"/>
    <mergeCell ref="J764:J766"/>
    <mergeCell ref="K764:K766"/>
    <mergeCell ref="X767:X769"/>
    <mergeCell ref="Y767:Y769"/>
    <mergeCell ref="Z767:Z769"/>
    <mergeCell ref="AA767:AA769"/>
    <mergeCell ref="A764:A766"/>
    <mergeCell ref="B764:B766"/>
    <mergeCell ref="C764:C766"/>
    <mergeCell ref="D764:D766"/>
    <mergeCell ref="E764:E766"/>
    <mergeCell ref="R761:R763"/>
    <mergeCell ref="S761:S763"/>
    <mergeCell ref="T761:T763"/>
    <mergeCell ref="U761:U763"/>
    <mergeCell ref="V761:V763"/>
    <mergeCell ref="W761:W763"/>
    <mergeCell ref="L761:L763"/>
    <mergeCell ref="M761:M763"/>
    <mergeCell ref="N761:N763"/>
    <mergeCell ref="O761:O763"/>
    <mergeCell ref="P761:P763"/>
    <mergeCell ref="Q761:Q763"/>
    <mergeCell ref="F761:F763"/>
    <mergeCell ref="G761:G763"/>
    <mergeCell ref="H761:H763"/>
    <mergeCell ref="I761:I763"/>
    <mergeCell ref="J761:J763"/>
    <mergeCell ref="K761:K763"/>
    <mergeCell ref="A753:AF753"/>
    <mergeCell ref="A755:AF755"/>
    <mergeCell ref="A756:AF756"/>
    <mergeCell ref="A761:A763"/>
    <mergeCell ref="B761:B763"/>
    <mergeCell ref="C761:C763"/>
    <mergeCell ref="D761:D763"/>
    <mergeCell ref="E761:E763"/>
    <mergeCell ref="U742:U744"/>
    <mergeCell ref="V742:V744"/>
    <mergeCell ref="W742:W744"/>
    <mergeCell ref="X742:X744"/>
    <mergeCell ref="Y742:Y744"/>
    <mergeCell ref="Z742:Z744"/>
    <mergeCell ref="O742:O744"/>
    <mergeCell ref="P742:P744"/>
    <mergeCell ref="Q742:Q744"/>
    <mergeCell ref="R742:R744"/>
    <mergeCell ref="S742:S744"/>
    <mergeCell ref="T742:T744"/>
    <mergeCell ref="I742:I744"/>
    <mergeCell ref="J742:J744"/>
    <mergeCell ref="K742:K744"/>
    <mergeCell ref="L742:L744"/>
    <mergeCell ref="M742:M744"/>
    <mergeCell ref="N742:N744"/>
    <mergeCell ref="X761:X763"/>
    <mergeCell ref="Y761:Y763"/>
    <mergeCell ref="Z761:Z763"/>
    <mergeCell ref="AA761:AA763"/>
    <mergeCell ref="AB761:AB763"/>
    <mergeCell ref="AA739:AA741"/>
    <mergeCell ref="AB739:AB741"/>
    <mergeCell ref="A742:A744"/>
    <mergeCell ref="B742:B744"/>
    <mergeCell ref="C742:C744"/>
    <mergeCell ref="D742:D744"/>
    <mergeCell ref="E742:E744"/>
    <mergeCell ref="F742:F744"/>
    <mergeCell ref="G742:G744"/>
    <mergeCell ref="H742:H744"/>
    <mergeCell ref="U739:U741"/>
    <mergeCell ref="V739:V741"/>
    <mergeCell ref="W739:W741"/>
    <mergeCell ref="X739:X741"/>
    <mergeCell ref="Y739:Y741"/>
    <mergeCell ref="Z739:Z741"/>
    <mergeCell ref="O739:O741"/>
    <mergeCell ref="P739:P741"/>
    <mergeCell ref="Q739:Q741"/>
    <mergeCell ref="R739:R741"/>
    <mergeCell ref="S739:S741"/>
    <mergeCell ref="T739:T741"/>
    <mergeCell ref="I739:I741"/>
    <mergeCell ref="J739:J741"/>
    <mergeCell ref="K739:K741"/>
    <mergeCell ref="L739:L741"/>
    <mergeCell ref="M739:M741"/>
    <mergeCell ref="N739:N741"/>
    <mergeCell ref="AA742:AA744"/>
    <mergeCell ref="AB742:AB744"/>
    <mergeCell ref="A739:A741"/>
    <mergeCell ref="B739:B741"/>
    <mergeCell ref="C739:C741"/>
    <mergeCell ref="D739:D741"/>
    <mergeCell ref="E739:E741"/>
    <mergeCell ref="F739:F741"/>
    <mergeCell ref="G739:G741"/>
    <mergeCell ref="H739:H741"/>
    <mergeCell ref="U736:U738"/>
    <mergeCell ref="V736:V738"/>
    <mergeCell ref="W736:W738"/>
    <mergeCell ref="X736:X738"/>
    <mergeCell ref="Y736:Y738"/>
    <mergeCell ref="Z736:Z738"/>
    <mergeCell ref="O736:O738"/>
    <mergeCell ref="P736:P738"/>
    <mergeCell ref="Q736:Q738"/>
    <mergeCell ref="R736:R738"/>
    <mergeCell ref="S736:S738"/>
    <mergeCell ref="T736:T738"/>
    <mergeCell ref="I736:I738"/>
    <mergeCell ref="J736:J738"/>
    <mergeCell ref="K736:K738"/>
    <mergeCell ref="L736:L738"/>
    <mergeCell ref="M736:M738"/>
    <mergeCell ref="N736:N738"/>
    <mergeCell ref="AA733:AA735"/>
    <mergeCell ref="AB733:AB735"/>
    <mergeCell ref="A736:A738"/>
    <mergeCell ref="B736:B738"/>
    <mergeCell ref="C736:C738"/>
    <mergeCell ref="D736:D738"/>
    <mergeCell ref="E736:E738"/>
    <mergeCell ref="F736:F738"/>
    <mergeCell ref="G736:G738"/>
    <mergeCell ref="H736:H738"/>
    <mergeCell ref="U733:U735"/>
    <mergeCell ref="V733:V735"/>
    <mergeCell ref="W733:W735"/>
    <mergeCell ref="X733:X735"/>
    <mergeCell ref="Y733:Y735"/>
    <mergeCell ref="Z733:Z735"/>
    <mergeCell ref="O733:O735"/>
    <mergeCell ref="P733:P735"/>
    <mergeCell ref="Q733:Q735"/>
    <mergeCell ref="R733:R735"/>
    <mergeCell ref="S733:S735"/>
    <mergeCell ref="T733:T735"/>
    <mergeCell ref="I733:I735"/>
    <mergeCell ref="J733:J735"/>
    <mergeCell ref="K733:K735"/>
    <mergeCell ref="L733:L735"/>
    <mergeCell ref="M733:M735"/>
    <mergeCell ref="N733:N735"/>
    <mergeCell ref="AA736:AA738"/>
    <mergeCell ref="AB736:AB738"/>
    <mergeCell ref="A733:A735"/>
    <mergeCell ref="B733:B735"/>
    <mergeCell ref="C733:C735"/>
    <mergeCell ref="D733:D735"/>
    <mergeCell ref="E733:E735"/>
    <mergeCell ref="F733:F735"/>
    <mergeCell ref="G733:G735"/>
    <mergeCell ref="H733:H735"/>
    <mergeCell ref="U730:U732"/>
    <mergeCell ref="V730:V732"/>
    <mergeCell ref="W730:W732"/>
    <mergeCell ref="X730:X732"/>
    <mergeCell ref="Y730:Y732"/>
    <mergeCell ref="Z730:Z732"/>
    <mergeCell ref="O730:O732"/>
    <mergeCell ref="P730:P732"/>
    <mergeCell ref="Q730:Q732"/>
    <mergeCell ref="R730:R732"/>
    <mergeCell ref="S730:S732"/>
    <mergeCell ref="T730:T732"/>
    <mergeCell ref="I730:I732"/>
    <mergeCell ref="J730:J732"/>
    <mergeCell ref="K730:K732"/>
    <mergeCell ref="L730:L732"/>
    <mergeCell ref="M730:M732"/>
    <mergeCell ref="N730:N732"/>
    <mergeCell ref="AA727:AA729"/>
    <mergeCell ref="AB727:AB729"/>
    <mergeCell ref="A730:A732"/>
    <mergeCell ref="B730:B732"/>
    <mergeCell ref="C730:C732"/>
    <mergeCell ref="D730:D732"/>
    <mergeCell ref="E730:E732"/>
    <mergeCell ref="F730:F732"/>
    <mergeCell ref="G730:G732"/>
    <mergeCell ref="H730:H732"/>
    <mergeCell ref="U727:U729"/>
    <mergeCell ref="V727:V729"/>
    <mergeCell ref="W727:W729"/>
    <mergeCell ref="X727:X729"/>
    <mergeCell ref="Y727:Y729"/>
    <mergeCell ref="Z727:Z729"/>
    <mergeCell ref="O727:O729"/>
    <mergeCell ref="P727:P729"/>
    <mergeCell ref="Q727:Q729"/>
    <mergeCell ref="R727:R729"/>
    <mergeCell ref="S727:S729"/>
    <mergeCell ref="T727:T729"/>
    <mergeCell ref="I727:I729"/>
    <mergeCell ref="J727:J729"/>
    <mergeCell ref="K727:K729"/>
    <mergeCell ref="L727:L729"/>
    <mergeCell ref="M727:M729"/>
    <mergeCell ref="N727:N729"/>
    <mergeCell ref="AA730:AA732"/>
    <mergeCell ref="AB730:AB732"/>
    <mergeCell ref="A721:AF721"/>
    <mergeCell ref="A722:AF722"/>
    <mergeCell ref="A727:A729"/>
    <mergeCell ref="B727:B729"/>
    <mergeCell ref="C727:C729"/>
    <mergeCell ref="D727:D729"/>
    <mergeCell ref="E727:E729"/>
    <mergeCell ref="F727:F729"/>
    <mergeCell ref="G727:G729"/>
    <mergeCell ref="H727:H729"/>
    <mergeCell ref="X708:X710"/>
    <mergeCell ref="Y708:Y710"/>
    <mergeCell ref="Z708:Z710"/>
    <mergeCell ref="AA708:AA710"/>
    <mergeCell ref="AB708:AB710"/>
    <mergeCell ref="A719:AF719"/>
    <mergeCell ref="R708:R710"/>
    <mergeCell ref="S708:S710"/>
    <mergeCell ref="T708:T710"/>
    <mergeCell ref="U708:U710"/>
    <mergeCell ref="V708:V710"/>
    <mergeCell ref="W708:W710"/>
    <mergeCell ref="L708:L710"/>
    <mergeCell ref="M708:M710"/>
    <mergeCell ref="N708:N710"/>
    <mergeCell ref="O708:O710"/>
    <mergeCell ref="P708:P710"/>
    <mergeCell ref="Q708:Q710"/>
    <mergeCell ref="F708:F710"/>
    <mergeCell ref="G708:G710"/>
    <mergeCell ref="H708:H710"/>
    <mergeCell ref="I708:I710"/>
    <mergeCell ref="J708:J710"/>
    <mergeCell ref="K708:K710"/>
    <mergeCell ref="X705:X707"/>
    <mergeCell ref="Y705:Y707"/>
    <mergeCell ref="Z705:Z707"/>
    <mergeCell ref="AA705:AA707"/>
    <mergeCell ref="AB705:AB707"/>
    <mergeCell ref="A708:A710"/>
    <mergeCell ref="B708:B710"/>
    <mergeCell ref="C708:C710"/>
    <mergeCell ref="D708:D710"/>
    <mergeCell ref="E708:E710"/>
    <mergeCell ref="R705:R707"/>
    <mergeCell ref="S705:S707"/>
    <mergeCell ref="T705:T707"/>
    <mergeCell ref="U705:U707"/>
    <mergeCell ref="V705:V707"/>
    <mergeCell ref="W705:W707"/>
    <mergeCell ref="L705:L707"/>
    <mergeCell ref="M705:M707"/>
    <mergeCell ref="N705:N707"/>
    <mergeCell ref="O705:O707"/>
    <mergeCell ref="P705:P707"/>
    <mergeCell ref="Q705:Q707"/>
    <mergeCell ref="F705:F707"/>
    <mergeCell ref="G705:G707"/>
    <mergeCell ref="H705:H707"/>
    <mergeCell ref="I705:I707"/>
    <mergeCell ref="J705:J707"/>
    <mergeCell ref="K705:K707"/>
    <mergeCell ref="A705:A707"/>
    <mergeCell ref="B705:B707"/>
    <mergeCell ref="C705:C707"/>
    <mergeCell ref="D705:D707"/>
    <mergeCell ref="E705:E707"/>
    <mergeCell ref="R702:R704"/>
    <mergeCell ref="S702:S704"/>
    <mergeCell ref="T702:T704"/>
    <mergeCell ref="U702:U704"/>
    <mergeCell ref="V702:V704"/>
    <mergeCell ref="W702:W704"/>
    <mergeCell ref="L702:L704"/>
    <mergeCell ref="M702:M704"/>
    <mergeCell ref="N702:N704"/>
    <mergeCell ref="O702:O704"/>
    <mergeCell ref="P702:P704"/>
    <mergeCell ref="Q702:Q704"/>
    <mergeCell ref="F702:F704"/>
    <mergeCell ref="G702:G704"/>
    <mergeCell ref="H702:H704"/>
    <mergeCell ref="I702:I704"/>
    <mergeCell ref="J702:J704"/>
    <mergeCell ref="K702:K704"/>
    <mergeCell ref="AB699:AB701"/>
    <mergeCell ref="A702:A704"/>
    <mergeCell ref="B702:B704"/>
    <mergeCell ref="C702:C704"/>
    <mergeCell ref="D702:D704"/>
    <mergeCell ref="E702:E704"/>
    <mergeCell ref="R699:R701"/>
    <mergeCell ref="S699:S701"/>
    <mergeCell ref="T699:T701"/>
    <mergeCell ref="U699:U701"/>
    <mergeCell ref="V699:V701"/>
    <mergeCell ref="W699:W701"/>
    <mergeCell ref="L699:L701"/>
    <mergeCell ref="M699:M701"/>
    <mergeCell ref="N699:N701"/>
    <mergeCell ref="O699:O701"/>
    <mergeCell ref="P699:P701"/>
    <mergeCell ref="Q699:Q701"/>
    <mergeCell ref="F699:F701"/>
    <mergeCell ref="G699:G701"/>
    <mergeCell ref="H699:H701"/>
    <mergeCell ref="I699:I701"/>
    <mergeCell ref="J699:J701"/>
    <mergeCell ref="K699:K701"/>
    <mergeCell ref="X702:X704"/>
    <mergeCell ref="Y702:Y704"/>
    <mergeCell ref="Z702:Z704"/>
    <mergeCell ref="AA702:AA704"/>
    <mergeCell ref="AB702:AB704"/>
    <mergeCell ref="X696:X698"/>
    <mergeCell ref="Y696:Y698"/>
    <mergeCell ref="Z696:Z698"/>
    <mergeCell ref="AA696:AA698"/>
    <mergeCell ref="AB696:AB698"/>
    <mergeCell ref="A699:A701"/>
    <mergeCell ref="B699:B701"/>
    <mergeCell ref="C699:C701"/>
    <mergeCell ref="D699:D701"/>
    <mergeCell ref="E699:E701"/>
    <mergeCell ref="R696:R698"/>
    <mergeCell ref="S696:S698"/>
    <mergeCell ref="T696:T698"/>
    <mergeCell ref="U696:U698"/>
    <mergeCell ref="V696:V698"/>
    <mergeCell ref="W696:W698"/>
    <mergeCell ref="L696:L698"/>
    <mergeCell ref="M696:M698"/>
    <mergeCell ref="N696:N698"/>
    <mergeCell ref="O696:O698"/>
    <mergeCell ref="P696:P698"/>
    <mergeCell ref="Q696:Q698"/>
    <mergeCell ref="F696:F698"/>
    <mergeCell ref="G696:G698"/>
    <mergeCell ref="H696:H698"/>
    <mergeCell ref="I696:I698"/>
    <mergeCell ref="J696:J698"/>
    <mergeCell ref="K696:K698"/>
    <mergeCell ref="X699:X701"/>
    <mergeCell ref="Y699:Y701"/>
    <mergeCell ref="Z699:Z701"/>
    <mergeCell ref="AA699:AA701"/>
    <mergeCell ref="A696:A698"/>
    <mergeCell ref="B696:B698"/>
    <mergeCell ref="C696:C698"/>
    <mergeCell ref="D696:D698"/>
    <mergeCell ref="E696:E698"/>
    <mergeCell ref="R693:R695"/>
    <mergeCell ref="S693:S695"/>
    <mergeCell ref="T693:T695"/>
    <mergeCell ref="U693:U695"/>
    <mergeCell ref="V693:V695"/>
    <mergeCell ref="W693:W695"/>
    <mergeCell ref="L693:L695"/>
    <mergeCell ref="M693:M695"/>
    <mergeCell ref="N693:N695"/>
    <mergeCell ref="O693:O695"/>
    <mergeCell ref="P693:P695"/>
    <mergeCell ref="Q693:Q695"/>
    <mergeCell ref="F693:F695"/>
    <mergeCell ref="G693:G695"/>
    <mergeCell ref="H693:H695"/>
    <mergeCell ref="I693:I695"/>
    <mergeCell ref="J693:J695"/>
    <mergeCell ref="K693:K695"/>
    <mergeCell ref="A685:AF685"/>
    <mergeCell ref="A687:AF687"/>
    <mergeCell ref="A688:AF688"/>
    <mergeCell ref="A693:A695"/>
    <mergeCell ref="B693:B695"/>
    <mergeCell ref="C693:C695"/>
    <mergeCell ref="D693:D695"/>
    <mergeCell ref="E693:E695"/>
    <mergeCell ref="U674:U676"/>
    <mergeCell ref="V674:V676"/>
    <mergeCell ref="W674:W676"/>
    <mergeCell ref="X674:X676"/>
    <mergeCell ref="Y674:Y676"/>
    <mergeCell ref="Z674:Z676"/>
    <mergeCell ref="O674:O676"/>
    <mergeCell ref="P674:P676"/>
    <mergeCell ref="Q674:Q676"/>
    <mergeCell ref="R674:R676"/>
    <mergeCell ref="S674:S676"/>
    <mergeCell ref="T674:T676"/>
    <mergeCell ref="I674:I676"/>
    <mergeCell ref="J674:J676"/>
    <mergeCell ref="K674:K676"/>
    <mergeCell ref="L674:L676"/>
    <mergeCell ref="M674:M676"/>
    <mergeCell ref="N674:N676"/>
    <mergeCell ref="X693:X695"/>
    <mergeCell ref="Y693:Y695"/>
    <mergeCell ref="Z693:Z695"/>
    <mergeCell ref="AA693:AA695"/>
    <mergeCell ref="AB693:AB695"/>
    <mergeCell ref="AA671:AA673"/>
    <mergeCell ref="AB671:AB673"/>
    <mergeCell ref="A674:A676"/>
    <mergeCell ref="B674:B676"/>
    <mergeCell ref="C674:C676"/>
    <mergeCell ref="D674:D676"/>
    <mergeCell ref="E674:E676"/>
    <mergeCell ref="F674:F676"/>
    <mergeCell ref="G674:G676"/>
    <mergeCell ref="H674:H676"/>
    <mergeCell ref="U671:U673"/>
    <mergeCell ref="V671:V673"/>
    <mergeCell ref="W671:W673"/>
    <mergeCell ref="X671:X673"/>
    <mergeCell ref="Y671:Y673"/>
    <mergeCell ref="Z671:Z673"/>
    <mergeCell ref="O671:O673"/>
    <mergeCell ref="P671:P673"/>
    <mergeCell ref="Q671:Q673"/>
    <mergeCell ref="R671:R673"/>
    <mergeCell ref="S671:S673"/>
    <mergeCell ref="T671:T673"/>
    <mergeCell ref="I671:I673"/>
    <mergeCell ref="J671:J673"/>
    <mergeCell ref="K671:K673"/>
    <mergeCell ref="L671:L673"/>
    <mergeCell ref="M671:M673"/>
    <mergeCell ref="N671:N673"/>
    <mergeCell ref="AA674:AA676"/>
    <mergeCell ref="AB674:AB676"/>
    <mergeCell ref="A671:A673"/>
    <mergeCell ref="B671:B673"/>
    <mergeCell ref="C671:C673"/>
    <mergeCell ref="D671:D673"/>
    <mergeCell ref="E671:E673"/>
    <mergeCell ref="F671:F673"/>
    <mergeCell ref="G671:G673"/>
    <mergeCell ref="H671:H673"/>
    <mergeCell ref="U668:U670"/>
    <mergeCell ref="V668:V670"/>
    <mergeCell ref="W668:W670"/>
    <mergeCell ref="X668:X670"/>
    <mergeCell ref="Y668:Y670"/>
    <mergeCell ref="Z668:Z670"/>
    <mergeCell ref="O668:O670"/>
    <mergeCell ref="P668:P670"/>
    <mergeCell ref="Q668:Q670"/>
    <mergeCell ref="R668:R670"/>
    <mergeCell ref="S668:S670"/>
    <mergeCell ref="T668:T670"/>
    <mergeCell ref="I668:I670"/>
    <mergeCell ref="J668:J670"/>
    <mergeCell ref="K668:K670"/>
    <mergeCell ref="L668:L670"/>
    <mergeCell ref="M668:M670"/>
    <mergeCell ref="N668:N670"/>
    <mergeCell ref="AA665:AA667"/>
    <mergeCell ref="AB665:AB667"/>
    <mergeCell ref="A668:A670"/>
    <mergeCell ref="B668:B670"/>
    <mergeCell ref="C668:C670"/>
    <mergeCell ref="D668:D670"/>
    <mergeCell ref="E668:E670"/>
    <mergeCell ref="F668:F670"/>
    <mergeCell ref="G668:G670"/>
    <mergeCell ref="H668:H670"/>
    <mergeCell ref="U665:U667"/>
    <mergeCell ref="V665:V667"/>
    <mergeCell ref="W665:W667"/>
    <mergeCell ref="X665:X667"/>
    <mergeCell ref="Y665:Y667"/>
    <mergeCell ref="Z665:Z667"/>
    <mergeCell ref="O665:O667"/>
    <mergeCell ref="P665:P667"/>
    <mergeCell ref="Q665:Q667"/>
    <mergeCell ref="R665:R667"/>
    <mergeCell ref="S665:S667"/>
    <mergeCell ref="T665:T667"/>
    <mergeCell ref="I665:I667"/>
    <mergeCell ref="J665:J667"/>
    <mergeCell ref="K665:K667"/>
    <mergeCell ref="L665:L667"/>
    <mergeCell ref="M665:M667"/>
    <mergeCell ref="N665:N667"/>
    <mergeCell ref="AA668:AA670"/>
    <mergeCell ref="AB668:AB670"/>
    <mergeCell ref="A665:A667"/>
    <mergeCell ref="B665:B667"/>
    <mergeCell ref="C665:C667"/>
    <mergeCell ref="D665:D667"/>
    <mergeCell ref="E665:E667"/>
    <mergeCell ref="F665:F667"/>
    <mergeCell ref="G665:G667"/>
    <mergeCell ref="H665:H667"/>
    <mergeCell ref="U662:U664"/>
    <mergeCell ref="V662:V664"/>
    <mergeCell ref="W662:W664"/>
    <mergeCell ref="X662:X664"/>
    <mergeCell ref="Y662:Y664"/>
    <mergeCell ref="Z662:Z664"/>
    <mergeCell ref="O662:O664"/>
    <mergeCell ref="P662:P664"/>
    <mergeCell ref="Q662:Q664"/>
    <mergeCell ref="R662:R664"/>
    <mergeCell ref="S662:S664"/>
    <mergeCell ref="T662:T664"/>
    <mergeCell ref="I662:I664"/>
    <mergeCell ref="J662:J664"/>
    <mergeCell ref="K662:K664"/>
    <mergeCell ref="L662:L664"/>
    <mergeCell ref="M662:M664"/>
    <mergeCell ref="N662:N664"/>
    <mergeCell ref="AA659:AA661"/>
    <mergeCell ref="AB659:AB661"/>
    <mergeCell ref="A662:A664"/>
    <mergeCell ref="B662:B664"/>
    <mergeCell ref="C662:C664"/>
    <mergeCell ref="D662:D664"/>
    <mergeCell ref="E662:E664"/>
    <mergeCell ref="F662:F664"/>
    <mergeCell ref="G662:G664"/>
    <mergeCell ref="H662:H664"/>
    <mergeCell ref="U659:U661"/>
    <mergeCell ref="V659:V661"/>
    <mergeCell ref="W659:W661"/>
    <mergeCell ref="X659:X661"/>
    <mergeCell ref="Y659:Y661"/>
    <mergeCell ref="Z659:Z661"/>
    <mergeCell ref="O659:O661"/>
    <mergeCell ref="P659:P661"/>
    <mergeCell ref="Q659:Q661"/>
    <mergeCell ref="R659:R661"/>
    <mergeCell ref="S659:S661"/>
    <mergeCell ref="T659:T661"/>
    <mergeCell ref="I659:I661"/>
    <mergeCell ref="J659:J661"/>
    <mergeCell ref="K659:K661"/>
    <mergeCell ref="L659:L661"/>
    <mergeCell ref="M659:M661"/>
    <mergeCell ref="N659:N661"/>
    <mergeCell ref="AA662:AA664"/>
    <mergeCell ref="AB662:AB664"/>
    <mergeCell ref="A653:AF653"/>
    <mergeCell ref="A654:AF654"/>
    <mergeCell ref="A659:A661"/>
    <mergeCell ref="B659:B661"/>
    <mergeCell ref="C659:C661"/>
    <mergeCell ref="D659:D661"/>
    <mergeCell ref="E659:E661"/>
    <mergeCell ref="F659:F661"/>
    <mergeCell ref="G659:G661"/>
    <mergeCell ref="H659:H661"/>
    <mergeCell ref="X640:X642"/>
    <mergeCell ref="Y640:Y642"/>
    <mergeCell ref="Z640:Z642"/>
    <mergeCell ref="AA640:AA642"/>
    <mergeCell ref="AB640:AB642"/>
    <mergeCell ref="A651:AF651"/>
    <mergeCell ref="R640:R642"/>
    <mergeCell ref="S640:S642"/>
    <mergeCell ref="T640:T642"/>
    <mergeCell ref="U640:U642"/>
    <mergeCell ref="V640:V642"/>
    <mergeCell ref="W640:W642"/>
    <mergeCell ref="L640:L642"/>
    <mergeCell ref="M640:M642"/>
    <mergeCell ref="N640:N642"/>
    <mergeCell ref="O640:O642"/>
    <mergeCell ref="P640:P642"/>
    <mergeCell ref="Q640:Q642"/>
    <mergeCell ref="F640:F642"/>
    <mergeCell ref="G640:G642"/>
    <mergeCell ref="H640:H642"/>
    <mergeCell ref="I640:I642"/>
    <mergeCell ref="J640:J642"/>
    <mergeCell ref="K640:K642"/>
    <mergeCell ref="X637:X639"/>
    <mergeCell ref="Y637:Y639"/>
    <mergeCell ref="Z637:Z639"/>
    <mergeCell ref="AA637:AA639"/>
    <mergeCell ref="AB637:AB639"/>
    <mergeCell ref="A640:A642"/>
    <mergeCell ref="B640:B642"/>
    <mergeCell ref="C640:C642"/>
    <mergeCell ref="D640:D642"/>
    <mergeCell ref="E640:E642"/>
    <mergeCell ref="R637:R639"/>
    <mergeCell ref="S637:S639"/>
    <mergeCell ref="T637:T639"/>
    <mergeCell ref="U637:U639"/>
    <mergeCell ref="V637:V639"/>
    <mergeCell ref="W637:W639"/>
    <mergeCell ref="L637:L639"/>
    <mergeCell ref="M637:M639"/>
    <mergeCell ref="N637:N639"/>
    <mergeCell ref="O637:O639"/>
    <mergeCell ref="P637:P639"/>
    <mergeCell ref="Q637:Q639"/>
    <mergeCell ref="F637:F639"/>
    <mergeCell ref="G637:G639"/>
    <mergeCell ref="H637:H639"/>
    <mergeCell ref="I637:I639"/>
    <mergeCell ref="J637:J639"/>
    <mergeCell ref="K637:K639"/>
    <mergeCell ref="A637:A639"/>
    <mergeCell ref="B637:B639"/>
    <mergeCell ref="C637:C639"/>
    <mergeCell ref="D637:D639"/>
    <mergeCell ref="E637:E639"/>
    <mergeCell ref="R634:R636"/>
    <mergeCell ref="S634:S636"/>
    <mergeCell ref="T634:T636"/>
    <mergeCell ref="U634:U636"/>
    <mergeCell ref="V634:V636"/>
    <mergeCell ref="W634:W636"/>
    <mergeCell ref="L634:L636"/>
    <mergeCell ref="M634:M636"/>
    <mergeCell ref="N634:N636"/>
    <mergeCell ref="O634:O636"/>
    <mergeCell ref="P634:P636"/>
    <mergeCell ref="Q634:Q636"/>
    <mergeCell ref="F634:F636"/>
    <mergeCell ref="G634:G636"/>
    <mergeCell ref="H634:H636"/>
    <mergeCell ref="I634:I636"/>
    <mergeCell ref="J634:J636"/>
    <mergeCell ref="K634:K636"/>
    <mergeCell ref="AB631:AB633"/>
    <mergeCell ref="A634:A636"/>
    <mergeCell ref="B634:B636"/>
    <mergeCell ref="C634:C636"/>
    <mergeCell ref="D634:D636"/>
    <mergeCell ref="E634:E636"/>
    <mergeCell ref="R631:R633"/>
    <mergeCell ref="S631:S633"/>
    <mergeCell ref="T631:T633"/>
    <mergeCell ref="U631:U633"/>
    <mergeCell ref="V631:V633"/>
    <mergeCell ref="W631:W633"/>
    <mergeCell ref="L631:L633"/>
    <mergeCell ref="M631:M633"/>
    <mergeCell ref="N631:N633"/>
    <mergeCell ref="O631:O633"/>
    <mergeCell ref="P631:P633"/>
    <mergeCell ref="Q631:Q633"/>
    <mergeCell ref="F631:F633"/>
    <mergeCell ref="G631:G633"/>
    <mergeCell ref="H631:H633"/>
    <mergeCell ref="I631:I633"/>
    <mergeCell ref="J631:J633"/>
    <mergeCell ref="K631:K633"/>
    <mergeCell ref="X634:X636"/>
    <mergeCell ref="Y634:Y636"/>
    <mergeCell ref="Z634:Z636"/>
    <mergeCell ref="AA634:AA636"/>
    <mergeCell ref="AB634:AB636"/>
    <mergeCell ref="X628:X630"/>
    <mergeCell ref="Y628:Y630"/>
    <mergeCell ref="Z628:Z630"/>
    <mergeCell ref="AA628:AA630"/>
    <mergeCell ref="AB628:AB630"/>
    <mergeCell ref="A631:A633"/>
    <mergeCell ref="B631:B633"/>
    <mergeCell ref="C631:C633"/>
    <mergeCell ref="D631:D633"/>
    <mergeCell ref="E631:E633"/>
    <mergeCell ref="R628:R630"/>
    <mergeCell ref="S628:S630"/>
    <mergeCell ref="T628:T630"/>
    <mergeCell ref="U628:U630"/>
    <mergeCell ref="V628:V630"/>
    <mergeCell ref="W628:W630"/>
    <mergeCell ref="L628:L630"/>
    <mergeCell ref="M628:M630"/>
    <mergeCell ref="N628:N630"/>
    <mergeCell ref="O628:O630"/>
    <mergeCell ref="P628:P630"/>
    <mergeCell ref="Q628:Q630"/>
    <mergeCell ref="F628:F630"/>
    <mergeCell ref="G628:G630"/>
    <mergeCell ref="H628:H630"/>
    <mergeCell ref="I628:I630"/>
    <mergeCell ref="J628:J630"/>
    <mergeCell ref="K628:K630"/>
    <mergeCell ref="X631:X633"/>
    <mergeCell ref="Y631:Y633"/>
    <mergeCell ref="Z631:Z633"/>
    <mergeCell ref="AA631:AA633"/>
    <mergeCell ref="A628:A630"/>
    <mergeCell ref="B628:B630"/>
    <mergeCell ref="C628:C630"/>
    <mergeCell ref="D628:D630"/>
    <mergeCell ref="E628:E630"/>
    <mergeCell ref="R625:R627"/>
    <mergeCell ref="S625:S627"/>
    <mergeCell ref="T625:T627"/>
    <mergeCell ref="U625:U627"/>
    <mergeCell ref="V625:V627"/>
    <mergeCell ref="W625:W627"/>
    <mergeCell ref="L625:L627"/>
    <mergeCell ref="M625:M627"/>
    <mergeCell ref="N625:N627"/>
    <mergeCell ref="O625:O627"/>
    <mergeCell ref="P625:P627"/>
    <mergeCell ref="Q625:Q627"/>
    <mergeCell ref="F625:F627"/>
    <mergeCell ref="G625:G627"/>
    <mergeCell ref="H625:H627"/>
    <mergeCell ref="I625:I627"/>
    <mergeCell ref="J625:J627"/>
    <mergeCell ref="K625:K627"/>
    <mergeCell ref="A616:AF616"/>
    <mergeCell ref="A618:AF618"/>
    <mergeCell ref="A619:AF619"/>
    <mergeCell ref="A620:AF620"/>
    <mergeCell ref="A625:A627"/>
    <mergeCell ref="B625:B627"/>
    <mergeCell ref="C625:C627"/>
    <mergeCell ref="D625:D627"/>
    <mergeCell ref="E625:E627"/>
    <mergeCell ref="V606:V608"/>
    <mergeCell ref="W606:W608"/>
    <mergeCell ref="X606:X608"/>
    <mergeCell ref="Y606:Y608"/>
    <mergeCell ref="Z606:Z608"/>
    <mergeCell ref="AA606:AA608"/>
    <mergeCell ref="P606:P608"/>
    <mergeCell ref="Q606:Q608"/>
    <mergeCell ref="R606:R608"/>
    <mergeCell ref="S606:S608"/>
    <mergeCell ref="T606:T608"/>
    <mergeCell ref="U606:U608"/>
    <mergeCell ref="J606:J608"/>
    <mergeCell ref="K606:K608"/>
    <mergeCell ref="L606:L608"/>
    <mergeCell ref="M606:M608"/>
    <mergeCell ref="N606:N608"/>
    <mergeCell ref="O606:O608"/>
    <mergeCell ref="X625:X627"/>
    <mergeCell ref="Y625:Y627"/>
    <mergeCell ref="Z625:Z627"/>
    <mergeCell ref="AA625:AA627"/>
    <mergeCell ref="AB625:AB627"/>
    <mergeCell ref="AB603:AB605"/>
    <mergeCell ref="A606:A608"/>
    <mergeCell ref="B606:B608"/>
    <mergeCell ref="C606:C608"/>
    <mergeCell ref="D606:D608"/>
    <mergeCell ref="E606:E608"/>
    <mergeCell ref="F606:F608"/>
    <mergeCell ref="G606:G608"/>
    <mergeCell ref="H606:H608"/>
    <mergeCell ref="I606:I608"/>
    <mergeCell ref="V603:V605"/>
    <mergeCell ref="W603:W605"/>
    <mergeCell ref="X603:X605"/>
    <mergeCell ref="Y603:Y605"/>
    <mergeCell ref="Z603:Z605"/>
    <mergeCell ref="AA603:AA605"/>
    <mergeCell ref="P603:P605"/>
    <mergeCell ref="Q603:Q605"/>
    <mergeCell ref="R603:R605"/>
    <mergeCell ref="S603:S605"/>
    <mergeCell ref="T603:T605"/>
    <mergeCell ref="U603:U605"/>
    <mergeCell ref="J603:J605"/>
    <mergeCell ref="K603:K605"/>
    <mergeCell ref="L603:L605"/>
    <mergeCell ref="M603:M605"/>
    <mergeCell ref="N603:N605"/>
    <mergeCell ref="O603:O605"/>
    <mergeCell ref="AB606:AB608"/>
    <mergeCell ref="A603:A605"/>
    <mergeCell ref="B603:B605"/>
    <mergeCell ref="C603:C605"/>
    <mergeCell ref="D603:D605"/>
    <mergeCell ref="E603:E605"/>
    <mergeCell ref="F603:F605"/>
    <mergeCell ref="G603:G605"/>
    <mergeCell ref="H603:H605"/>
    <mergeCell ref="I603:I605"/>
    <mergeCell ref="V600:V602"/>
    <mergeCell ref="W600:W602"/>
    <mergeCell ref="X600:X602"/>
    <mergeCell ref="Y600:Y602"/>
    <mergeCell ref="Z600:Z602"/>
    <mergeCell ref="AA600:AA602"/>
    <mergeCell ref="P600:P602"/>
    <mergeCell ref="Q600:Q602"/>
    <mergeCell ref="R600:R602"/>
    <mergeCell ref="S600:S602"/>
    <mergeCell ref="T600:T602"/>
    <mergeCell ref="U600:U602"/>
    <mergeCell ref="J600:J602"/>
    <mergeCell ref="K600:K602"/>
    <mergeCell ref="L600:L602"/>
    <mergeCell ref="M600:M602"/>
    <mergeCell ref="N600:N602"/>
    <mergeCell ref="O600:O602"/>
    <mergeCell ref="AB597:AB599"/>
    <mergeCell ref="A600:A602"/>
    <mergeCell ref="B600:B602"/>
    <mergeCell ref="C600:C602"/>
    <mergeCell ref="D600:D602"/>
    <mergeCell ref="E600:E602"/>
    <mergeCell ref="F600:F602"/>
    <mergeCell ref="G600:G602"/>
    <mergeCell ref="H600:H602"/>
    <mergeCell ref="I600:I602"/>
    <mergeCell ref="V597:V599"/>
    <mergeCell ref="W597:W599"/>
    <mergeCell ref="X597:X599"/>
    <mergeCell ref="Y597:Y599"/>
    <mergeCell ref="Z597:Z599"/>
    <mergeCell ref="AA597:AA599"/>
    <mergeCell ref="P597:P599"/>
    <mergeCell ref="Q597:Q599"/>
    <mergeCell ref="R597:R599"/>
    <mergeCell ref="S597:S599"/>
    <mergeCell ref="T597:T599"/>
    <mergeCell ref="U597:U599"/>
    <mergeCell ref="J597:J599"/>
    <mergeCell ref="K597:K599"/>
    <mergeCell ref="L597:L599"/>
    <mergeCell ref="M597:M599"/>
    <mergeCell ref="N597:N599"/>
    <mergeCell ref="O597:O599"/>
    <mergeCell ref="AB600:AB602"/>
    <mergeCell ref="A597:A599"/>
    <mergeCell ref="B597:B599"/>
    <mergeCell ref="C597:C599"/>
    <mergeCell ref="D597:D599"/>
    <mergeCell ref="E597:E599"/>
    <mergeCell ref="F597:F599"/>
    <mergeCell ref="G597:G599"/>
    <mergeCell ref="H597:H599"/>
    <mergeCell ref="I597:I599"/>
    <mergeCell ref="V594:V596"/>
    <mergeCell ref="W594:W596"/>
    <mergeCell ref="X594:X596"/>
    <mergeCell ref="Y594:Y596"/>
    <mergeCell ref="Z594:Z596"/>
    <mergeCell ref="AA594:AA596"/>
    <mergeCell ref="P594:P596"/>
    <mergeCell ref="Q594:Q596"/>
    <mergeCell ref="R594:R596"/>
    <mergeCell ref="S594:S596"/>
    <mergeCell ref="T594:T596"/>
    <mergeCell ref="U594:U596"/>
    <mergeCell ref="J594:J596"/>
    <mergeCell ref="K594:K596"/>
    <mergeCell ref="L594:L596"/>
    <mergeCell ref="M594:M596"/>
    <mergeCell ref="N594:N596"/>
    <mergeCell ref="O594:O596"/>
    <mergeCell ref="AB591:AB593"/>
    <mergeCell ref="A594:A596"/>
    <mergeCell ref="B594:B596"/>
    <mergeCell ref="C594:C596"/>
    <mergeCell ref="D594:D596"/>
    <mergeCell ref="E594:E596"/>
    <mergeCell ref="F594:F596"/>
    <mergeCell ref="G594:G596"/>
    <mergeCell ref="H594:H596"/>
    <mergeCell ref="I594:I596"/>
    <mergeCell ref="V591:V593"/>
    <mergeCell ref="W591:W593"/>
    <mergeCell ref="X591:X593"/>
    <mergeCell ref="Y591:Y593"/>
    <mergeCell ref="Z591:Z593"/>
    <mergeCell ref="AA591:AA593"/>
    <mergeCell ref="P591:P593"/>
    <mergeCell ref="Q591:Q593"/>
    <mergeCell ref="R591:R593"/>
    <mergeCell ref="S591:S593"/>
    <mergeCell ref="T591:T593"/>
    <mergeCell ref="U591:U593"/>
    <mergeCell ref="J591:J593"/>
    <mergeCell ref="K591:K593"/>
    <mergeCell ref="L591:L593"/>
    <mergeCell ref="M591:M593"/>
    <mergeCell ref="N591:N593"/>
    <mergeCell ref="O591:O593"/>
    <mergeCell ref="AB594:AB596"/>
    <mergeCell ref="A586:AF586"/>
    <mergeCell ref="A591:A593"/>
    <mergeCell ref="B591:B593"/>
    <mergeCell ref="C591:C593"/>
    <mergeCell ref="D591:D593"/>
    <mergeCell ref="E591:E593"/>
    <mergeCell ref="F591:F593"/>
    <mergeCell ref="G591:G593"/>
    <mergeCell ref="H591:H593"/>
    <mergeCell ref="I591:I593"/>
    <mergeCell ref="Y572:Y574"/>
    <mergeCell ref="Z572:Z574"/>
    <mergeCell ref="AA572:AA574"/>
    <mergeCell ref="AB572:AB574"/>
    <mergeCell ref="A583:AF583"/>
    <mergeCell ref="A585:AF585"/>
    <mergeCell ref="S572:S574"/>
    <mergeCell ref="T572:T574"/>
    <mergeCell ref="U572:U574"/>
    <mergeCell ref="V572:V574"/>
    <mergeCell ref="W572:W574"/>
    <mergeCell ref="X572:X574"/>
    <mergeCell ref="M572:M574"/>
    <mergeCell ref="N572:N574"/>
    <mergeCell ref="O572:O574"/>
    <mergeCell ref="P572:P574"/>
    <mergeCell ref="Q572:Q574"/>
    <mergeCell ref="R572:R574"/>
    <mergeCell ref="G572:G574"/>
    <mergeCell ref="H572:H574"/>
    <mergeCell ref="I572:I574"/>
    <mergeCell ref="J572:J574"/>
    <mergeCell ref="K572:K574"/>
    <mergeCell ref="L572:L574"/>
    <mergeCell ref="Y569:Y571"/>
    <mergeCell ref="Z569:Z571"/>
    <mergeCell ref="AA569:AA571"/>
    <mergeCell ref="AB569:AB571"/>
    <mergeCell ref="A572:A574"/>
    <mergeCell ref="B572:B574"/>
    <mergeCell ref="C572:C574"/>
    <mergeCell ref="D572:D574"/>
    <mergeCell ref="E572:E574"/>
    <mergeCell ref="F572:F574"/>
    <mergeCell ref="S569:S571"/>
    <mergeCell ref="T569:T571"/>
    <mergeCell ref="U569:U571"/>
    <mergeCell ref="V569:V571"/>
    <mergeCell ref="W569:W571"/>
    <mergeCell ref="X569:X571"/>
    <mergeCell ref="M569:M571"/>
    <mergeCell ref="N569:N571"/>
    <mergeCell ref="O569:O571"/>
    <mergeCell ref="P569:P571"/>
    <mergeCell ref="Q569:Q571"/>
    <mergeCell ref="R569:R571"/>
    <mergeCell ref="G569:G571"/>
    <mergeCell ref="H569:H571"/>
    <mergeCell ref="I569:I571"/>
    <mergeCell ref="J569:J571"/>
    <mergeCell ref="K569:K571"/>
    <mergeCell ref="L569:L571"/>
    <mergeCell ref="Y566:Y568"/>
    <mergeCell ref="Z566:Z568"/>
    <mergeCell ref="AA566:AA568"/>
    <mergeCell ref="AB566:AB568"/>
    <mergeCell ref="A569:A571"/>
    <mergeCell ref="B569:B571"/>
    <mergeCell ref="C569:C571"/>
    <mergeCell ref="D569:D571"/>
    <mergeCell ref="E569:E571"/>
    <mergeCell ref="F569:F571"/>
    <mergeCell ref="S566:S568"/>
    <mergeCell ref="T566:T568"/>
    <mergeCell ref="U566:U568"/>
    <mergeCell ref="V566:V568"/>
    <mergeCell ref="W566:W568"/>
    <mergeCell ref="X566:X568"/>
    <mergeCell ref="M566:M568"/>
    <mergeCell ref="N566:N568"/>
    <mergeCell ref="O566:O568"/>
    <mergeCell ref="P566:P568"/>
    <mergeCell ref="Q566:Q568"/>
    <mergeCell ref="R566:R568"/>
    <mergeCell ref="G566:G568"/>
    <mergeCell ref="H566:H568"/>
    <mergeCell ref="I566:I568"/>
    <mergeCell ref="J566:J568"/>
    <mergeCell ref="K566:K568"/>
    <mergeCell ref="L566:L568"/>
    <mergeCell ref="A566:A568"/>
    <mergeCell ref="B566:B568"/>
    <mergeCell ref="C566:C568"/>
    <mergeCell ref="D566:D568"/>
    <mergeCell ref="E566:E568"/>
    <mergeCell ref="F566:F568"/>
    <mergeCell ref="S563:S565"/>
    <mergeCell ref="T563:T565"/>
    <mergeCell ref="U563:U565"/>
    <mergeCell ref="V563:V565"/>
    <mergeCell ref="W563:W565"/>
    <mergeCell ref="X563:X565"/>
    <mergeCell ref="M563:M565"/>
    <mergeCell ref="N563:N565"/>
    <mergeCell ref="O563:O565"/>
    <mergeCell ref="P563:P565"/>
    <mergeCell ref="Q563:Q565"/>
    <mergeCell ref="R563:R565"/>
    <mergeCell ref="G563:G565"/>
    <mergeCell ref="H563:H565"/>
    <mergeCell ref="I563:I565"/>
    <mergeCell ref="J563:J565"/>
    <mergeCell ref="K563:K565"/>
    <mergeCell ref="L563:L565"/>
    <mergeCell ref="Y560:Y562"/>
    <mergeCell ref="Z560:Z562"/>
    <mergeCell ref="AA560:AA562"/>
    <mergeCell ref="AB560:AB562"/>
    <mergeCell ref="A563:A565"/>
    <mergeCell ref="B563:B565"/>
    <mergeCell ref="C563:C565"/>
    <mergeCell ref="D563:D565"/>
    <mergeCell ref="E563:E565"/>
    <mergeCell ref="F563:F565"/>
    <mergeCell ref="S560:S562"/>
    <mergeCell ref="T560:T562"/>
    <mergeCell ref="U560:U562"/>
    <mergeCell ref="V560:V562"/>
    <mergeCell ref="W560:W562"/>
    <mergeCell ref="X560:X562"/>
    <mergeCell ref="M560:M562"/>
    <mergeCell ref="N560:N562"/>
    <mergeCell ref="O560:O562"/>
    <mergeCell ref="P560:P562"/>
    <mergeCell ref="Q560:Q562"/>
    <mergeCell ref="R560:R562"/>
    <mergeCell ref="G560:G562"/>
    <mergeCell ref="H560:H562"/>
    <mergeCell ref="I560:I562"/>
    <mergeCell ref="J560:J562"/>
    <mergeCell ref="K560:K562"/>
    <mergeCell ref="L560:L562"/>
    <mergeCell ref="Y563:Y565"/>
    <mergeCell ref="Z563:Z565"/>
    <mergeCell ref="AA563:AA565"/>
    <mergeCell ref="AB563:AB565"/>
    <mergeCell ref="A560:A562"/>
    <mergeCell ref="B560:B562"/>
    <mergeCell ref="C560:C562"/>
    <mergeCell ref="D560:D562"/>
    <mergeCell ref="E560:E562"/>
    <mergeCell ref="F560:F562"/>
    <mergeCell ref="S557:S559"/>
    <mergeCell ref="T557:T559"/>
    <mergeCell ref="U557:U559"/>
    <mergeCell ref="V557:V559"/>
    <mergeCell ref="W557:W559"/>
    <mergeCell ref="X557:X559"/>
    <mergeCell ref="M557:M559"/>
    <mergeCell ref="N557:N559"/>
    <mergeCell ref="O557:O559"/>
    <mergeCell ref="P557:P559"/>
    <mergeCell ref="Q557:Q559"/>
    <mergeCell ref="R557:R559"/>
    <mergeCell ref="G557:G559"/>
    <mergeCell ref="H557:H559"/>
    <mergeCell ref="I557:I559"/>
    <mergeCell ref="J557:J559"/>
    <mergeCell ref="K557:K559"/>
    <mergeCell ref="L557:L559"/>
    <mergeCell ref="A549:AF549"/>
    <mergeCell ref="A551:AF551"/>
    <mergeCell ref="A552:AF552"/>
    <mergeCell ref="A557:A559"/>
    <mergeCell ref="B557:B559"/>
    <mergeCell ref="C557:C559"/>
    <mergeCell ref="D557:D559"/>
    <mergeCell ref="E557:E559"/>
    <mergeCell ref="F557:F559"/>
    <mergeCell ref="V538:V540"/>
    <mergeCell ref="W538:W540"/>
    <mergeCell ref="X538:X540"/>
    <mergeCell ref="Y538:Y540"/>
    <mergeCell ref="Z538:Z540"/>
    <mergeCell ref="AA538:AA540"/>
    <mergeCell ref="P538:P540"/>
    <mergeCell ref="Q538:Q540"/>
    <mergeCell ref="R538:R540"/>
    <mergeCell ref="S538:S540"/>
    <mergeCell ref="T538:T540"/>
    <mergeCell ref="U538:U540"/>
    <mergeCell ref="J538:J540"/>
    <mergeCell ref="K538:K540"/>
    <mergeCell ref="L538:L540"/>
    <mergeCell ref="M538:M540"/>
    <mergeCell ref="N538:N540"/>
    <mergeCell ref="O538:O540"/>
    <mergeCell ref="Y557:Y559"/>
    <mergeCell ref="Z557:Z559"/>
    <mergeCell ref="AA557:AA559"/>
    <mergeCell ref="AB557:AB559"/>
    <mergeCell ref="AB535:AB537"/>
    <mergeCell ref="A538:A540"/>
    <mergeCell ref="B538:B540"/>
    <mergeCell ref="C538:C540"/>
    <mergeCell ref="D538:D540"/>
    <mergeCell ref="E538:E540"/>
    <mergeCell ref="F538:F540"/>
    <mergeCell ref="G538:G540"/>
    <mergeCell ref="H538:H540"/>
    <mergeCell ref="I538:I540"/>
    <mergeCell ref="V535:V537"/>
    <mergeCell ref="W535:W537"/>
    <mergeCell ref="X535:X537"/>
    <mergeCell ref="Y535:Y537"/>
    <mergeCell ref="Z535:Z537"/>
    <mergeCell ref="AA535:AA537"/>
    <mergeCell ref="P535:P537"/>
    <mergeCell ref="Q535:Q537"/>
    <mergeCell ref="R535:R537"/>
    <mergeCell ref="S535:S537"/>
    <mergeCell ref="T535:T537"/>
    <mergeCell ref="U535:U537"/>
    <mergeCell ref="J535:J537"/>
    <mergeCell ref="K535:K537"/>
    <mergeCell ref="L535:L537"/>
    <mergeCell ref="M535:M537"/>
    <mergeCell ref="N535:N537"/>
    <mergeCell ref="O535:O537"/>
    <mergeCell ref="AB538:AB540"/>
    <mergeCell ref="A535:A537"/>
    <mergeCell ref="B535:B537"/>
    <mergeCell ref="C535:C537"/>
    <mergeCell ref="D535:D537"/>
    <mergeCell ref="E535:E537"/>
    <mergeCell ref="F535:F537"/>
    <mergeCell ref="G535:G537"/>
    <mergeCell ref="H535:H537"/>
    <mergeCell ref="I535:I537"/>
    <mergeCell ref="V532:V534"/>
    <mergeCell ref="W532:W534"/>
    <mergeCell ref="X532:X534"/>
    <mergeCell ref="Y532:Y534"/>
    <mergeCell ref="Z532:Z534"/>
    <mergeCell ref="AA532:AA534"/>
    <mergeCell ref="P532:P534"/>
    <mergeCell ref="Q532:Q534"/>
    <mergeCell ref="R532:R534"/>
    <mergeCell ref="S532:S534"/>
    <mergeCell ref="T532:T534"/>
    <mergeCell ref="U532:U534"/>
    <mergeCell ref="J532:J534"/>
    <mergeCell ref="K532:K534"/>
    <mergeCell ref="L532:L534"/>
    <mergeCell ref="M532:M534"/>
    <mergeCell ref="N532:N534"/>
    <mergeCell ref="O532:O534"/>
    <mergeCell ref="AB529:AB531"/>
    <mergeCell ref="A532:A534"/>
    <mergeCell ref="B532:B534"/>
    <mergeCell ref="C532:C534"/>
    <mergeCell ref="D532:D534"/>
    <mergeCell ref="E532:E534"/>
    <mergeCell ref="F532:F534"/>
    <mergeCell ref="G532:G534"/>
    <mergeCell ref="H532:H534"/>
    <mergeCell ref="I532:I534"/>
    <mergeCell ref="V529:V531"/>
    <mergeCell ref="W529:W531"/>
    <mergeCell ref="X529:X531"/>
    <mergeCell ref="Y529:Y531"/>
    <mergeCell ref="Z529:Z531"/>
    <mergeCell ref="AA529:AA531"/>
    <mergeCell ref="P529:P531"/>
    <mergeCell ref="Q529:Q531"/>
    <mergeCell ref="R529:R531"/>
    <mergeCell ref="S529:S531"/>
    <mergeCell ref="T529:T531"/>
    <mergeCell ref="U529:U531"/>
    <mergeCell ref="J529:J531"/>
    <mergeCell ref="K529:K531"/>
    <mergeCell ref="L529:L531"/>
    <mergeCell ref="M529:M531"/>
    <mergeCell ref="N529:N531"/>
    <mergeCell ref="O529:O531"/>
    <mergeCell ref="AB532:AB534"/>
    <mergeCell ref="A529:A531"/>
    <mergeCell ref="B529:B531"/>
    <mergeCell ref="C529:C531"/>
    <mergeCell ref="D529:D531"/>
    <mergeCell ref="E529:E531"/>
    <mergeCell ref="F529:F531"/>
    <mergeCell ref="G529:G531"/>
    <mergeCell ref="H529:H531"/>
    <mergeCell ref="I529:I531"/>
    <mergeCell ref="V526:V528"/>
    <mergeCell ref="W526:W528"/>
    <mergeCell ref="X526:X528"/>
    <mergeCell ref="Y526:Y528"/>
    <mergeCell ref="Z526:Z528"/>
    <mergeCell ref="AA526:AA528"/>
    <mergeCell ref="P526:P528"/>
    <mergeCell ref="Q526:Q528"/>
    <mergeCell ref="R526:R528"/>
    <mergeCell ref="S526:S528"/>
    <mergeCell ref="T526:T528"/>
    <mergeCell ref="U526:U528"/>
    <mergeCell ref="J526:J528"/>
    <mergeCell ref="K526:K528"/>
    <mergeCell ref="L526:L528"/>
    <mergeCell ref="M526:M528"/>
    <mergeCell ref="N526:N528"/>
    <mergeCell ref="O526:O528"/>
    <mergeCell ref="AB523:AB525"/>
    <mergeCell ref="A526:A528"/>
    <mergeCell ref="B526:B528"/>
    <mergeCell ref="C526:C528"/>
    <mergeCell ref="D526:D528"/>
    <mergeCell ref="E526:E528"/>
    <mergeCell ref="F526:F528"/>
    <mergeCell ref="G526:G528"/>
    <mergeCell ref="H526:H528"/>
    <mergeCell ref="I526:I528"/>
    <mergeCell ref="V523:V525"/>
    <mergeCell ref="W523:W525"/>
    <mergeCell ref="X523:X525"/>
    <mergeCell ref="Y523:Y525"/>
    <mergeCell ref="Z523:Z525"/>
    <mergeCell ref="AA523:AA525"/>
    <mergeCell ref="P523:P525"/>
    <mergeCell ref="Q523:Q525"/>
    <mergeCell ref="R523:R525"/>
    <mergeCell ref="S523:S525"/>
    <mergeCell ref="T523:T525"/>
    <mergeCell ref="U523:U525"/>
    <mergeCell ref="J523:J525"/>
    <mergeCell ref="K523:K525"/>
    <mergeCell ref="L523:L525"/>
    <mergeCell ref="M523:M525"/>
    <mergeCell ref="N523:N525"/>
    <mergeCell ref="O523:O525"/>
    <mergeCell ref="AB526:AB528"/>
    <mergeCell ref="A518:AF518"/>
    <mergeCell ref="A523:A525"/>
    <mergeCell ref="B523:B525"/>
    <mergeCell ref="C523:C525"/>
    <mergeCell ref="D523:D525"/>
    <mergeCell ref="E523:E525"/>
    <mergeCell ref="F523:F525"/>
    <mergeCell ref="G523:G525"/>
    <mergeCell ref="H523:H525"/>
    <mergeCell ref="I523:I525"/>
    <mergeCell ref="Y505:Y507"/>
    <mergeCell ref="Z505:Z507"/>
    <mergeCell ref="AA505:AA507"/>
    <mergeCell ref="AB505:AB507"/>
    <mergeCell ref="A515:AF515"/>
    <mergeCell ref="A517:AF517"/>
    <mergeCell ref="S505:S507"/>
    <mergeCell ref="T505:T507"/>
    <mergeCell ref="U505:U507"/>
    <mergeCell ref="V505:V507"/>
    <mergeCell ref="W505:W507"/>
    <mergeCell ref="X505:X507"/>
    <mergeCell ref="M505:M507"/>
    <mergeCell ref="N505:N507"/>
    <mergeCell ref="O505:O507"/>
    <mergeCell ref="P505:P507"/>
    <mergeCell ref="Q505:Q507"/>
    <mergeCell ref="R505:R507"/>
    <mergeCell ref="G505:G507"/>
    <mergeCell ref="H505:H507"/>
    <mergeCell ref="I505:I507"/>
    <mergeCell ref="J505:J507"/>
    <mergeCell ref="K505:K507"/>
    <mergeCell ref="L505:L507"/>
    <mergeCell ref="Y502:Y504"/>
    <mergeCell ref="Z502:Z504"/>
    <mergeCell ref="AA502:AA504"/>
    <mergeCell ref="AB502:AB504"/>
    <mergeCell ref="A505:A507"/>
    <mergeCell ref="B505:B507"/>
    <mergeCell ref="C505:C507"/>
    <mergeCell ref="D505:D507"/>
    <mergeCell ref="E505:E507"/>
    <mergeCell ref="F505:F507"/>
    <mergeCell ref="S502:S504"/>
    <mergeCell ref="T502:T504"/>
    <mergeCell ref="U502:U504"/>
    <mergeCell ref="V502:V504"/>
    <mergeCell ref="W502:W504"/>
    <mergeCell ref="X502:X504"/>
    <mergeCell ref="M502:M504"/>
    <mergeCell ref="N502:N504"/>
    <mergeCell ref="O502:O504"/>
    <mergeCell ref="P502:P504"/>
    <mergeCell ref="Q502:Q504"/>
    <mergeCell ref="R502:R504"/>
    <mergeCell ref="G502:G504"/>
    <mergeCell ref="H502:H504"/>
    <mergeCell ref="I502:I504"/>
    <mergeCell ref="J502:J504"/>
    <mergeCell ref="K502:K504"/>
    <mergeCell ref="L502:L504"/>
    <mergeCell ref="Y499:Y501"/>
    <mergeCell ref="Z499:Z501"/>
    <mergeCell ref="AA499:AA501"/>
    <mergeCell ref="AB499:AB501"/>
    <mergeCell ref="A502:A504"/>
    <mergeCell ref="B502:B504"/>
    <mergeCell ref="C502:C504"/>
    <mergeCell ref="D502:D504"/>
    <mergeCell ref="E502:E504"/>
    <mergeCell ref="F502:F504"/>
    <mergeCell ref="S499:S501"/>
    <mergeCell ref="T499:T501"/>
    <mergeCell ref="U499:U501"/>
    <mergeCell ref="V499:V501"/>
    <mergeCell ref="W499:W501"/>
    <mergeCell ref="X499:X501"/>
    <mergeCell ref="M499:M501"/>
    <mergeCell ref="N499:N501"/>
    <mergeCell ref="O499:O501"/>
    <mergeCell ref="P499:P501"/>
    <mergeCell ref="Q499:Q501"/>
    <mergeCell ref="R499:R501"/>
    <mergeCell ref="G499:G501"/>
    <mergeCell ref="H499:H501"/>
    <mergeCell ref="I499:I501"/>
    <mergeCell ref="J499:J501"/>
    <mergeCell ref="K499:K501"/>
    <mergeCell ref="L499:L501"/>
    <mergeCell ref="A499:A501"/>
    <mergeCell ref="B499:B501"/>
    <mergeCell ref="C499:C501"/>
    <mergeCell ref="D499:D501"/>
    <mergeCell ref="E499:E501"/>
    <mergeCell ref="F499:F501"/>
    <mergeCell ref="S496:S498"/>
    <mergeCell ref="T496:T498"/>
    <mergeCell ref="U496:U498"/>
    <mergeCell ref="V496:V498"/>
    <mergeCell ref="W496:W498"/>
    <mergeCell ref="X496:X498"/>
    <mergeCell ref="M496:M498"/>
    <mergeCell ref="N496:N498"/>
    <mergeCell ref="O496:O498"/>
    <mergeCell ref="P496:P498"/>
    <mergeCell ref="Q496:Q498"/>
    <mergeCell ref="R496:R498"/>
    <mergeCell ref="G496:G498"/>
    <mergeCell ref="H496:H498"/>
    <mergeCell ref="I496:I498"/>
    <mergeCell ref="J496:J498"/>
    <mergeCell ref="K496:K498"/>
    <mergeCell ref="L496:L498"/>
    <mergeCell ref="Y493:Y495"/>
    <mergeCell ref="Z493:Z495"/>
    <mergeCell ref="AA493:AA495"/>
    <mergeCell ref="AB493:AB495"/>
    <mergeCell ref="A496:A498"/>
    <mergeCell ref="B496:B498"/>
    <mergeCell ref="C496:C498"/>
    <mergeCell ref="D496:D498"/>
    <mergeCell ref="E496:E498"/>
    <mergeCell ref="F496:F498"/>
    <mergeCell ref="S493:S495"/>
    <mergeCell ref="T493:T495"/>
    <mergeCell ref="U493:U495"/>
    <mergeCell ref="V493:V495"/>
    <mergeCell ref="W493:W495"/>
    <mergeCell ref="X493:X495"/>
    <mergeCell ref="M493:M495"/>
    <mergeCell ref="N493:N495"/>
    <mergeCell ref="O493:O495"/>
    <mergeCell ref="P493:P495"/>
    <mergeCell ref="Q493:Q495"/>
    <mergeCell ref="R493:R495"/>
    <mergeCell ref="G493:G495"/>
    <mergeCell ref="H493:H495"/>
    <mergeCell ref="I493:I495"/>
    <mergeCell ref="J493:J495"/>
    <mergeCell ref="K493:K495"/>
    <mergeCell ref="L493:L495"/>
    <mergeCell ref="Y496:Y498"/>
    <mergeCell ref="Z496:Z498"/>
    <mergeCell ref="AA496:AA498"/>
    <mergeCell ref="AB496:AB498"/>
    <mergeCell ref="A493:A495"/>
    <mergeCell ref="B493:B495"/>
    <mergeCell ref="C493:C495"/>
    <mergeCell ref="D493:D495"/>
    <mergeCell ref="E493:E495"/>
    <mergeCell ref="F493:F495"/>
    <mergeCell ref="S490:S492"/>
    <mergeCell ref="T490:T492"/>
    <mergeCell ref="U490:U492"/>
    <mergeCell ref="V490:V492"/>
    <mergeCell ref="W490:W492"/>
    <mergeCell ref="X490:X492"/>
    <mergeCell ref="M490:M492"/>
    <mergeCell ref="N490:N492"/>
    <mergeCell ref="O490:O492"/>
    <mergeCell ref="P490:P492"/>
    <mergeCell ref="Q490:Q492"/>
    <mergeCell ref="R490:R492"/>
    <mergeCell ref="G490:G492"/>
    <mergeCell ref="H490:H492"/>
    <mergeCell ref="I490:I492"/>
    <mergeCell ref="J490:J492"/>
    <mergeCell ref="K490:K492"/>
    <mergeCell ref="L490:L492"/>
    <mergeCell ref="A482:AF482"/>
    <mergeCell ref="A484:AF484"/>
    <mergeCell ref="A485:AF485"/>
    <mergeCell ref="A490:A492"/>
    <mergeCell ref="B490:B492"/>
    <mergeCell ref="C490:C492"/>
    <mergeCell ref="D490:D492"/>
    <mergeCell ref="E490:E492"/>
    <mergeCell ref="F490:F492"/>
    <mergeCell ref="V473:V475"/>
    <mergeCell ref="W473:W475"/>
    <mergeCell ref="X473:X475"/>
    <mergeCell ref="Y473:Y475"/>
    <mergeCell ref="Z473:Z475"/>
    <mergeCell ref="AA473:AA475"/>
    <mergeCell ref="P473:P475"/>
    <mergeCell ref="Q473:Q475"/>
    <mergeCell ref="R473:R475"/>
    <mergeCell ref="S473:S475"/>
    <mergeCell ref="T473:T475"/>
    <mergeCell ref="U473:U475"/>
    <mergeCell ref="J473:J475"/>
    <mergeCell ref="K473:K475"/>
    <mergeCell ref="L473:L475"/>
    <mergeCell ref="M473:M475"/>
    <mergeCell ref="N473:N475"/>
    <mergeCell ref="O473:O475"/>
    <mergeCell ref="Y490:Y492"/>
    <mergeCell ref="Z490:Z492"/>
    <mergeCell ref="AA490:AA492"/>
    <mergeCell ref="AB490:AB492"/>
    <mergeCell ref="AB470:AB472"/>
    <mergeCell ref="A473:A475"/>
    <mergeCell ref="B473:B475"/>
    <mergeCell ref="C473:C475"/>
    <mergeCell ref="D473:D475"/>
    <mergeCell ref="E473:E475"/>
    <mergeCell ref="F473:F475"/>
    <mergeCell ref="G473:G475"/>
    <mergeCell ref="H473:H475"/>
    <mergeCell ref="I473:I475"/>
    <mergeCell ref="V470:V472"/>
    <mergeCell ref="W470:W472"/>
    <mergeCell ref="X470:X472"/>
    <mergeCell ref="Y470:Y472"/>
    <mergeCell ref="Z470:Z472"/>
    <mergeCell ref="AA470:AA472"/>
    <mergeCell ref="P470:P472"/>
    <mergeCell ref="Q470:Q472"/>
    <mergeCell ref="R470:R472"/>
    <mergeCell ref="S470:S472"/>
    <mergeCell ref="T470:T472"/>
    <mergeCell ref="U470:U472"/>
    <mergeCell ref="J470:J472"/>
    <mergeCell ref="K470:K472"/>
    <mergeCell ref="L470:L472"/>
    <mergeCell ref="M470:M472"/>
    <mergeCell ref="N470:N472"/>
    <mergeCell ref="O470:O472"/>
    <mergeCell ref="AB473:AB475"/>
    <mergeCell ref="A470:A472"/>
    <mergeCell ref="B470:B472"/>
    <mergeCell ref="C470:C472"/>
    <mergeCell ref="D470:D472"/>
    <mergeCell ref="E470:E472"/>
    <mergeCell ref="F470:F472"/>
    <mergeCell ref="G470:G472"/>
    <mergeCell ref="H470:H472"/>
    <mergeCell ref="I470:I472"/>
    <mergeCell ref="V467:V469"/>
    <mergeCell ref="W467:W469"/>
    <mergeCell ref="X467:X469"/>
    <mergeCell ref="Y467:Y469"/>
    <mergeCell ref="Z467:Z469"/>
    <mergeCell ref="AA467:AA469"/>
    <mergeCell ref="P467:P469"/>
    <mergeCell ref="Q467:Q469"/>
    <mergeCell ref="R467:R469"/>
    <mergeCell ref="S467:S469"/>
    <mergeCell ref="T467:T469"/>
    <mergeCell ref="U467:U469"/>
    <mergeCell ref="J467:J469"/>
    <mergeCell ref="K467:K469"/>
    <mergeCell ref="L467:L469"/>
    <mergeCell ref="M467:M469"/>
    <mergeCell ref="N467:N469"/>
    <mergeCell ref="O467:O469"/>
    <mergeCell ref="AB464:AB466"/>
    <mergeCell ref="A467:A469"/>
    <mergeCell ref="B467:B469"/>
    <mergeCell ref="C467:C469"/>
    <mergeCell ref="D467:D469"/>
    <mergeCell ref="E467:E469"/>
    <mergeCell ref="F467:F469"/>
    <mergeCell ref="G467:G469"/>
    <mergeCell ref="H467:H469"/>
    <mergeCell ref="I467:I469"/>
    <mergeCell ref="V464:V466"/>
    <mergeCell ref="W464:W466"/>
    <mergeCell ref="X464:X466"/>
    <mergeCell ref="Y464:Y466"/>
    <mergeCell ref="Z464:Z466"/>
    <mergeCell ref="AA464:AA466"/>
    <mergeCell ref="P464:P466"/>
    <mergeCell ref="Q464:Q466"/>
    <mergeCell ref="R464:R466"/>
    <mergeCell ref="S464:S466"/>
    <mergeCell ref="T464:T466"/>
    <mergeCell ref="U464:U466"/>
    <mergeCell ref="J464:J466"/>
    <mergeCell ref="K464:K466"/>
    <mergeCell ref="L464:L466"/>
    <mergeCell ref="M464:M466"/>
    <mergeCell ref="N464:N466"/>
    <mergeCell ref="O464:O466"/>
    <mergeCell ref="AB467:AB469"/>
    <mergeCell ref="A464:A466"/>
    <mergeCell ref="B464:B466"/>
    <mergeCell ref="C464:C466"/>
    <mergeCell ref="D464:D466"/>
    <mergeCell ref="E464:E466"/>
    <mergeCell ref="F464:F466"/>
    <mergeCell ref="G464:G466"/>
    <mergeCell ref="H464:H466"/>
    <mergeCell ref="I464:I466"/>
    <mergeCell ref="V461:V463"/>
    <mergeCell ref="W461:W463"/>
    <mergeCell ref="X461:X463"/>
    <mergeCell ref="Y461:Y463"/>
    <mergeCell ref="Z461:Z463"/>
    <mergeCell ref="AA461:AA463"/>
    <mergeCell ref="P461:P463"/>
    <mergeCell ref="Q461:Q463"/>
    <mergeCell ref="R461:R463"/>
    <mergeCell ref="S461:S463"/>
    <mergeCell ref="T461:T463"/>
    <mergeCell ref="U461:U463"/>
    <mergeCell ref="J461:J463"/>
    <mergeCell ref="K461:K463"/>
    <mergeCell ref="L461:L463"/>
    <mergeCell ref="M461:M463"/>
    <mergeCell ref="N461:N463"/>
    <mergeCell ref="O461:O463"/>
    <mergeCell ref="AB458:AB460"/>
    <mergeCell ref="A461:A463"/>
    <mergeCell ref="B461:B463"/>
    <mergeCell ref="C461:C463"/>
    <mergeCell ref="D461:D463"/>
    <mergeCell ref="E461:E463"/>
    <mergeCell ref="F461:F463"/>
    <mergeCell ref="G461:G463"/>
    <mergeCell ref="H461:H463"/>
    <mergeCell ref="I461:I463"/>
    <mergeCell ref="V458:V460"/>
    <mergeCell ref="W458:W460"/>
    <mergeCell ref="X458:X460"/>
    <mergeCell ref="Y458:Y460"/>
    <mergeCell ref="Z458:Z460"/>
    <mergeCell ref="AA458:AA460"/>
    <mergeCell ref="P458:P460"/>
    <mergeCell ref="Q458:Q460"/>
    <mergeCell ref="R458:R460"/>
    <mergeCell ref="S458:S460"/>
    <mergeCell ref="T458:T460"/>
    <mergeCell ref="U458:U460"/>
    <mergeCell ref="J458:J460"/>
    <mergeCell ref="K458:K460"/>
    <mergeCell ref="L458:L460"/>
    <mergeCell ref="M458:M460"/>
    <mergeCell ref="N458:N460"/>
    <mergeCell ref="O458:O460"/>
    <mergeCell ref="AB461:AB463"/>
    <mergeCell ref="A453:AF453"/>
    <mergeCell ref="A458:A460"/>
    <mergeCell ref="B458:B460"/>
    <mergeCell ref="C458:C460"/>
    <mergeCell ref="D458:D460"/>
    <mergeCell ref="E458:E460"/>
    <mergeCell ref="F458:F460"/>
    <mergeCell ref="G458:G460"/>
    <mergeCell ref="H458:H460"/>
    <mergeCell ref="I458:I460"/>
    <mergeCell ref="Y441:Y443"/>
    <mergeCell ref="Z441:Z443"/>
    <mergeCell ref="AA441:AA443"/>
    <mergeCell ref="AB441:AB443"/>
    <mergeCell ref="A450:AF450"/>
    <mergeCell ref="A452:AF452"/>
    <mergeCell ref="S441:S443"/>
    <mergeCell ref="T441:T443"/>
    <mergeCell ref="U441:U443"/>
    <mergeCell ref="V441:V443"/>
    <mergeCell ref="W441:W443"/>
    <mergeCell ref="X441:X443"/>
    <mergeCell ref="M441:M443"/>
    <mergeCell ref="N441:N443"/>
    <mergeCell ref="O441:O443"/>
    <mergeCell ref="P441:P443"/>
    <mergeCell ref="Q441:Q443"/>
    <mergeCell ref="R441:R443"/>
    <mergeCell ref="G441:G443"/>
    <mergeCell ref="H441:H443"/>
    <mergeCell ref="I441:I443"/>
    <mergeCell ref="J441:J443"/>
    <mergeCell ref="K441:K443"/>
    <mergeCell ref="L441:L443"/>
    <mergeCell ref="Y438:Y440"/>
    <mergeCell ref="Z438:Z440"/>
    <mergeCell ref="AA438:AA440"/>
    <mergeCell ref="AB438:AB440"/>
    <mergeCell ref="A441:A443"/>
    <mergeCell ref="B441:B443"/>
    <mergeCell ref="C441:C443"/>
    <mergeCell ref="D441:D443"/>
    <mergeCell ref="E441:E443"/>
    <mergeCell ref="F441:F443"/>
    <mergeCell ref="S438:S440"/>
    <mergeCell ref="T438:T440"/>
    <mergeCell ref="U438:U440"/>
    <mergeCell ref="V438:V440"/>
    <mergeCell ref="W438:W440"/>
    <mergeCell ref="X438:X440"/>
    <mergeCell ref="M438:M440"/>
    <mergeCell ref="N438:N440"/>
    <mergeCell ref="O438:O440"/>
    <mergeCell ref="P438:P440"/>
    <mergeCell ref="Q438:Q440"/>
    <mergeCell ref="R438:R440"/>
    <mergeCell ref="G438:G440"/>
    <mergeCell ref="H438:H440"/>
    <mergeCell ref="I438:I440"/>
    <mergeCell ref="J438:J440"/>
    <mergeCell ref="K438:K440"/>
    <mergeCell ref="L438:L440"/>
    <mergeCell ref="Y435:Y437"/>
    <mergeCell ref="Z435:Z437"/>
    <mergeCell ref="AA435:AA437"/>
    <mergeCell ref="AB435:AB437"/>
    <mergeCell ref="A438:A440"/>
    <mergeCell ref="B438:B440"/>
    <mergeCell ref="C438:C440"/>
    <mergeCell ref="D438:D440"/>
    <mergeCell ref="E438:E440"/>
    <mergeCell ref="F438:F440"/>
    <mergeCell ref="S435:S437"/>
    <mergeCell ref="T435:T437"/>
    <mergeCell ref="U435:U437"/>
    <mergeCell ref="V435:V437"/>
    <mergeCell ref="W435:W437"/>
    <mergeCell ref="X435:X437"/>
    <mergeCell ref="M435:M437"/>
    <mergeCell ref="N435:N437"/>
    <mergeCell ref="O435:O437"/>
    <mergeCell ref="P435:P437"/>
    <mergeCell ref="Q435:Q437"/>
    <mergeCell ref="R435:R437"/>
    <mergeCell ref="G435:G437"/>
    <mergeCell ref="H435:H437"/>
    <mergeCell ref="I435:I437"/>
    <mergeCell ref="J435:J437"/>
    <mergeCell ref="K435:K437"/>
    <mergeCell ref="L435:L437"/>
    <mergeCell ref="A435:A437"/>
    <mergeCell ref="B435:B437"/>
    <mergeCell ref="C435:C437"/>
    <mergeCell ref="D435:D437"/>
    <mergeCell ref="E435:E437"/>
    <mergeCell ref="F435:F437"/>
    <mergeCell ref="S432:S434"/>
    <mergeCell ref="T432:T434"/>
    <mergeCell ref="U432:U434"/>
    <mergeCell ref="V432:V434"/>
    <mergeCell ref="W432:W434"/>
    <mergeCell ref="X432:X434"/>
    <mergeCell ref="M432:M434"/>
    <mergeCell ref="N432:N434"/>
    <mergeCell ref="O432:O434"/>
    <mergeCell ref="P432:P434"/>
    <mergeCell ref="Q432:Q434"/>
    <mergeCell ref="R432:R434"/>
    <mergeCell ref="G432:G434"/>
    <mergeCell ref="H432:H434"/>
    <mergeCell ref="I432:I434"/>
    <mergeCell ref="J432:J434"/>
    <mergeCell ref="K432:K434"/>
    <mergeCell ref="L432:L434"/>
    <mergeCell ref="Y429:Y431"/>
    <mergeCell ref="Z429:Z431"/>
    <mergeCell ref="AA429:AA431"/>
    <mergeCell ref="AB429:AB431"/>
    <mergeCell ref="A432:A434"/>
    <mergeCell ref="B432:B434"/>
    <mergeCell ref="C432:C434"/>
    <mergeCell ref="D432:D434"/>
    <mergeCell ref="E432:E434"/>
    <mergeCell ref="F432:F434"/>
    <mergeCell ref="S429:S431"/>
    <mergeCell ref="T429:T431"/>
    <mergeCell ref="U429:U431"/>
    <mergeCell ref="V429:V431"/>
    <mergeCell ref="W429:W431"/>
    <mergeCell ref="X429:X431"/>
    <mergeCell ref="M429:M431"/>
    <mergeCell ref="N429:N431"/>
    <mergeCell ref="O429:O431"/>
    <mergeCell ref="P429:P431"/>
    <mergeCell ref="Q429:Q431"/>
    <mergeCell ref="R429:R431"/>
    <mergeCell ref="G429:G431"/>
    <mergeCell ref="H429:H431"/>
    <mergeCell ref="I429:I431"/>
    <mergeCell ref="J429:J431"/>
    <mergeCell ref="K429:K431"/>
    <mergeCell ref="L429:L431"/>
    <mergeCell ref="Y432:Y434"/>
    <mergeCell ref="Z432:Z434"/>
    <mergeCell ref="AA432:AA434"/>
    <mergeCell ref="AB432:AB434"/>
    <mergeCell ref="A429:A431"/>
    <mergeCell ref="B429:B431"/>
    <mergeCell ref="C429:C431"/>
    <mergeCell ref="D429:D431"/>
    <mergeCell ref="E429:E431"/>
    <mergeCell ref="F429:F431"/>
    <mergeCell ref="S426:S428"/>
    <mergeCell ref="T426:T428"/>
    <mergeCell ref="U426:U428"/>
    <mergeCell ref="V426:V428"/>
    <mergeCell ref="W426:W428"/>
    <mergeCell ref="X426:X428"/>
    <mergeCell ref="M426:M428"/>
    <mergeCell ref="N426:N428"/>
    <mergeCell ref="O426:O428"/>
    <mergeCell ref="P426:P428"/>
    <mergeCell ref="Q426:Q428"/>
    <mergeCell ref="R426:R428"/>
    <mergeCell ref="G426:G428"/>
    <mergeCell ref="H426:H428"/>
    <mergeCell ref="I426:I428"/>
    <mergeCell ref="J426:J428"/>
    <mergeCell ref="K426:K428"/>
    <mergeCell ref="L426:L428"/>
    <mergeCell ref="A418:AF418"/>
    <mergeCell ref="A420:AF420"/>
    <mergeCell ref="A421:AF421"/>
    <mergeCell ref="A426:A428"/>
    <mergeCell ref="B426:B428"/>
    <mergeCell ref="C426:C428"/>
    <mergeCell ref="D426:D428"/>
    <mergeCell ref="E426:E428"/>
    <mergeCell ref="F426:F428"/>
    <mergeCell ref="V409:V411"/>
    <mergeCell ref="W409:W411"/>
    <mergeCell ref="X409:X411"/>
    <mergeCell ref="Y409:Y411"/>
    <mergeCell ref="Z409:Z411"/>
    <mergeCell ref="AA409:AA411"/>
    <mergeCell ref="P409:P411"/>
    <mergeCell ref="Q409:Q411"/>
    <mergeCell ref="R409:R411"/>
    <mergeCell ref="S409:S411"/>
    <mergeCell ref="T409:T411"/>
    <mergeCell ref="U409:U411"/>
    <mergeCell ref="J409:J411"/>
    <mergeCell ref="K409:K411"/>
    <mergeCell ref="L409:L411"/>
    <mergeCell ref="M409:M411"/>
    <mergeCell ref="N409:N411"/>
    <mergeCell ref="O409:O411"/>
    <mergeCell ref="Y426:Y428"/>
    <mergeCell ref="Z426:Z428"/>
    <mergeCell ref="AA426:AA428"/>
    <mergeCell ref="AB426:AB428"/>
    <mergeCell ref="AB406:AB408"/>
    <mergeCell ref="A409:A411"/>
    <mergeCell ref="B409:B411"/>
    <mergeCell ref="C409:C411"/>
    <mergeCell ref="D409:D411"/>
    <mergeCell ref="E409:E411"/>
    <mergeCell ref="F409:F411"/>
    <mergeCell ref="G409:G411"/>
    <mergeCell ref="H409:H411"/>
    <mergeCell ref="I409:I411"/>
    <mergeCell ref="V406:V408"/>
    <mergeCell ref="W406:W408"/>
    <mergeCell ref="X406:X408"/>
    <mergeCell ref="Y406:Y408"/>
    <mergeCell ref="Z406:Z408"/>
    <mergeCell ref="AA406:AA408"/>
    <mergeCell ref="P406:P408"/>
    <mergeCell ref="Q406:Q408"/>
    <mergeCell ref="R406:R408"/>
    <mergeCell ref="S406:S408"/>
    <mergeCell ref="T406:T408"/>
    <mergeCell ref="U406:U408"/>
    <mergeCell ref="J406:J408"/>
    <mergeCell ref="K406:K408"/>
    <mergeCell ref="L406:L408"/>
    <mergeCell ref="M406:M408"/>
    <mergeCell ref="N406:N408"/>
    <mergeCell ref="O406:O408"/>
    <mergeCell ref="AB409:AB411"/>
    <mergeCell ref="A406:A408"/>
    <mergeCell ref="B406:B408"/>
    <mergeCell ref="C406:C408"/>
    <mergeCell ref="D406:D408"/>
    <mergeCell ref="E406:E408"/>
    <mergeCell ref="F406:F408"/>
    <mergeCell ref="G406:G408"/>
    <mergeCell ref="H406:H408"/>
    <mergeCell ref="I406:I408"/>
    <mergeCell ref="V403:V405"/>
    <mergeCell ref="W403:W405"/>
    <mergeCell ref="X403:X405"/>
    <mergeCell ref="Y403:Y405"/>
    <mergeCell ref="Z403:Z405"/>
    <mergeCell ref="AA403:AA405"/>
    <mergeCell ref="P403:P405"/>
    <mergeCell ref="Q403:Q405"/>
    <mergeCell ref="R403:R405"/>
    <mergeCell ref="S403:S405"/>
    <mergeCell ref="T403:T405"/>
    <mergeCell ref="U403:U405"/>
    <mergeCell ref="J403:J405"/>
    <mergeCell ref="K403:K405"/>
    <mergeCell ref="L403:L405"/>
    <mergeCell ref="M403:M405"/>
    <mergeCell ref="N403:N405"/>
    <mergeCell ref="O403:O405"/>
    <mergeCell ref="AB400:AB402"/>
    <mergeCell ref="A403:A405"/>
    <mergeCell ref="B403:B405"/>
    <mergeCell ref="C403:C405"/>
    <mergeCell ref="D403:D405"/>
    <mergeCell ref="E403:E405"/>
    <mergeCell ref="F403:F405"/>
    <mergeCell ref="G403:G405"/>
    <mergeCell ref="H403:H405"/>
    <mergeCell ref="I403:I405"/>
    <mergeCell ref="V400:V402"/>
    <mergeCell ref="W400:W402"/>
    <mergeCell ref="X400:X402"/>
    <mergeCell ref="Y400:Y402"/>
    <mergeCell ref="Z400:Z402"/>
    <mergeCell ref="AA400:AA402"/>
    <mergeCell ref="P400:P402"/>
    <mergeCell ref="Q400:Q402"/>
    <mergeCell ref="R400:R402"/>
    <mergeCell ref="S400:S402"/>
    <mergeCell ref="T400:T402"/>
    <mergeCell ref="U400:U402"/>
    <mergeCell ref="J400:J402"/>
    <mergeCell ref="K400:K402"/>
    <mergeCell ref="L400:L402"/>
    <mergeCell ref="M400:M402"/>
    <mergeCell ref="N400:N402"/>
    <mergeCell ref="O400:O402"/>
    <mergeCell ref="AB403:AB405"/>
    <mergeCell ref="A400:A402"/>
    <mergeCell ref="B400:B402"/>
    <mergeCell ref="C400:C402"/>
    <mergeCell ref="D400:D402"/>
    <mergeCell ref="E400:E402"/>
    <mergeCell ref="F400:F402"/>
    <mergeCell ref="G400:G402"/>
    <mergeCell ref="H400:H402"/>
    <mergeCell ref="I400:I402"/>
    <mergeCell ref="V397:V399"/>
    <mergeCell ref="W397:W399"/>
    <mergeCell ref="X397:X399"/>
    <mergeCell ref="Y397:Y399"/>
    <mergeCell ref="Z397:Z399"/>
    <mergeCell ref="AA397:AA399"/>
    <mergeCell ref="P397:P399"/>
    <mergeCell ref="Q397:Q399"/>
    <mergeCell ref="R397:R399"/>
    <mergeCell ref="S397:S399"/>
    <mergeCell ref="T397:T399"/>
    <mergeCell ref="U397:U399"/>
    <mergeCell ref="J397:J399"/>
    <mergeCell ref="K397:K399"/>
    <mergeCell ref="L397:L399"/>
    <mergeCell ref="M397:M399"/>
    <mergeCell ref="N397:N399"/>
    <mergeCell ref="O397:O399"/>
    <mergeCell ref="AB394:AB396"/>
    <mergeCell ref="A397:A399"/>
    <mergeCell ref="B397:B399"/>
    <mergeCell ref="C397:C399"/>
    <mergeCell ref="D397:D399"/>
    <mergeCell ref="E397:E399"/>
    <mergeCell ref="F397:F399"/>
    <mergeCell ref="G397:G399"/>
    <mergeCell ref="H397:H399"/>
    <mergeCell ref="I397:I399"/>
    <mergeCell ref="V394:V396"/>
    <mergeCell ref="W394:W396"/>
    <mergeCell ref="X394:X396"/>
    <mergeCell ref="Y394:Y396"/>
    <mergeCell ref="Z394:Z396"/>
    <mergeCell ref="AA394:AA396"/>
    <mergeCell ref="P394:P396"/>
    <mergeCell ref="Q394:Q396"/>
    <mergeCell ref="R394:R396"/>
    <mergeCell ref="S394:S396"/>
    <mergeCell ref="T394:T396"/>
    <mergeCell ref="U394:U396"/>
    <mergeCell ref="J394:J396"/>
    <mergeCell ref="K394:K396"/>
    <mergeCell ref="L394:L396"/>
    <mergeCell ref="M394:M396"/>
    <mergeCell ref="N394:N396"/>
    <mergeCell ref="O394:O396"/>
    <mergeCell ref="AB397:AB399"/>
    <mergeCell ref="A389:AF389"/>
    <mergeCell ref="A394:A396"/>
    <mergeCell ref="B394:B396"/>
    <mergeCell ref="C394:C396"/>
    <mergeCell ref="D394:D396"/>
    <mergeCell ref="E394:E396"/>
    <mergeCell ref="F394:F396"/>
    <mergeCell ref="G394:G396"/>
    <mergeCell ref="H394:H396"/>
    <mergeCell ref="I394:I396"/>
    <mergeCell ref="Y377:Y379"/>
    <mergeCell ref="Z377:Z379"/>
    <mergeCell ref="AA377:AA379"/>
    <mergeCell ref="AB377:AB379"/>
    <mergeCell ref="A386:AF386"/>
    <mergeCell ref="A388:AF388"/>
    <mergeCell ref="S377:S379"/>
    <mergeCell ref="T377:T379"/>
    <mergeCell ref="U377:U379"/>
    <mergeCell ref="V377:V379"/>
    <mergeCell ref="W377:W379"/>
    <mergeCell ref="X377:X379"/>
    <mergeCell ref="M377:M379"/>
    <mergeCell ref="N377:N379"/>
    <mergeCell ref="O377:O379"/>
    <mergeCell ref="P377:P379"/>
    <mergeCell ref="Q377:Q379"/>
    <mergeCell ref="R377:R379"/>
    <mergeCell ref="G377:G379"/>
    <mergeCell ref="H377:H379"/>
    <mergeCell ref="I377:I379"/>
    <mergeCell ref="J377:J379"/>
    <mergeCell ref="K377:K379"/>
    <mergeCell ref="L377:L379"/>
    <mergeCell ref="Y374:Y376"/>
    <mergeCell ref="Z374:Z376"/>
    <mergeCell ref="AA374:AA376"/>
    <mergeCell ref="AB374:AB376"/>
    <mergeCell ref="A377:A379"/>
    <mergeCell ref="B377:B379"/>
    <mergeCell ref="C377:C379"/>
    <mergeCell ref="D377:D379"/>
    <mergeCell ref="E377:E379"/>
    <mergeCell ref="F377:F379"/>
    <mergeCell ref="S374:S376"/>
    <mergeCell ref="T374:T376"/>
    <mergeCell ref="U374:U376"/>
    <mergeCell ref="V374:V376"/>
    <mergeCell ref="W374:W376"/>
    <mergeCell ref="X374:X376"/>
    <mergeCell ref="M374:M376"/>
    <mergeCell ref="N374:N376"/>
    <mergeCell ref="O374:O376"/>
    <mergeCell ref="P374:P376"/>
    <mergeCell ref="Q374:Q376"/>
    <mergeCell ref="R374:R376"/>
    <mergeCell ref="G374:G376"/>
    <mergeCell ref="H374:H376"/>
    <mergeCell ref="I374:I376"/>
    <mergeCell ref="J374:J376"/>
    <mergeCell ref="K374:K376"/>
    <mergeCell ref="L374:L376"/>
    <mergeCell ref="Y371:Y373"/>
    <mergeCell ref="Z371:Z373"/>
    <mergeCell ref="AA371:AA373"/>
    <mergeCell ref="AB371:AB373"/>
    <mergeCell ref="A374:A376"/>
    <mergeCell ref="B374:B376"/>
    <mergeCell ref="C374:C376"/>
    <mergeCell ref="D374:D376"/>
    <mergeCell ref="E374:E376"/>
    <mergeCell ref="F374:F376"/>
    <mergeCell ref="S371:S373"/>
    <mergeCell ref="T371:T373"/>
    <mergeCell ref="U371:U373"/>
    <mergeCell ref="V371:V373"/>
    <mergeCell ref="W371:W373"/>
    <mergeCell ref="X371:X373"/>
    <mergeCell ref="M371:M373"/>
    <mergeCell ref="N371:N373"/>
    <mergeCell ref="O371:O373"/>
    <mergeCell ref="P371:P373"/>
    <mergeCell ref="Q371:Q373"/>
    <mergeCell ref="R371:R373"/>
    <mergeCell ref="G371:G373"/>
    <mergeCell ref="H371:H373"/>
    <mergeCell ref="I371:I373"/>
    <mergeCell ref="J371:J373"/>
    <mergeCell ref="K371:K373"/>
    <mergeCell ref="L371:L373"/>
    <mergeCell ref="A371:A373"/>
    <mergeCell ref="B371:B373"/>
    <mergeCell ref="C371:C373"/>
    <mergeCell ref="D371:D373"/>
    <mergeCell ref="E371:E373"/>
    <mergeCell ref="F371:F373"/>
    <mergeCell ref="S368:S370"/>
    <mergeCell ref="T368:T370"/>
    <mergeCell ref="U368:U370"/>
    <mergeCell ref="V368:V370"/>
    <mergeCell ref="W368:W370"/>
    <mergeCell ref="X368:X370"/>
    <mergeCell ref="M368:M370"/>
    <mergeCell ref="N368:N370"/>
    <mergeCell ref="O368:O370"/>
    <mergeCell ref="P368:P370"/>
    <mergeCell ref="Q368:Q370"/>
    <mergeCell ref="R368:R370"/>
    <mergeCell ref="G368:G370"/>
    <mergeCell ref="H368:H370"/>
    <mergeCell ref="I368:I370"/>
    <mergeCell ref="J368:J370"/>
    <mergeCell ref="K368:K370"/>
    <mergeCell ref="L368:L370"/>
    <mergeCell ref="Y365:Y367"/>
    <mergeCell ref="Z365:Z367"/>
    <mergeCell ref="AA365:AA367"/>
    <mergeCell ref="AB365:AB367"/>
    <mergeCell ref="A368:A370"/>
    <mergeCell ref="B368:B370"/>
    <mergeCell ref="C368:C370"/>
    <mergeCell ref="D368:D370"/>
    <mergeCell ref="E368:E370"/>
    <mergeCell ref="F368:F370"/>
    <mergeCell ref="S365:S367"/>
    <mergeCell ref="T365:T367"/>
    <mergeCell ref="U365:U367"/>
    <mergeCell ref="V365:V367"/>
    <mergeCell ref="W365:W367"/>
    <mergeCell ref="X365:X367"/>
    <mergeCell ref="M365:M367"/>
    <mergeCell ref="N365:N367"/>
    <mergeCell ref="O365:O367"/>
    <mergeCell ref="P365:P367"/>
    <mergeCell ref="Q365:Q367"/>
    <mergeCell ref="R365:R367"/>
    <mergeCell ref="G365:G367"/>
    <mergeCell ref="H365:H367"/>
    <mergeCell ref="I365:I367"/>
    <mergeCell ref="J365:J367"/>
    <mergeCell ref="K365:K367"/>
    <mergeCell ref="L365:L367"/>
    <mergeCell ref="Y368:Y370"/>
    <mergeCell ref="Z368:Z370"/>
    <mergeCell ref="AA368:AA370"/>
    <mergeCell ref="AB368:AB370"/>
    <mergeCell ref="A365:A367"/>
    <mergeCell ref="B365:B367"/>
    <mergeCell ref="C365:C367"/>
    <mergeCell ref="D365:D367"/>
    <mergeCell ref="E365:E367"/>
    <mergeCell ref="F365:F367"/>
    <mergeCell ref="S362:S364"/>
    <mergeCell ref="T362:T364"/>
    <mergeCell ref="U362:U364"/>
    <mergeCell ref="V362:V364"/>
    <mergeCell ref="W362:W364"/>
    <mergeCell ref="X362:X364"/>
    <mergeCell ref="M362:M364"/>
    <mergeCell ref="N362:N364"/>
    <mergeCell ref="O362:O364"/>
    <mergeCell ref="P362:P364"/>
    <mergeCell ref="Q362:Q364"/>
    <mergeCell ref="R362:R364"/>
    <mergeCell ref="G362:G364"/>
    <mergeCell ref="H362:H364"/>
    <mergeCell ref="I362:I364"/>
    <mergeCell ref="J362:J364"/>
    <mergeCell ref="K362:K364"/>
    <mergeCell ref="L362:L364"/>
    <mergeCell ref="A354:AF354"/>
    <mergeCell ref="A356:AF356"/>
    <mergeCell ref="A357:AF357"/>
    <mergeCell ref="A362:A364"/>
    <mergeCell ref="B362:B364"/>
    <mergeCell ref="C362:C364"/>
    <mergeCell ref="D362:D364"/>
    <mergeCell ref="E362:E364"/>
    <mergeCell ref="F362:F364"/>
    <mergeCell ref="V345:V347"/>
    <mergeCell ref="W345:W347"/>
    <mergeCell ref="X345:X347"/>
    <mergeCell ref="Y345:Y347"/>
    <mergeCell ref="Z345:Z347"/>
    <mergeCell ref="AA345:AA347"/>
    <mergeCell ref="P345:P347"/>
    <mergeCell ref="Q345:Q347"/>
    <mergeCell ref="R345:R347"/>
    <mergeCell ref="S345:S347"/>
    <mergeCell ref="T345:T347"/>
    <mergeCell ref="U345:U347"/>
    <mergeCell ref="J345:J347"/>
    <mergeCell ref="K345:K347"/>
    <mergeCell ref="L345:L347"/>
    <mergeCell ref="M345:M347"/>
    <mergeCell ref="N345:N347"/>
    <mergeCell ref="O345:O347"/>
    <mergeCell ref="Y362:Y364"/>
    <mergeCell ref="Z362:Z364"/>
    <mergeCell ref="AA362:AA364"/>
    <mergeCell ref="AB362:AB364"/>
    <mergeCell ref="AB342:AB344"/>
    <mergeCell ref="A345:A347"/>
    <mergeCell ref="B345:B347"/>
    <mergeCell ref="C345:C347"/>
    <mergeCell ref="D345:D347"/>
    <mergeCell ref="E345:E347"/>
    <mergeCell ref="F345:F347"/>
    <mergeCell ref="G345:G347"/>
    <mergeCell ref="H345:H347"/>
    <mergeCell ref="I345:I347"/>
    <mergeCell ref="V342:V344"/>
    <mergeCell ref="W342:W344"/>
    <mergeCell ref="X342:X344"/>
    <mergeCell ref="Y342:Y344"/>
    <mergeCell ref="Z342:Z344"/>
    <mergeCell ref="AA342:AA344"/>
    <mergeCell ref="P342:P344"/>
    <mergeCell ref="Q342:Q344"/>
    <mergeCell ref="R342:R344"/>
    <mergeCell ref="S342:S344"/>
    <mergeCell ref="T342:T344"/>
    <mergeCell ref="U342:U344"/>
    <mergeCell ref="J342:J344"/>
    <mergeCell ref="K342:K344"/>
    <mergeCell ref="L342:L344"/>
    <mergeCell ref="M342:M344"/>
    <mergeCell ref="N342:N344"/>
    <mergeCell ref="O342:O344"/>
    <mergeCell ref="AB345:AB347"/>
    <mergeCell ref="A342:A344"/>
    <mergeCell ref="B342:B344"/>
    <mergeCell ref="C342:C344"/>
    <mergeCell ref="D342:D344"/>
    <mergeCell ref="E342:E344"/>
    <mergeCell ref="F342:F344"/>
    <mergeCell ref="G342:G344"/>
    <mergeCell ref="H342:H344"/>
    <mergeCell ref="I342:I344"/>
    <mergeCell ref="V339:V341"/>
    <mergeCell ref="W339:W341"/>
    <mergeCell ref="X339:X341"/>
    <mergeCell ref="Y339:Y341"/>
    <mergeCell ref="Z339:Z341"/>
    <mergeCell ref="AA339:AA341"/>
    <mergeCell ref="P339:P341"/>
    <mergeCell ref="Q339:Q341"/>
    <mergeCell ref="R339:R341"/>
    <mergeCell ref="S339:S341"/>
    <mergeCell ref="T339:T341"/>
    <mergeCell ref="U339:U341"/>
    <mergeCell ref="J339:J341"/>
    <mergeCell ref="K339:K341"/>
    <mergeCell ref="L339:L341"/>
    <mergeCell ref="M339:M341"/>
    <mergeCell ref="N339:N341"/>
    <mergeCell ref="O339:O341"/>
    <mergeCell ref="AB336:AB338"/>
    <mergeCell ref="A339:A341"/>
    <mergeCell ref="B339:B341"/>
    <mergeCell ref="C339:C341"/>
    <mergeCell ref="D339:D341"/>
    <mergeCell ref="E339:E341"/>
    <mergeCell ref="F339:F341"/>
    <mergeCell ref="G339:G341"/>
    <mergeCell ref="H339:H341"/>
    <mergeCell ref="I339:I341"/>
    <mergeCell ref="V336:V338"/>
    <mergeCell ref="W336:W338"/>
    <mergeCell ref="X336:X338"/>
    <mergeCell ref="Y336:Y338"/>
    <mergeCell ref="Z336:Z338"/>
    <mergeCell ref="AA336:AA338"/>
    <mergeCell ref="P336:P338"/>
    <mergeCell ref="Q336:Q338"/>
    <mergeCell ref="R336:R338"/>
    <mergeCell ref="S336:S338"/>
    <mergeCell ref="T336:T338"/>
    <mergeCell ref="U336:U338"/>
    <mergeCell ref="J336:J338"/>
    <mergeCell ref="K336:K338"/>
    <mergeCell ref="L336:L338"/>
    <mergeCell ref="M336:M338"/>
    <mergeCell ref="N336:N338"/>
    <mergeCell ref="O336:O338"/>
    <mergeCell ref="AB339:AB341"/>
    <mergeCell ref="A336:A338"/>
    <mergeCell ref="B336:B338"/>
    <mergeCell ref="C336:C338"/>
    <mergeCell ref="D336:D338"/>
    <mergeCell ref="E336:E338"/>
    <mergeCell ref="F336:F338"/>
    <mergeCell ref="G336:G338"/>
    <mergeCell ref="H336:H338"/>
    <mergeCell ref="I336:I338"/>
    <mergeCell ref="V333:V335"/>
    <mergeCell ref="W333:W335"/>
    <mergeCell ref="X333:X335"/>
    <mergeCell ref="Y333:Y335"/>
    <mergeCell ref="Z333:Z335"/>
    <mergeCell ref="AA333:AA335"/>
    <mergeCell ref="P333:P335"/>
    <mergeCell ref="Q333:Q335"/>
    <mergeCell ref="R333:R335"/>
    <mergeCell ref="S333:S335"/>
    <mergeCell ref="T333:T335"/>
    <mergeCell ref="U333:U335"/>
    <mergeCell ref="J333:J335"/>
    <mergeCell ref="K333:K335"/>
    <mergeCell ref="L333:L335"/>
    <mergeCell ref="M333:M335"/>
    <mergeCell ref="N333:N335"/>
    <mergeCell ref="O333:O335"/>
    <mergeCell ref="AB330:AB332"/>
    <mergeCell ref="A333:A335"/>
    <mergeCell ref="B333:B335"/>
    <mergeCell ref="C333:C335"/>
    <mergeCell ref="D333:D335"/>
    <mergeCell ref="E333:E335"/>
    <mergeCell ref="F333:F335"/>
    <mergeCell ref="G333:G335"/>
    <mergeCell ref="H333:H335"/>
    <mergeCell ref="I333:I335"/>
    <mergeCell ref="V330:V332"/>
    <mergeCell ref="W330:W332"/>
    <mergeCell ref="X330:X332"/>
    <mergeCell ref="Y330:Y332"/>
    <mergeCell ref="Z330:Z332"/>
    <mergeCell ref="AA330:AA332"/>
    <mergeCell ref="P330:P332"/>
    <mergeCell ref="Q330:Q332"/>
    <mergeCell ref="R330:R332"/>
    <mergeCell ref="S330:S332"/>
    <mergeCell ref="T330:T332"/>
    <mergeCell ref="U330:U332"/>
    <mergeCell ref="J330:J332"/>
    <mergeCell ref="K330:K332"/>
    <mergeCell ref="L330:L332"/>
    <mergeCell ref="M330:M332"/>
    <mergeCell ref="N330:N332"/>
    <mergeCell ref="O330:O332"/>
    <mergeCell ref="AB333:AB335"/>
    <mergeCell ref="A325:AF325"/>
    <mergeCell ref="A330:A332"/>
    <mergeCell ref="B330:B332"/>
    <mergeCell ref="C330:C332"/>
    <mergeCell ref="D330:D332"/>
    <mergeCell ref="E330:E332"/>
    <mergeCell ref="F330:F332"/>
    <mergeCell ref="G330:G332"/>
    <mergeCell ref="H330:H332"/>
    <mergeCell ref="I330:I332"/>
    <mergeCell ref="Y313:Y315"/>
    <mergeCell ref="Z313:Z315"/>
    <mergeCell ref="AA313:AA315"/>
    <mergeCell ref="AB313:AB315"/>
    <mergeCell ref="A322:AF322"/>
    <mergeCell ref="A324:AF324"/>
    <mergeCell ref="S313:S315"/>
    <mergeCell ref="T313:T315"/>
    <mergeCell ref="U313:U315"/>
    <mergeCell ref="V313:V315"/>
    <mergeCell ref="W313:W315"/>
    <mergeCell ref="X313:X315"/>
    <mergeCell ref="M313:M315"/>
    <mergeCell ref="N313:N315"/>
    <mergeCell ref="O313:O315"/>
    <mergeCell ref="P313:P315"/>
    <mergeCell ref="Q313:Q315"/>
    <mergeCell ref="R313:R315"/>
    <mergeCell ref="G313:G315"/>
    <mergeCell ref="H313:H315"/>
    <mergeCell ref="I313:I315"/>
    <mergeCell ref="J313:J315"/>
    <mergeCell ref="K313:K315"/>
    <mergeCell ref="L313:L315"/>
    <mergeCell ref="Y310:Y312"/>
    <mergeCell ref="Z310:Z312"/>
    <mergeCell ref="AA310:AA312"/>
    <mergeCell ref="AB310:AB312"/>
    <mergeCell ref="A313:A315"/>
    <mergeCell ref="B313:B315"/>
    <mergeCell ref="C313:C315"/>
    <mergeCell ref="D313:D315"/>
    <mergeCell ref="E313:E315"/>
    <mergeCell ref="F313:F315"/>
    <mergeCell ref="S310:S312"/>
    <mergeCell ref="T310:T312"/>
    <mergeCell ref="U310:U312"/>
    <mergeCell ref="V310:V312"/>
    <mergeCell ref="W310:W312"/>
    <mergeCell ref="X310:X312"/>
    <mergeCell ref="M310:M312"/>
    <mergeCell ref="N310:N312"/>
    <mergeCell ref="O310:O312"/>
    <mergeCell ref="P310:P312"/>
    <mergeCell ref="Q310:Q312"/>
    <mergeCell ref="R310:R312"/>
    <mergeCell ref="G310:G312"/>
    <mergeCell ref="H310:H312"/>
    <mergeCell ref="I310:I312"/>
    <mergeCell ref="J310:J312"/>
    <mergeCell ref="K310:K312"/>
    <mergeCell ref="L310:L312"/>
    <mergeCell ref="Y307:Y309"/>
    <mergeCell ref="Z307:Z309"/>
    <mergeCell ref="AA307:AA309"/>
    <mergeCell ref="AB307:AB309"/>
    <mergeCell ref="A310:A312"/>
    <mergeCell ref="B310:B312"/>
    <mergeCell ref="C310:C312"/>
    <mergeCell ref="D310:D312"/>
    <mergeCell ref="E310:E312"/>
    <mergeCell ref="F310:F312"/>
    <mergeCell ref="S307:S309"/>
    <mergeCell ref="T307:T309"/>
    <mergeCell ref="U307:U309"/>
    <mergeCell ref="V307:V309"/>
    <mergeCell ref="W307:W309"/>
    <mergeCell ref="X307:X309"/>
    <mergeCell ref="M307:M309"/>
    <mergeCell ref="N307:N309"/>
    <mergeCell ref="O307:O309"/>
    <mergeCell ref="P307:P309"/>
    <mergeCell ref="Q307:Q309"/>
    <mergeCell ref="R307:R309"/>
    <mergeCell ref="G307:G309"/>
    <mergeCell ref="H307:H309"/>
    <mergeCell ref="I307:I309"/>
    <mergeCell ref="J307:J309"/>
    <mergeCell ref="K307:K309"/>
    <mergeCell ref="L307:L309"/>
    <mergeCell ref="A307:A309"/>
    <mergeCell ref="B307:B309"/>
    <mergeCell ref="C307:C309"/>
    <mergeCell ref="D307:D309"/>
    <mergeCell ref="E307:E309"/>
    <mergeCell ref="F307:F309"/>
    <mergeCell ref="S304:S306"/>
    <mergeCell ref="T304:T306"/>
    <mergeCell ref="U304:U306"/>
    <mergeCell ref="V304:V306"/>
    <mergeCell ref="W304:W306"/>
    <mergeCell ref="X304:X306"/>
    <mergeCell ref="M304:M306"/>
    <mergeCell ref="N304:N306"/>
    <mergeCell ref="O304:O306"/>
    <mergeCell ref="P304:P306"/>
    <mergeCell ref="Q304:Q306"/>
    <mergeCell ref="R304:R306"/>
    <mergeCell ref="G304:G306"/>
    <mergeCell ref="H304:H306"/>
    <mergeCell ref="I304:I306"/>
    <mergeCell ref="J304:J306"/>
    <mergeCell ref="K304:K306"/>
    <mergeCell ref="L304:L306"/>
    <mergeCell ref="Y301:Y303"/>
    <mergeCell ref="Z301:Z303"/>
    <mergeCell ref="AA301:AA303"/>
    <mergeCell ref="AB301:AB303"/>
    <mergeCell ref="A304:A306"/>
    <mergeCell ref="B304:B306"/>
    <mergeCell ref="C304:C306"/>
    <mergeCell ref="D304:D306"/>
    <mergeCell ref="E304:E306"/>
    <mergeCell ref="F304:F306"/>
    <mergeCell ref="S301:S303"/>
    <mergeCell ref="T301:T303"/>
    <mergeCell ref="U301:U303"/>
    <mergeCell ref="V301:V303"/>
    <mergeCell ref="W301:W303"/>
    <mergeCell ref="X301:X303"/>
    <mergeCell ref="M301:M303"/>
    <mergeCell ref="N301:N303"/>
    <mergeCell ref="O301:O303"/>
    <mergeCell ref="P301:P303"/>
    <mergeCell ref="Q301:Q303"/>
    <mergeCell ref="R301:R303"/>
    <mergeCell ref="G301:G303"/>
    <mergeCell ref="H301:H303"/>
    <mergeCell ref="I301:I303"/>
    <mergeCell ref="J301:J303"/>
    <mergeCell ref="K301:K303"/>
    <mergeCell ref="L301:L303"/>
    <mergeCell ref="Y304:Y306"/>
    <mergeCell ref="Z304:Z306"/>
    <mergeCell ref="AA304:AA306"/>
    <mergeCell ref="AB304:AB306"/>
    <mergeCell ref="A301:A303"/>
    <mergeCell ref="B301:B303"/>
    <mergeCell ref="C301:C303"/>
    <mergeCell ref="D301:D303"/>
    <mergeCell ref="E301:E303"/>
    <mergeCell ref="F301:F303"/>
    <mergeCell ref="S298:S300"/>
    <mergeCell ref="T298:T300"/>
    <mergeCell ref="U298:U300"/>
    <mergeCell ref="V298:V300"/>
    <mergeCell ref="W298:W300"/>
    <mergeCell ref="X298:X300"/>
    <mergeCell ref="M298:M300"/>
    <mergeCell ref="N298:N300"/>
    <mergeCell ref="O298:O300"/>
    <mergeCell ref="P298:P300"/>
    <mergeCell ref="Q298:Q300"/>
    <mergeCell ref="R298:R300"/>
    <mergeCell ref="G298:G300"/>
    <mergeCell ref="H298:H300"/>
    <mergeCell ref="I298:I300"/>
    <mergeCell ref="J298:J300"/>
    <mergeCell ref="K298:K300"/>
    <mergeCell ref="L298:L300"/>
    <mergeCell ref="A290:AF290"/>
    <mergeCell ref="A292:AF292"/>
    <mergeCell ref="A293:AF293"/>
    <mergeCell ref="A298:A300"/>
    <mergeCell ref="B298:B300"/>
    <mergeCell ref="C298:C300"/>
    <mergeCell ref="D298:D300"/>
    <mergeCell ref="E298:E300"/>
    <mergeCell ref="F298:F300"/>
    <mergeCell ref="V281:V283"/>
    <mergeCell ref="W281:W283"/>
    <mergeCell ref="X281:X283"/>
    <mergeCell ref="Y281:Y283"/>
    <mergeCell ref="Z281:Z283"/>
    <mergeCell ref="AA281:AA283"/>
    <mergeCell ref="P281:P283"/>
    <mergeCell ref="Q281:Q283"/>
    <mergeCell ref="R281:R283"/>
    <mergeCell ref="S281:S283"/>
    <mergeCell ref="T281:T283"/>
    <mergeCell ref="U281:U283"/>
    <mergeCell ref="J281:J283"/>
    <mergeCell ref="K281:K283"/>
    <mergeCell ref="L281:L283"/>
    <mergeCell ref="M281:M283"/>
    <mergeCell ref="N281:N283"/>
    <mergeCell ref="O281:O283"/>
    <mergeCell ref="Y298:Y300"/>
    <mergeCell ref="Z298:Z300"/>
    <mergeCell ref="AA298:AA300"/>
    <mergeCell ref="AB298:AB300"/>
    <mergeCell ref="AB278:AB280"/>
    <mergeCell ref="A281:A283"/>
    <mergeCell ref="B281:B283"/>
    <mergeCell ref="C281:C283"/>
    <mergeCell ref="D281:D283"/>
    <mergeCell ref="E281:E283"/>
    <mergeCell ref="F281:F283"/>
    <mergeCell ref="G281:G283"/>
    <mergeCell ref="H281:H283"/>
    <mergeCell ref="I281:I283"/>
    <mergeCell ref="V278:V280"/>
    <mergeCell ref="W278:W280"/>
    <mergeCell ref="X278:X280"/>
    <mergeCell ref="Y278:Y280"/>
    <mergeCell ref="Z278:Z280"/>
    <mergeCell ref="AA278:AA280"/>
    <mergeCell ref="P278:P280"/>
    <mergeCell ref="Q278:Q280"/>
    <mergeCell ref="R278:R280"/>
    <mergeCell ref="S278:S280"/>
    <mergeCell ref="T278:T280"/>
    <mergeCell ref="U278:U280"/>
    <mergeCell ref="J278:J280"/>
    <mergeCell ref="K278:K280"/>
    <mergeCell ref="L278:L280"/>
    <mergeCell ref="M278:M280"/>
    <mergeCell ref="N278:N280"/>
    <mergeCell ref="O278:O280"/>
    <mergeCell ref="AB281:AB283"/>
    <mergeCell ref="A278:A280"/>
    <mergeCell ref="B278:B280"/>
    <mergeCell ref="C278:C280"/>
    <mergeCell ref="D278:D280"/>
    <mergeCell ref="E278:E280"/>
    <mergeCell ref="F278:F280"/>
    <mergeCell ref="G278:G280"/>
    <mergeCell ref="H278:H280"/>
    <mergeCell ref="I278:I280"/>
    <mergeCell ref="V275:V277"/>
    <mergeCell ref="W275:W277"/>
    <mergeCell ref="X275:X277"/>
    <mergeCell ref="Y275:Y277"/>
    <mergeCell ref="Z275:Z277"/>
    <mergeCell ref="AA275:AA277"/>
    <mergeCell ref="P275:P277"/>
    <mergeCell ref="Q275:Q277"/>
    <mergeCell ref="R275:R277"/>
    <mergeCell ref="S275:S277"/>
    <mergeCell ref="T275:T277"/>
    <mergeCell ref="U275:U277"/>
    <mergeCell ref="J275:J277"/>
    <mergeCell ref="K275:K277"/>
    <mergeCell ref="L275:L277"/>
    <mergeCell ref="M275:M277"/>
    <mergeCell ref="N275:N277"/>
    <mergeCell ref="O275:O277"/>
    <mergeCell ref="AB272:AB274"/>
    <mergeCell ref="A275:A277"/>
    <mergeCell ref="B275:B277"/>
    <mergeCell ref="C275:C277"/>
    <mergeCell ref="D275:D277"/>
    <mergeCell ref="E275:E277"/>
    <mergeCell ref="F275:F277"/>
    <mergeCell ref="G275:G277"/>
    <mergeCell ref="H275:H277"/>
    <mergeCell ref="I275:I277"/>
    <mergeCell ref="V272:V274"/>
    <mergeCell ref="W272:W274"/>
    <mergeCell ref="X272:X274"/>
    <mergeCell ref="Y272:Y274"/>
    <mergeCell ref="Z272:Z274"/>
    <mergeCell ref="AA272:AA274"/>
    <mergeCell ref="P272:P274"/>
    <mergeCell ref="Q272:Q274"/>
    <mergeCell ref="R272:R274"/>
    <mergeCell ref="S272:S274"/>
    <mergeCell ref="T272:T274"/>
    <mergeCell ref="U272:U274"/>
    <mergeCell ref="J272:J274"/>
    <mergeCell ref="K272:K274"/>
    <mergeCell ref="L272:L274"/>
    <mergeCell ref="M272:M274"/>
    <mergeCell ref="N272:N274"/>
    <mergeCell ref="O272:O274"/>
    <mergeCell ref="AB275:AB277"/>
    <mergeCell ref="A272:A274"/>
    <mergeCell ref="B272:B274"/>
    <mergeCell ref="C272:C274"/>
    <mergeCell ref="D272:D274"/>
    <mergeCell ref="E272:E274"/>
    <mergeCell ref="F272:F274"/>
    <mergeCell ref="G272:G274"/>
    <mergeCell ref="H272:H274"/>
    <mergeCell ref="I272:I274"/>
    <mergeCell ref="V269:V271"/>
    <mergeCell ref="W269:W271"/>
    <mergeCell ref="X269:X271"/>
    <mergeCell ref="Y269:Y271"/>
    <mergeCell ref="Z269:Z271"/>
    <mergeCell ref="AA269:AA271"/>
    <mergeCell ref="P269:P271"/>
    <mergeCell ref="Q269:Q271"/>
    <mergeCell ref="R269:R271"/>
    <mergeCell ref="S269:S271"/>
    <mergeCell ref="T269:T271"/>
    <mergeCell ref="U269:U271"/>
    <mergeCell ref="J269:J271"/>
    <mergeCell ref="K269:K271"/>
    <mergeCell ref="L269:L271"/>
    <mergeCell ref="M269:M271"/>
    <mergeCell ref="N269:N271"/>
    <mergeCell ref="O269:O271"/>
    <mergeCell ref="AB266:AB268"/>
    <mergeCell ref="A269:A271"/>
    <mergeCell ref="B269:B271"/>
    <mergeCell ref="C269:C271"/>
    <mergeCell ref="D269:D271"/>
    <mergeCell ref="E269:E271"/>
    <mergeCell ref="F269:F271"/>
    <mergeCell ref="G269:G271"/>
    <mergeCell ref="H269:H271"/>
    <mergeCell ref="I269:I271"/>
    <mergeCell ref="V266:V268"/>
    <mergeCell ref="W266:W268"/>
    <mergeCell ref="X266:X268"/>
    <mergeCell ref="Y266:Y268"/>
    <mergeCell ref="Z266:Z268"/>
    <mergeCell ref="AA266:AA268"/>
    <mergeCell ref="P266:P268"/>
    <mergeCell ref="Q266:Q268"/>
    <mergeCell ref="R266:R268"/>
    <mergeCell ref="S266:S268"/>
    <mergeCell ref="T266:T268"/>
    <mergeCell ref="U266:U268"/>
    <mergeCell ref="J266:J268"/>
    <mergeCell ref="K266:K268"/>
    <mergeCell ref="L266:L268"/>
    <mergeCell ref="M266:M268"/>
    <mergeCell ref="N266:N268"/>
    <mergeCell ref="O266:O268"/>
    <mergeCell ref="AB269:AB271"/>
    <mergeCell ref="A261:AF261"/>
    <mergeCell ref="A266:A268"/>
    <mergeCell ref="B266:B268"/>
    <mergeCell ref="C266:C268"/>
    <mergeCell ref="D266:D268"/>
    <mergeCell ref="E266:E268"/>
    <mergeCell ref="F266:F268"/>
    <mergeCell ref="G266:G268"/>
    <mergeCell ref="H266:H268"/>
    <mergeCell ref="I266:I268"/>
    <mergeCell ref="Y249:Y251"/>
    <mergeCell ref="Z249:Z251"/>
    <mergeCell ref="AA249:AA251"/>
    <mergeCell ref="AB249:AB251"/>
    <mergeCell ref="A258:AF258"/>
    <mergeCell ref="A260:AF260"/>
    <mergeCell ref="S249:S251"/>
    <mergeCell ref="T249:T251"/>
    <mergeCell ref="U249:U251"/>
    <mergeCell ref="V249:V251"/>
    <mergeCell ref="W249:W251"/>
    <mergeCell ref="X249:X251"/>
    <mergeCell ref="M249:M251"/>
    <mergeCell ref="N249:N251"/>
    <mergeCell ref="O249:O251"/>
    <mergeCell ref="P249:P251"/>
    <mergeCell ref="Q249:Q251"/>
    <mergeCell ref="R249:R251"/>
    <mergeCell ref="G249:G251"/>
    <mergeCell ref="H249:H251"/>
    <mergeCell ref="I249:I251"/>
    <mergeCell ref="J249:J251"/>
    <mergeCell ref="K249:K251"/>
    <mergeCell ref="L249:L251"/>
    <mergeCell ref="Y246:Y248"/>
    <mergeCell ref="Z246:Z248"/>
    <mergeCell ref="AA246:AA248"/>
    <mergeCell ref="AB246:AB248"/>
    <mergeCell ref="A249:A251"/>
    <mergeCell ref="B249:B251"/>
    <mergeCell ref="C249:C251"/>
    <mergeCell ref="D249:D251"/>
    <mergeCell ref="E249:E251"/>
    <mergeCell ref="F249:F251"/>
    <mergeCell ref="S246:S248"/>
    <mergeCell ref="T246:T248"/>
    <mergeCell ref="U246:U248"/>
    <mergeCell ref="V246:V248"/>
    <mergeCell ref="W246:W248"/>
    <mergeCell ref="X246:X248"/>
    <mergeCell ref="M246:M248"/>
    <mergeCell ref="N246:N248"/>
    <mergeCell ref="O246:O248"/>
    <mergeCell ref="P246:P248"/>
    <mergeCell ref="Q246:Q248"/>
    <mergeCell ref="R246:R248"/>
    <mergeCell ref="G246:G248"/>
    <mergeCell ref="H246:H248"/>
    <mergeCell ref="I246:I248"/>
    <mergeCell ref="J246:J248"/>
    <mergeCell ref="K246:K248"/>
    <mergeCell ref="L246:L248"/>
    <mergeCell ref="Y243:Y245"/>
    <mergeCell ref="Z243:Z245"/>
    <mergeCell ref="AA243:AA245"/>
    <mergeCell ref="AB243:AB245"/>
    <mergeCell ref="A246:A248"/>
    <mergeCell ref="B246:B248"/>
    <mergeCell ref="C246:C248"/>
    <mergeCell ref="D246:D248"/>
    <mergeCell ref="E246:E248"/>
    <mergeCell ref="F246:F248"/>
    <mergeCell ref="S243:S245"/>
    <mergeCell ref="T243:T245"/>
    <mergeCell ref="U243:U245"/>
    <mergeCell ref="V243:V245"/>
    <mergeCell ref="W243:W245"/>
    <mergeCell ref="X243:X245"/>
    <mergeCell ref="M243:M245"/>
    <mergeCell ref="N243:N245"/>
    <mergeCell ref="O243:O245"/>
    <mergeCell ref="P243:P245"/>
    <mergeCell ref="Q243:Q245"/>
    <mergeCell ref="R243:R245"/>
    <mergeCell ref="G243:G245"/>
    <mergeCell ref="H243:H245"/>
    <mergeCell ref="I243:I245"/>
    <mergeCell ref="J243:J245"/>
    <mergeCell ref="K243:K245"/>
    <mergeCell ref="L243:L245"/>
    <mergeCell ref="A243:A245"/>
    <mergeCell ref="B243:B245"/>
    <mergeCell ref="C243:C245"/>
    <mergeCell ref="D243:D245"/>
    <mergeCell ref="E243:E245"/>
    <mergeCell ref="F243:F245"/>
    <mergeCell ref="S240:S242"/>
    <mergeCell ref="T240:T242"/>
    <mergeCell ref="U240:U242"/>
    <mergeCell ref="V240:V242"/>
    <mergeCell ref="W240:W242"/>
    <mergeCell ref="X240:X242"/>
    <mergeCell ref="M240:M242"/>
    <mergeCell ref="N240:N242"/>
    <mergeCell ref="O240:O242"/>
    <mergeCell ref="P240:P242"/>
    <mergeCell ref="Q240:Q242"/>
    <mergeCell ref="R240:R242"/>
    <mergeCell ref="G240:G242"/>
    <mergeCell ref="H240:H242"/>
    <mergeCell ref="I240:I242"/>
    <mergeCell ref="J240:J242"/>
    <mergeCell ref="K240:K242"/>
    <mergeCell ref="L240:L242"/>
    <mergeCell ref="Y237:Y239"/>
    <mergeCell ref="Z237:Z239"/>
    <mergeCell ref="AA237:AA239"/>
    <mergeCell ref="AB237:AB239"/>
    <mergeCell ref="A240:A242"/>
    <mergeCell ref="B240:B242"/>
    <mergeCell ref="C240:C242"/>
    <mergeCell ref="D240:D242"/>
    <mergeCell ref="E240:E242"/>
    <mergeCell ref="F240:F242"/>
    <mergeCell ref="S237:S239"/>
    <mergeCell ref="T237:T239"/>
    <mergeCell ref="U237:U239"/>
    <mergeCell ref="V237:V239"/>
    <mergeCell ref="W237:W239"/>
    <mergeCell ref="X237:X239"/>
    <mergeCell ref="M237:M239"/>
    <mergeCell ref="N237:N239"/>
    <mergeCell ref="O237:O239"/>
    <mergeCell ref="P237:P239"/>
    <mergeCell ref="Q237:Q239"/>
    <mergeCell ref="R237:R239"/>
    <mergeCell ref="G237:G239"/>
    <mergeCell ref="H237:H239"/>
    <mergeCell ref="I237:I239"/>
    <mergeCell ref="J237:J239"/>
    <mergeCell ref="K237:K239"/>
    <mergeCell ref="L237:L239"/>
    <mergeCell ref="Y240:Y242"/>
    <mergeCell ref="Z240:Z242"/>
    <mergeCell ref="AA240:AA242"/>
    <mergeCell ref="AB240:AB242"/>
    <mergeCell ref="A237:A239"/>
    <mergeCell ref="B237:B239"/>
    <mergeCell ref="C237:C239"/>
    <mergeCell ref="D237:D239"/>
    <mergeCell ref="E237:E239"/>
    <mergeCell ref="F237:F239"/>
    <mergeCell ref="S234:S236"/>
    <mergeCell ref="T234:T236"/>
    <mergeCell ref="U234:U236"/>
    <mergeCell ref="V234:V236"/>
    <mergeCell ref="W234:W236"/>
    <mergeCell ref="X234:X236"/>
    <mergeCell ref="M234:M236"/>
    <mergeCell ref="N234:N236"/>
    <mergeCell ref="O234:O236"/>
    <mergeCell ref="P234:P236"/>
    <mergeCell ref="Q234:Q236"/>
    <mergeCell ref="R234:R236"/>
    <mergeCell ref="G234:G236"/>
    <mergeCell ref="H234:H236"/>
    <mergeCell ref="I234:I236"/>
    <mergeCell ref="J234:J236"/>
    <mergeCell ref="K234:K236"/>
    <mergeCell ref="L234:L236"/>
    <mergeCell ref="A226:AF226"/>
    <mergeCell ref="A228:AF228"/>
    <mergeCell ref="A229:AF229"/>
    <mergeCell ref="A234:A236"/>
    <mergeCell ref="B234:B236"/>
    <mergeCell ref="C234:C236"/>
    <mergeCell ref="D234:D236"/>
    <mergeCell ref="E234:E236"/>
    <mergeCell ref="F234:F236"/>
    <mergeCell ref="V217:V219"/>
    <mergeCell ref="W217:W219"/>
    <mergeCell ref="X217:X219"/>
    <mergeCell ref="Y217:Y219"/>
    <mergeCell ref="Z217:Z219"/>
    <mergeCell ref="AA217:AA219"/>
    <mergeCell ref="P217:P219"/>
    <mergeCell ref="Q217:Q219"/>
    <mergeCell ref="R217:R219"/>
    <mergeCell ref="S217:S219"/>
    <mergeCell ref="T217:T219"/>
    <mergeCell ref="U217:U219"/>
    <mergeCell ref="J217:J219"/>
    <mergeCell ref="K217:K219"/>
    <mergeCell ref="L217:L219"/>
    <mergeCell ref="M217:M219"/>
    <mergeCell ref="N217:N219"/>
    <mergeCell ref="O217:O219"/>
    <mergeCell ref="Y234:Y236"/>
    <mergeCell ref="Z234:Z236"/>
    <mergeCell ref="AA234:AA236"/>
    <mergeCell ref="AB234:AB236"/>
    <mergeCell ref="AB214:AB216"/>
    <mergeCell ref="A217:A219"/>
    <mergeCell ref="B217:B219"/>
    <mergeCell ref="C217:C219"/>
    <mergeCell ref="D217:D219"/>
    <mergeCell ref="E217:E219"/>
    <mergeCell ref="F217:F219"/>
    <mergeCell ref="G217:G219"/>
    <mergeCell ref="H217:H219"/>
    <mergeCell ref="I217:I219"/>
    <mergeCell ref="V214:V216"/>
    <mergeCell ref="W214:W216"/>
    <mergeCell ref="X214:X216"/>
    <mergeCell ref="Y214:Y216"/>
    <mergeCell ref="Z214:Z216"/>
    <mergeCell ref="AA214:AA216"/>
    <mergeCell ref="P214:P216"/>
    <mergeCell ref="Q214:Q216"/>
    <mergeCell ref="R214:R216"/>
    <mergeCell ref="S214:S216"/>
    <mergeCell ref="T214:T216"/>
    <mergeCell ref="U214:U216"/>
    <mergeCell ref="J214:J216"/>
    <mergeCell ref="K214:K216"/>
    <mergeCell ref="L214:L216"/>
    <mergeCell ref="M214:M216"/>
    <mergeCell ref="N214:N216"/>
    <mergeCell ref="O214:O216"/>
    <mergeCell ref="AB217:AB219"/>
    <mergeCell ref="A214:A216"/>
    <mergeCell ref="B214:B216"/>
    <mergeCell ref="C214:C216"/>
    <mergeCell ref="D214:D216"/>
    <mergeCell ref="E214:E216"/>
    <mergeCell ref="F214:F216"/>
    <mergeCell ref="G214:G216"/>
    <mergeCell ref="H214:H216"/>
    <mergeCell ref="I214:I216"/>
    <mergeCell ref="V211:V213"/>
    <mergeCell ref="W211:W213"/>
    <mergeCell ref="X211:X213"/>
    <mergeCell ref="Y211:Y213"/>
    <mergeCell ref="Z211:Z213"/>
    <mergeCell ref="AA211:AA213"/>
    <mergeCell ref="P211:P213"/>
    <mergeCell ref="Q211:Q213"/>
    <mergeCell ref="R211:R213"/>
    <mergeCell ref="S211:S213"/>
    <mergeCell ref="T211:T213"/>
    <mergeCell ref="U211:U213"/>
    <mergeCell ref="J211:J213"/>
    <mergeCell ref="K211:K213"/>
    <mergeCell ref="L211:L213"/>
    <mergeCell ref="M211:M213"/>
    <mergeCell ref="N211:N213"/>
    <mergeCell ref="O211:O213"/>
    <mergeCell ref="AB208:AB210"/>
    <mergeCell ref="A211:A213"/>
    <mergeCell ref="B211:B213"/>
    <mergeCell ref="C211:C213"/>
    <mergeCell ref="D211:D213"/>
    <mergeCell ref="E211:E213"/>
    <mergeCell ref="F211:F213"/>
    <mergeCell ref="G211:G213"/>
    <mergeCell ref="H211:H213"/>
    <mergeCell ref="I211:I213"/>
    <mergeCell ref="V208:V210"/>
    <mergeCell ref="W208:W210"/>
    <mergeCell ref="X208:X210"/>
    <mergeCell ref="Y208:Y210"/>
    <mergeCell ref="Z208:Z210"/>
    <mergeCell ref="AA208:AA210"/>
    <mergeCell ref="P208:P210"/>
    <mergeCell ref="Q208:Q210"/>
    <mergeCell ref="R208:R210"/>
    <mergeCell ref="S208:S210"/>
    <mergeCell ref="T208:T210"/>
    <mergeCell ref="U208:U210"/>
    <mergeCell ref="J208:J210"/>
    <mergeCell ref="K208:K210"/>
    <mergeCell ref="L208:L210"/>
    <mergeCell ref="M208:M210"/>
    <mergeCell ref="N208:N210"/>
    <mergeCell ref="O208:O210"/>
    <mergeCell ref="AB211:AB213"/>
    <mergeCell ref="A208:A210"/>
    <mergeCell ref="B208:B210"/>
    <mergeCell ref="C208:C210"/>
    <mergeCell ref="D208:D210"/>
    <mergeCell ref="E208:E210"/>
    <mergeCell ref="F208:F210"/>
    <mergeCell ref="G208:G210"/>
    <mergeCell ref="H208:H210"/>
    <mergeCell ref="I208:I210"/>
    <mergeCell ref="V205:V207"/>
    <mergeCell ref="W205:W207"/>
    <mergeCell ref="X205:X207"/>
    <mergeCell ref="Y205:Y207"/>
    <mergeCell ref="Z205:Z207"/>
    <mergeCell ref="AA205:AA207"/>
    <mergeCell ref="P205:P207"/>
    <mergeCell ref="Q205:Q207"/>
    <mergeCell ref="R205:R207"/>
    <mergeCell ref="S205:S207"/>
    <mergeCell ref="T205:T207"/>
    <mergeCell ref="U205:U207"/>
    <mergeCell ref="J205:J207"/>
    <mergeCell ref="K205:K207"/>
    <mergeCell ref="L205:L207"/>
    <mergeCell ref="M205:M207"/>
    <mergeCell ref="N205:N207"/>
    <mergeCell ref="O205:O207"/>
    <mergeCell ref="AB202:AB204"/>
    <mergeCell ref="A205:A207"/>
    <mergeCell ref="B205:B207"/>
    <mergeCell ref="C205:C207"/>
    <mergeCell ref="D205:D207"/>
    <mergeCell ref="E205:E207"/>
    <mergeCell ref="F205:F207"/>
    <mergeCell ref="G205:G207"/>
    <mergeCell ref="H205:H207"/>
    <mergeCell ref="I205:I207"/>
    <mergeCell ref="V202:V204"/>
    <mergeCell ref="W202:W204"/>
    <mergeCell ref="X202:X204"/>
    <mergeCell ref="Y202:Y204"/>
    <mergeCell ref="Z202:Z204"/>
    <mergeCell ref="AA202:AA204"/>
    <mergeCell ref="P202:P204"/>
    <mergeCell ref="Q202:Q204"/>
    <mergeCell ref="R202:R204"/>
    <mergeCell ref="S202:S204"/>
    <mergeCell ref="T202:T204"/>
    <mergeCell ref="U202:U204"/>
    <mergeCell ref="J202:J204"/>
    <mergeCell ref="K202:K204"/>
    <mergeCell ref="L202:L204"/>
    <mergeCell ref="M202:M204"/>
    <mergeCell ref="N202:N204"/>
    <mergeCell ref="O202:O204"/>
    <mergeCell ref="AB205:AB207"/>
    <mergeCell ref="A197:AF197"/>
    <mergeCell ref="A202:A204"/>
    <mergeCell ref="B202:B204"/>
    <mergeCell ref="C202:C204"/>
    <mergeCell ref="D202:D204"/>
    <mergeCell ref="E202:E204"/>
    <mergeCell ref="F202:F204"/>
    <mergeCell ref="G202:G204"/>
    <mergeCell ref="H202:H204"/>
    <mergeCell ref="I202:I204"/>
    <mergeCell ref="Y185:Y187"/>
    <mergeCell ref="Z185:Z187"/>
    <mergeCell ref="AA185:AA187"/>
    <mergeCell ref="AB185:AB187"/>
    <mergeCell ref="A194:AF194"/>
    <mergeCell ref="A196:AF196"/>
    <mergeCell ref="S185:S187"/>
    <mergeCell ref="T185:T187"/>
    <mergeCell ref="U185:U187"/>
    <mergeCell ref="V185:V187"/>
    <mergeCell ref="W185:W187"/>
    <mergeCell ref="X185:X187"/>
    <mergeCell ref="M185:M187"/>
    <mergeCell ref="N185:N187"/>
    <mergeCell ref="O185:O187"/>
    <mergeCell ref="P185:P187"/>
    <mergeCell ref="Q185:Q187"/>
    <mergeCell ref="R185:R187"/>
    <mergeCell ref="G185:G187"/>
    <mergeCell ref="H185:H187"/>
    <mergeCell ref="I185:I187"/>
    <mergeCell ref="J185:J187"/>
    <mergeCell ref="K185:K187"/>
    <mergeCell ref="L185:L187"/>
    <mergeCell ref="Y182:Y184"/>
    <mergeCell ref="Z182:Z184"/>
    <mergeCell ref="AA182:AA184"/>
    <mergeCell ref="AB182:AB184"/>
    <mergeCell ref="A185:A187"/>
    <mergeCell ref="B185:B187"/>
    <mergeCell ref="C185:C187"/>
    <mergeCell ref="D185:D187"/>
    <mergeCell ref="E185:E187"/>
    <mergeCell ref="F185:F187"/>
    <mergeCell ref="S182:S184"/>
    <mergeCell ref="T182:T184"/>
    <mergeCell ref="U182:U184"/>
    <mergeCell ref="V182:V184"/>
    <mergeCell ref="W182:W184"/>
    <mergeCell ref="X182:X184"/>
    <mergeCell ref="M182:M184"/>
    <mergeCell ref="N182:N184"/>
    <mergeCell ref="O182:O184"/>
    <mergeCell ref="P182:P184"/>
    <mergeCell ref="Q182:Q184"/>
    <mergeCell ref="R182:R184"/>
    <mergeCell ref="G182:G184"/>
    <mergeCell ref="H182:H184"/>
    <mergeCell ref="I182:I184"/>
    <mergeCell ref="J182:J184"/>
    <mergeCell ref="K182:K184"/>
    <mergeCell ref="L182:L184"/>
    <mergeCell ref="Y179:Y181"/>
    <mergeCell ref="Z179:Z181"/>
    <mergeCell ref="AA179:AA181"/>
    <mergeCell ref="AB179:AB181"/>
    <mergeCell ref="A182:A184"/>
    <mergeCell ref="B182:B184"/>
    <mergeCell ref="C182:C184"/>
    <mergeCell ref="D182:D184"/>
    <mergeCell ref="E182:E184"/>
    <mergeCell ref="F182:F184"/>
    <mergeCell ref="S179:S181"/>
    <mergeCell ref="T179:T181"/>
    <mergeCell ref="U179:U181"/>
    <mergeCell ref="V179:V181"/>
    <mergeCell ref="W179:W181"/>
    <mergeCell ref="X179:X181"/>
    <mergeCell ref="M179:M181"/>
    <mergeCell ref="N179:N181"/>
    <mergeCell ref="O179:O181"/>
    <mergeCell ref="P179:P181"/>
    <mergeCell ref="Q179:Q181"/>
    <mergeCell ref="R179:R181"/>
    <mergeCell ref="G179:G181"/>
    <mergeCell ref="H179:H181"/>
    <mergeCell ref="I179:I181"/>
    <mergeCell ref="J179:J181"/>
    <mergeCell ref="K179:K181"/>
    <mergeCell ref="L179:L181"/>
    <mergeCell ref="A179:A181"/>
    <mergeCell ref="B179:B181"/>
    <mergeCell ref="C179:C181"/>
    <mergeCell ref="D179:D181"/>
    <mergeCell ref="E179:E181"/>
    <mergeCell ref="F179:F181"/>
    <mergeCell ref="S176:S178"/>
    <mergeCell ref="T176:T178"/>
    <mergeCell ref="U176:U178"/>
    <mergeCell ref="V176:V178"/>
    <mergeCell ref="W176:W178"/>
    <mergeCell ref="X176:X178"/>
    <mergeCell ref="M176:M178"/>
    <mergeCell ref="N176:N178"/>
    <mergeCell ref="O176:O178"/>
    <mergeCell ref="P176:P178"/>
    <mergeCell ref="Q176:Q178"/>
    <mergeCell ref="R176:R178"/>
    <mergeCell ref="G176:G178"/>
    <mergeCell ref="H176:H178"/>
    <mergeCell ref="I176:I178"/>
    <mergeCell ref="J176:J178"/>
    <mergeCell ref="K176:K178"/>
    <mergeCell ref="L176:L178"/>
    <mergeCell ref="Y173:Y175"/>
    <mergeCell ref="Z173:Z175"/>
    <mergeCell ref="AA173:AA175"/>
    <mergeCell ref="AB173:AB175"/>
    <mergeCell ref="A176:A178"/>
    <mergeCell ref="B176:B178"/>
    <mergeCell ref="C176:C178"/>
    <mergeCell ref="D176:D178"/>
    <mergeCell ref="E176:E178"/>
    <mergeCell ref="F176:F178"/>
    <mergeCell ref="S173:S175"/>
    <mergeCell ref="T173:T175"/>
    <mergeCell ref="U173:U175"/>
    <mergeCell ref="V173:V175"/>
    <mergeCell ref="W173:W175"/>
    <mergeCell ref="X173:X175"/>
    <mergeCell ref="M173:M175"/>
    <mergeCell ref="N173:N175"/>
    <mergeCell ref="O173:O175"/>
    <mergeCell ref="P173:P175"/>
    <mergeCell ref="Q173:Q175"/>
    <mergeCell ref="R173:R175"/>
    <mergeCell ref="G173:G175"/>
    <mergeCell ref="H173:H175"/>
    <mergeCell ref="I173:I175"/>
    <mergeCell ref="J173:J175"/>
    <mergeCell ref="K173:K175"/>
    <mergeCell ref="L173:L175"/>
    <mergeCell ref="Y176:Y178"/>
    <mergeCell ref="Z176:Z178"/>
    <mergeCell ref="AA176:AA178"/>
    <mergeCell ref="AB176:AB178"/>
    <mergeCell ref="A173:A175"/>
    <mergeCell ref="B173:B175"/>
    <mergeCell ref="C173:C175"/>
    <mergeCell ref="D173:D175"/>
    <mergeCell ref="E173:E175"/>
    <mergeCell ref="F173:F175"/>
    <mergeCell ref="S170:S172"/>
    <mergeCell ref="T170:T172"/>
    <mergeCell ref="U170:U172"/>
    <mergeCell ref="V170:V172"/>
    <mergeCell ref="W170:W172"/>
    <mergeCell ref="X170:X172"/>
    <mergeCell ref="M170:M172"/>
    <mergeCell ref="N170:N172"/>
    <mergeCell ref="O170:O172"/>
    <mergeCell ref="P170:P172"/>
    <mergeCell ref="Q170:Q172"/>
    <mergeCell ref="R170:R172"/>
    <mergeCell ref="G170:G172"/>
    <mergeCell ref="H170:H172"/>
    <mergeCell ref="I170:I172"/>
    <mergeCell ref="J170:J172"/>
    <mergeCell ref="K170:K172"/>
    <mergeCell ref="L170:L172"/>
    <mergeCell ref="A162:AF162"/>
    <mergeCell ref="A164:AF164"/>
    <mergeCell ref="A165:AF165"/>
    <mergeCell ref="A170:A172"/>
    <mergeCell ref="B170:B172"/>
    <mergeCell ref="C170:C172"/>
    <mergeCell ref="D170:D172"/>
    <mergeCell ref="E170:E172"/>
    <mergeCell ref="F170:F172"/>
    <mergeCell ref="V153:V155"/>
    <mergeCell ref="W153:W155"/>
    <mergeCell ref="X153:X155"/>
    <mergeCell ref="Y153:Y155"/>
    <mergeCell ref="Z153:Z155"/>
    <mergeCell ref="AA153:AA155"/>
    <mergeCell ref="P153:P155"/>
    <mergeCell ref="Q153:Q155"/>
    <mergeCell ref="R153:R155"/>
    <mergeCell ref="S153:S155"/>
    <mergeCell ref="T153:T155"/>
    <mergeCell ref="U153:U155"/>
    <mergeCell ref="J153:J155"/>
    <mergeCell ref="K153:K155"/>
    <mergeCell ref="L153:L155"/>
    <mergeCell ref="M153:M155"/>
    <mergeCell ref="N153:N155"/>
    <mergeCell ref="O153:O155"/>
    <mergeCell ref="Y170:Y172"/>
    <mergeCell ref="Z170:Z172"/>
    <mergeCell ref="AA170:AA172"/>
    <mergeCell ref="AB170:AB172"/>
    <mergeCell ref="AB150:AB152"/>
    <mergeCell ref="A153:A155"/>
    <mergeCell ref="B153:B155"/>
    <mergeCell ref="C153:C155"/>
    <mergeCell ref="D153:D155"/>
    <mergeCell ref="E153:E155"/>
    <mergeCell ref="F153:F155"/>
    <mergeCell ref="G153:G155"/>
    <mergeCell ref="H153:H155"/>
    <mergeCell ref="I153:I155"/>
    <mergeCell ref="V150:V152"/>
    <mergeCell ref="W150:W152"/>
    <mergeCell ref="X150:X152"/>
    <mergeCell ref="Y150:Y152"/>
    <mergeCell ref="Z150:Z152"/>
    <mergeCell ref="AA150:AA152"/>
    <mergeCell ref="P150:P152"/>
    <mergeCell ref="Q150:Q152"/>
    <mergeCell ref="R150:R152"/>
    <mergeCell ref="S150:S152"/>
    <mergeCell ref="T150:T152"/>
    <mergeCell ref="U150:U152"/>
    <mergeCell ref="J150:J152"/>
    <mergeCell ref="K150:K152"/>
    <mergeCell ref="L150:L152"/>
    <mergeCell ref="M150:M152"/>
    <mergeCell ref="N150:N152"/>
    <mergeCell ref="O150:O152"/>
    <mergeCell ref="AB153:AB155"/>
    <mergeCell ref="A150:A152"/>
    <mergeCell ref="B150:B152"/>
    <mergeCell ref="C150:C152"/>
    <mergeCell ref="D150:D152"/>
    <mergeCell ref="E150:E152"/>
    <mergeCell ref="F150:F152"/>
    <mergeCell ref="G150:G152"/>
    <mergeCell ref="H150:H152"/>
    <mergeCell ref="I150:I152"/>
    <mergeCell ref="V147:V149"/>
    <mergeCell ref="W147:W149"/>
    <mergeCell ref="X147:X149"/>
    <mergeCell ref="Y147:Y149"/>
    <mergeCell ref="Z147:Z149"/>
    <mergeCell ref="AA147:AA149"/>
    <mergeCell ref="P147:P149"/>
    <mergeCell ref="Q147:Q149"/>
    <mergeCell ref="R147:R149"/>
    <mergeCell ref="S147:S149"/>
    <mergeCell ref="T147:T149"/>
    <mergeCell ref="U147:U149"/>
    <mergeCell ref="J147:J149"/>
    <mergeCell ref="K147:K149"/>
    <mergeCell ref="L147:L149"/>
    <mergeCell ref="M147:M149"/>
    <mergeCell ref="N147:N149"/>
    <mergeCell ref="O147:O149"/>
    <mergeCell ref="AB144:AB146"/>
    <mergeCell ref="A147:A149"/>
    <mergeCell ref="B147:B149"/>
    <mergeCell ref="C147:C149"/>
    <mergeCell ref="D147:D149"/>
    <mergeCell ref="E147:E149"/>
    <mergeCell ref="F147:F149"/>
    <mergeCell ref="G147:G149"/>
    <mergeCell ref="H147:H149"/>
    <mergeCell ref="I147:I149"/>
    <mergeCell ref="V144:V146"/>
    <mergeCell ref="W144:W146"/>
    <mergeCell ref="X144:X146"/>
    <mergeCell ref="Y144:Y146"/>
    <mergeCell ref="Z144:Z146"/>
    <mergeCell ref="AA144:AA146"/>
    <mergeCell ref="P144:P146"/>
    <mergeCell ref="Q144:Q146"/>
    <mergeCell ref="R144:R146"/>
    <mergeCell ref="S144:S146"/>
    <mergeCell ref="T144:T146"/>
    <mergeCell ref="U144:U146"/>
    <mergeCell ref="J144:J146"/>
    <mergeCell ref="K144:K146"/>
    <mergeCell ref="L144:L146"/>
    <mergeCell ref="M144:M146"/>
    <mergeCell ref="N144:N146"/>
    <mergeCell ref="O144:O146"/>
    <mergeCell ref="AB147:AB149"/>
    <mergeCell ref="A144:A146"/>
    <mergeCell ref="B144:B146"/>
    <mergeCell ref="C144:C146"/>
    <mergeCell ref="D144:D146"/>
    <mergeCell ref="E144:E146"/>
    <mergeCell ref="F144:F146"/>
    <mergeCell ref="G144:G146"/>
    <mergeCell ref="H144:H146"/>
    <mergeCell ref="I144:I146"/>
    <mergeCell ref="V141:V143"/>
    <mergeCell ref="W141:W143"/>
    <mergeCell ref="X141:X143"/>
    <mergeCell ref="Y141:Y143"/>
    <mergeCell ref="Z141:Z143"/>
    <mergeCell ref="AA141:AA143"/>
    <mergeCell ref="P141:P143"/>
    <mergeCell ref="Q141:Q143"/>
    <mergeCell ref="R141:R143"/>
    <mergeCell ref="S141:S143"/>
    <mergeCell ref="T141:T143"/>
    <mergeCell ref="U141:U143"/>
    <mergeCell ref="J141:J143"/>
    <mergeCell ref="K141:K143"/>
    <mergeCell ref="L141:L143"/>
    <mergeCell ref="M141:M143"/>
    <mergeCell ref="N141:N143"/>
    <mergeCell ref="O141:O143"/>
    <mergeCell ref="AB138:AB140"/>
    <mergeCell ref="A141:A143"/>
    <mergeCell ref="B141:B143"/>
    <mergeCell ref="C141:C143"/>
    <mergeCell ref="D141:D143"/>
    <mergeCell ref="E141:E143"/>
    <mergeCell ref="F141:F143"/>
    <mergeCell ref="G141:G143"/>
    <mergeCell ref="H141:H143"/>
    <mergeCell ref="I141:I143"/>
    <mergeCell ref="V138:V140"/>
    <mergeCell ref="W138:W140"/>
    <mergeCell ref="X138:X140"/>
    <mergeCell ref="Y138:Y140"/>
    <mergeCell ref="Z138:Z140"/>
    <mergeCell ref="AA138:AA140"/>
    <mergeCell ref="P138:P140"/>
    <mergeCell ref="Q138:Q140"/>
    <mergeCell ref="R138:R140"/>
    <mergeCell ref="S138:S140"/>
    <mergeCell ref="T138:T140"/>
    <mergeCell ref="U138:U140"/>
    <mergeCell ref="J138:J140"/>
    <mergeCell ref="K138:K140"/>
    <mergeCell ref="L138:L140"/>
    <mergeCell ref="M138:M140"/>
    <mergeCell ref="N138:N140"/>
    <mergeCell ref="O138:O140"/>
    <mergeCell ref="AB141:AB143"/>
    <mergeCell ref="A133:AF133"/>
    <mergeCell ref="A138:A140"/>
    <mergeCell ref="B138:B140"/>
    <mergeCell ref="C138:C140"/>
    <mergeCell ref="D138:D140"/>
    <mergeCell ref="E138:E140"/>
    <mergeCell ref="F138:F140"/>
    <mergeCell ref="G138:G140"/>
    <mergeCell ref="H138:H140"/>
    <mergeCell ref="I138:I140"/>
    <mergeCell ref="Y121:Y123"/>
    <mergeCell ref="Z121:Z123"/>
    <mergeCell ref="AA121:AA123"/>
    <mergeCell ref="AB121:AB123"/>
    <mergeCell ref="A130:AF130"/>
    <mergeCell ref="A132:AF132"/>
    <mergeCell ref="S121:S123"/>
    <mergeCell ref="T121:T123"/>
    <mergeCell ref="U121:U123"/>
    <mergeCell ref="V121:V123"/>
    <mergeCell ref="W121:W123"/>
    <mergeCell ref="X121:X123"/>
    <mergeCell ref="M121:M123"/>
    <mergeCell ref="N121:N123"/>
    <mergeCell ref="O121:O123"/>
    <mergeCell ref="P121:P123"/>
    <mergeCell ref="Q121:Q123"/>
    <mergeCell ref="R121:R123"/>
    <mergeCell ref="G121:G123"/>
    <mergeCell ref="H121:H123"/>
    <mergeCell ref="I121:I123"/>
    <mergeCell ref="J121:J123"/>
    <mergeCell ref="K121:K123"/>
    <mergeCell ref="L121:L123"/>
    <mergeCell ref="Y118:Y120"/>
    <mergeCell ref="Z118:Z120"/>
    <mergeCell ref="AA118:AA120"/>
    <mergeCell ref="AB118:AB120"/>
    <mergeCell ref="A121:A123"/>
    <mergeCell ref="B121:B123"/>
    <mergeCell ref="C121:C123"/>
    <mergeCell ref="D121:D123"/>
    <mergeCell ref="E121:E123"/>
    <mergeCell ref="F121:F123"/>
    <mergeCell ref="S118:S120"/>
    <mergeCell ref="T118:T120"/>
    <mergeCell ref="U118:U120"/>
    <mergeCell ref="V118:V120"/>
    <mergeCell ref="W118:W120"/>
    <mergeCell ref="X118:X120"/>
    <mergeCell ref="M118:M120"/>
    <mergeCell ref="N118:N120"/>
    <mergeCell ref="O118:O120"/>
    <mergeCell ref="P118:P120"/>
    <mergeCell ref="Q118:Q120"/>
    <mergeCell ref="R118:R120"/>
    <mergeCell ref="G118:G120"/>
    <mergeCell ref="H118:H120"/>
    <mergeCell ref="I118:I120"/>
    <mergeCell ref="J118:J120"/>
    <mergeCell ref="K118:K120"/>
    <mergeCell ref="L118:L120"/>
    <mergeCell ref="Y115:Y117"/>
    <mergeCell ref="Z115:Z117"/>
    <mergeCell ref="AA115:AA117"/>
    <mergeCell ref="AB115:AB117"/>
    <mergeCell ref="A118:A120"/>
    <mergeCell ref="B118:B120"/>
    <mergeCell ref="C118:C120"/>
    <mergeCell ref="D118:D120"/>
    <mergeCell ref="E118:E120"/>
    <mergeCell ref="F118:F120"/>
    <mergeCell ref="S115:S117"/>
    <mergeCell ref="T115:T117"/>
    <mergeCell ref="U115:U117"/>
    <mergeCell ref="V115:V117"/>
    <mergeCell ref="W115:W117"/>
    <mergeCell ref="X115:X117"/>
    <mergeCell ref="M115:M117"/>
    <mergeCell ref="N115:N117"/>
    <mergeCell ref="O115:O117"/>
    <mergeCell ref="P115:P117"/>
    <mergeCell ref="Q115:Q117"/>
    <mergeCell ref="R115:R117"/>
    <mergeCell ref="G115:G117"/>
    <mergeCell ref="H115:H117"/>
    <mergeCell ref="I115:I117"/>
    <mergeCell ref="J115:J117"/>
    <mergeCell ref="K115:K117"/>
    <mergeCell ref="L115:L117"/>
    <mergeCell ref="A115:A117"/>
    <mergeCell ref="B115:B117"/>
    <mergeCell ref="C115:C117"/>
    <mergeCell ref="D115:D117"/>
    <mergeCell ref="E115:E117"/>
    <mergeCell ref="F115:F117"/>
    <mergeCell ref="S112:S114"/>
    <mergeCell ref="T112:T114"/>
    <mergeCell ref="U112:U114"/>
    <mergeCell ref="V112:V114"/>
    <mergeCell ref="W112:W114"/>
    <mergeCell ref="X112:X114"/>
    <mergeCell ref="M112:M114"/>
    <mergeCell ref="N112:N114"/>
    <mergeCell ref="O112:O114"/>
    <mergeCell ref="P112:P114"/>
    <mergeCell ref="Q112:Q114"/>
    <mergeCell ref="R112:R114"/>
    <mergeCell ref="G112:G114"/>
    <mergeCell ref="H112:H114"/>
    <mergeCell ref="I112:I114"/>
    <mergeCell ref="J112:J114"/>
    <mergeCell ref="K112:K114"/>
    <mergeCell ref="L112:L114"/>
    <mergeCell ref="Y109:Y111"/>
    <mergeCell ref="Z109:Z111"/>
    <mergeCell ref="AA109:AA111"/>
    <mergeCell ref="AB109:AB111"/>
    <mergeCell ref="A112:A114"/>
    <mergeCell ref="B112:B114"/>
    <mergeCell ref="C112:C114"/>
    <mergeCell ref="D112:D114"/>
    <mergeCell ref="E112:E114"/>
    <mergeCell ref="F112:F114"/>
    <mergeCell ref="S109:S111"/>
    <mergeCell ref="T109:T111"/>
    <mergeCell ref="U109:U111"/>
    <mergeCell ref="V109:V111"/>
    <mergeCell ref="W109:W111"/>
    <mergeCell ref="X109:X111"/>
    <mergeCell ref="M109:M111"/>
    <mergeCell ref="N109:N111"/>
    <mergeCell ref="O109:O111"/>
    <mergeCell ref="P109:P111"/>
    <mergeCell ref="Q109:Q111"/>
    <mergeCell ref="R109:R111"/>
    <mergeCell ref="G109:G111"/>
    <mergeCell ref="H109:H111"/>
    <mergeCell ref="I109:I111"/>
    <mergeCell ref="J109:J111"/>
    <mergeCell ref="K109:K111"/>
    <mergeCell ref="L109:L111"/>
    <mergeCell ref="Y112:Y114"/>
    <mergeCell ref="Z112:Z114"/>
    <mergeCell ref="AA112:AA114"/>
    <mergeCell ref="AB112:AB114"/>
    <mergeCell ref="A109:A111"/>
    <mergeCell ref="B109:B111"/>
    <mergeCell ref="C109:C111"/>
    <mergeCell ref="D109:D111"/>
    <mergeCell ref="E109:E111"/>
    <mergeCell ref="F109:F111"/>
    <mergeCell ref="S106:S108"/>
    <mergeCell ref="T106:T108"/>
    <mergeCell ref="U106:U108"/>
    <mergeCell ref="V106:V108"/>
    <mergeCell ref="W106:W108"/>
    <mergeCell ref="X106:X108"/>
    <mergeCell ref="M106:M108"/>
    <mergeCell ref="N106:N108"/>
    <mergeCell ref="O106:O108"/>
    <mergeCell ref="P106:P108"/>
    <mergeCell ref="Q106:Q108"/>
    <mergeCell ref="R106:R108"/>
    <mergeCell ref="G106:G108"/>
    <mergeCell ref="H106:H108"/>
    <mergeCell ref="I106:I108"/>
    <mergeCell ref="J106:J108"/>
    <mergeCell ref="K106:K108"/>
    <mergeCell ref="L106:L108"/>
    <mergeCell ref="A98:AF98"/>
    <mergeCell ref="A100:AF100"/>
    <mergeCell ref="A101:AF101"/>
    <mergeCell ref="A106:A108"/>
    <mergeCell ref="B106:B108"/>
    <mergeCell ref="C106:C108"/>
    <mergeCell ref="D106:D108"/>
    <mergeCell ref="E106:E108"/>
    <mergeCell ref="F106:F108"/>
    <mergeCell ref="V89:V91"/>
    <mergeCell ref="W89:W91"/>
    <mergeCell ref="X89:X91"/>
    <mergeCell ref="Y89:Y91"/>
    <mergeCell ref="Z89:Z91"/>
    <mergeCell ref="AA89:AA91"/>
    <mergeCell ref="P89:P91"/>
    <mergeCell ref="Q89:Q91"/>
    <mergeCell ref="R89:R91"/>
    <mergeCell ref="S89:S91"/>
    <mergeCell ref="T89:T91"/>
    <mergeCell ref="U89:U91"/>
    <mergeCell ref="J89:J91"/>
    <mergeCell ref="K89:K91"/>
    <mergeCell ref="L89:L91"/>
    <mergeCell ref="M89:M91"/>
    <mergeCell ref="N89:N91"/>
    <mergeCell ref="O89:O91"/>
    <mergeCell ref="Y106:Y108"/>
    <mergeCell ref="Z106:Z108"/>
    <mergeCell ref="AA106:AA108"/>
    <mergeCell ref="AB106:AB108"/>
    <mergeCell ref="AB86:AB88"/>
    <mergeCell ref="A89:A91"/>
    <mergeCell ref="B89:B91"/>
    <mergeCell ref="C89:C91"/>
    <mergeCell ref="D89:D91"/>
    <mergeCell ref="E89:E91"/>
    <mergeCell ref="F89:F91"/>
    <mergeCell ref="G89:G91"/>
    <mergeCell ref="H89:H91"/>
    <mergeCell ref="I89:I91"/>
    <mergeCell ref="V86:V88"/>
    <mergeCell ref="W86:W88"/>
    <mergeCell ref="X86:X88"/>
    <mergeCell ref="Y86:Y88"/>
    <mergeCell ref="Z86:Z88"/>
    <mergeCell ref="AA86:AA88"/>
    <mergeCell ref="P86:P88"/>
    <mergeCell ref="Q86:Q88"/>
    <mergeCell ref="R86:R88"/>
    <mergeCell ref="S86:S88"/>
    <mergeCell ref="T86:T88"/>
    <mergeCell ref="U86:U88"/>
    <mergeCell ref="J86:J88"/>
    <mergeCell ref="K86:K88"/>
    <mergeCell ref="L86:L88"/>
    <mergeCell ref="M86:M88"/>
    <mergeCell ref="N86:N88"/>
    <mergeCell ref="O86:O88"/>
    <mergeCell ref="AB89:AB91"/>
    <mergeCell ref="A86:A88"/>
    <mergeCell ref="B86:B88"/>
    <mergeCell ref="C86:C88"/>
    <mergeCell ref="D86:D88"/>
    <mergeCell ref="E86:E88"/>
    <mergeCell ref="F86:F88"/>
    <mergeCell ref="G86:G88"/>
    <mergeCell ref="H86:H88"/>
    <mergeCell ref="I86:I88"/>
    <mergeCell ref="V83:V85"/>
    <mergeCell ref="W83:W85"/>
    <mergeCell ref="X83:X85"/>
    <mergeCell ref="Y83:Y85"/>
    <mergeCell ref="Z83:Z85"/>
    <mergeCell ref="AA83:AA85"/>
    <mergeCell ref="P83:P85"/>
    <mergeCell ref="Q83:Q85"/>
    <mergeCell ref="R83:R85"/>
    <mergeCell ref="S83:S85"/>
    <mergeCell ref="T83:T85"/>
    <mergeCell ref="U83:U85"/>
    <mergeCell ref="J83:J85"/>
    <mergeCell ref="K83:K85"/>
    <mergeCell ref="L83:L85"/>
    <mergeCell ref="M83:M85"/>
    <mergeCell ref="N83:N85"/>
    <mergeCell ref="O83:O85"/>
    <mergeCell ref="AB80:AB82"/>
    <mergeCell ref="A83:A85"/>
    <mergeCell ref="B83:B85"/>
    <mergeCell ref="C83:C85"/>
    <mergeCell ref="D83:D85"/>
    <mergeCell ref="E83:E85"/>
    <mergeCell ref="F83:F85"/>
    <mergeCell ref="G83:G85"/>
    <mergeCell ref="H83:H85"/>
    <mergeCell ref="I83:I85"/>
    <mergeCell ref="V80:V82"/>
    <mergeCell ref="W80:W82"/>
    <mergeCell ref="X80:X82"/>
    <mergeCell ref="Y80:Y82"/>
    <mergeCell ref="Z80:Z82"/>
    <mergeCell ref="AA80:AA82"/>
    <mergeCell ref="P80:P82"/>
    <mergeCell ref="Q80:Q82"/>
    <mergeCell ref="R80:R82"/>
    <mergeCell ref="S80:S82"/>
    <mergeCell ref="T80:T82"/>
    <mergeCell ref="U80:U82"/>
    <mergeCell ref="J80:J82"/>
    <mergeCell ref="K80:K82"/>
    <mergeCell ref="L80:L82"/>
    <mergeCell ref="M80:M82"/>
    <mergeCell ref="N80:N82"/>
    <mergeCell ref="O80:O82"/>
    <mergeCell ref="AB83:AB85"/>
    <mergeCell ref="A80:A82"/>
    <mergeCell ref="B80:B82"/>
    <mergeCell ref="C80:C82"/>
    <mergeCell ref="D80:D82"/>
    <mergeCell ref="E80:E82"/>
    <mergeCell ref="F80:F82"/>
    <mergeCell ref="G80:G82"/>
    <mergeCell ref="H80:H82"/>
    <mergeCell ref="I80:I82"/>
    <mergeCell ref="V77:V79"/>
    <mergeCell ref="W77:W79"/>
    <mergeCell ref="X77:X79"/>
    <mergeCell ref="Y77:Y79"/>
    <mergeCell ref="Z77:Z79"/>
    <mergeCell ref="AA77:AA79"/>
    <mergeCell ref="P77:P79"/>
    <mergeCell ref="Q77:Q79"/>
    <mergeCell ref="R77:R79"/>
    <mergeCell ref="S77:S79"/>
    <mergeCell ref="T77:T79"/>
    <mergeCell ref="U77:U79"/>
    <mergeCell ref="J77:J79"/>
    <mergeCell ref="K77:K79"/>
    <mergeCell ref="L77:L79"/>
    <mergeCell ref="M77:M79"/>
    <mergeCell ref="N77:N79"/>
    <mergeCell ref="O77:O79"/>
    <mergeCell ref="AB74:AB76"/>
    <mergeCell ref="A77:A79"/>
    <mergeCell ref="B77:B79"/>
    <mergeCell ref="C77:C79"/>
    <mergeCell ref="D77:D79"/>
    <mergeCell ref="E77:E79"/>
    <mergeCell ref="F77:F79"/>
    <mergeCell ref="G77:G79"/>
    <mergeCell ref="H77:H79"/>
    <mergeCell ref="I77:I79"/>
    <mergeCell ref="V74:V76"/>
    <mergeCell ref="W74:W76"/>
    <mergeCell ref="X74:X76"/>
    <mergeCell ref="Y74:Y76"/>
    <mergeCell ref="Z74:Z76"/>
    <mergeCell ref="AA74:AA76"/>
    <mergeCell ref="P74:P76"/>
    <mergeCell ref="Q74:Q76"/>
    <mergeCell ref="R74:R76"/>
    <mergeCell ref="S74:S76"/>
    <mergeCell ref="T74:T76"/>
    <mergeCell ref="U74:U76"/>
    <mergeCell ref="J74:J76"/>
    <mergeCell ref="K74:K76"/>
    <mergeCell ref="L74:L76"/>
    <mergeCell ref="M74:M76"/>
    <mergeCell ref="N74:N76"/>
    <mergeCell ref="O74:O76"/>
    <mergeCell ref="AB77:AB79"/>
    <mergeCell ref="A69:AF69"/>
    <mergeCell ref="A74:A76"/>
    <mergeCell ref="B74:B76"/>
    <mergeCell ref="C74:C76"/>
    <mergeCell ref="D74:D76"/>
    <mergeCell ref="E74:E76"/>
    <mergeCell ref="F74:F76"/>
    <mergeCell ref="G74:G76"/>
    <mergeCell ref="H74:H76"/>
    <mergeCell ref="I74:I76"/>
    <mergeCell ref="Y57:Y59"/>
    <mergeCell ref="Z57:Z59"/>
    <mergeCell ref="AA57:AA59"/>
    <mergeCell ref="AB57:AB59"/>
    <mergeCell ref="A66:AF66"/>
    <mergeCell ref="A68:AF68"/>
    <mergeCell ref="S57:S59"/>
    <mergeCell ref="T57:T59"/>
    <mergeCell ref="U57:U59"/>
    <mergeCell ref="V57:V59"/>
    <mergeCell ref="W57:W59"/>
    <mergeCell ref="X57:X59"/>
    <mergeCell ref="M57:M59"/>
    <mergeCell ref="N57:N59"/>
    <mergeCell ref="O57:O59"/>
    <mergeCell ref="P57:P59"/>
    <mergeCell ref="Q57:Q59"/>
    <mergeCell ref="R57:R59"/>
    <mergeCell ref="G57:G59"/>
    <mergeCell ref="H57:H59"/>
    <mergeCell ref="I57:I59"/>
    <mergeCell ref="J57:J59"/>
    <mergeCell ref="K57:K59"/>
    <mergeCell ref="L57:L59"/>
    <mergeCell ref="Y54:Y56"/>
    <mergeCell ref="Z54:Z56"/>
    <mergeCell ref="AA54:AA56"/>
    <mergeCell ref="AB54:AB56"/>
    <mergeCell ref="A57:A59"/>
    <mergeCell ref="B57:B59"/>
    <mergeCell ref="C57:C59"/>
    <mergeCell ref="D57:D59"/>
    <mergeCell ref="E57:E59"/>
    <mergeCell ref="F57:F59"/>
    <mergeCell ref="S54:S56"/>
    <mergeCell ref="T54:T56"/>
    <mergeCell ref="U54:U56"/>
    <mergeCell ref="V54:V56"/>
    <mergeCell ref="W54:W56"/>
    <mergeCell ref="X54:X56"/>
    <mergeCell ref="M54:M56"/>
    <mergeCell ref="N54:N56"/>
    <mergeCell ref="O54:O56"/>
    <mergeCell ref="P54:P56"/>
    <mergeCell ref="Q54:Q56"/>
    <mergeCell ref="R54:R56"/>
    <mergeCell ref="G54:G56"/>
    <mergeCell ref="H54:H56"/>
    <mergeCell ref="I54:I56"/>
    <mergeCell ref="J54:J56"/>
    <mergeCell ref="K54:K56"/>
    <mergeCell ref="L54:L56"/>
    <mergeCell ref="Y51:Y53"/>
    <mergeCell ref="Z51:Z53"/>
    <mergeCell ref="AA51:AA53"/>
    <mergeCell ref="AB51:AB53"/>
    <mergeCell ref="A54:A56"/>
    <mergeCell ref="B54:B56"/>
    <mergeCell ref="C54:C56"/>
    <mergeCell ref="D54:D56"/>
    <mergeCell ref="E54:E56"/>
    <mergeCell ref="F54:F56"/>
    <mergeCell ref="S51:S53"/>
    <mergeCell ref="T51:T53"/>
    <mergeCell ref="U51:U53"/>
    <mergeCell ref="V51:V53"/>
    <mergeCell ref="W51:W53"/>
    <mergeCell ref="X51:X53"/>
    <mergeCell ref="M51:M53"/>
    <mergeCell ref="N51:N53"/>
    <mergeCell ref="O51:O53"/>
    <mergeCell ref="P51:P53"/>
    <mergeCell ref="Q51:Q53"/>
    <mergeCell ref="R51:R53"/>
    <mergeCell ref="G51:G53"/>
    <mergeCell ref="H51:H53"/>
    <mergeCell ref="I51:I53"/>
    <mergeCell ref="J51:J53"/>
    <mergeCell ref="K51:K53"/>
    <mergeCell ref="L51:L53"/>
    <mergeCell ref="A51:A53"/>
    <mergeCell ref="B51:B53"/>
    <mergeCell ref="C51:C53"/>
    <mergeCell ref="D51:D53"/>
    <mergeCell ref="E51:E53"/>
    <mergeCell ref="F51:F53"/>
    <mergeCell ref="S48:S50"/>
    <mergeCell ref="T48:T50"/>
    <mergeCell ref="U48:U50"/>
    <mergeCell ref="V48:V50"/>
    <mergeCell ref="W48:W50"/>
    <mergeCell ref="X48:X50"/>
    <mergeCell ref="M48:M50"/>
    <mergeCell ref="N48:N50"/>
    <mergeCell ref="O48:O50"/>
    <mergeCell ref="P48:P50"/>
    <mergeCell ref="Q48:Q50"/>
    <mergeCell ref="R48:R50"/>
    <mergeCell ref="G48:G50"/>
    <mergeCell ref="H48:H50"/>
    <mergeCell ref="I48:I50"/>
    <mergeCell ref="J48:J50"/>
    <mergeCell ref="K48:K50"/>
    <mergeCell ref="L48:L50"/>
    <mergeCell ref="Y45:Y47"/>
    <mergeCell ref="Z45:Z47"/>
    <mergeCell ref="AA45:AA47"/>
    <mergeCell ref="AB45:AB47"/>
    <mergeCell ref="A48:A50"/>
    <mergeCell ref="B48:B50"/>
    <mergeCell ref="C48:C50"/>
    <mergeCell ref="D48:D50"/>
    <mergeCell ref="E48:E50"/>
    <mergeCell ref="F48:F50"/>
    <mergeCell ref="S45:S47"/>
    <mergeCell ref="T45:T47"/>
    <mergeCell ref="U45:U47"/>
    <mergeCell ref="V45:V47"/>
    <mergeCell ref="W45:W47"/>
    <mergeCell ref="X45:X47"/>
    <mergeCell ref="M45:M47"/>
    <mergeCell ref="N45:N47"/>
    <mergeCell ref="O45:O47"/>
    <mergeCell ref="P45:P47"/>
    <mergeCell ref="Q45:Q47"/>
    <mergeCell ref="R45:R47"/>
    <mergeCell ref="G45:G47"/>
    <mergeCell ref="H45:H47"/>
    <mergeCell ref="I45:I47"/>
    <mergeCell ref="J45:J47"/>
    <mergeCell ref="K45:K47"/>
    <mergeCell ref="L45:L47"/>
    <mergeCell ref="Y48:Y50"/>
    <mergeCell ref="Z48:Z50"/>
    <mergeCell ref="AA48:AA50"/>
    <mergeCell ref="AB48:AB50"/>
    <mergeCell ref="A45:A47"/>
    <mergeCell ref="B45:B47"/>
    <mergeCell ref="C45:C47"/>
    <mergeCell ref="D45:D47"/>
    <mergeCell ref="E45:E47"/>
    <mergeCell ref="F45:F47"/>
    <mergeCell ref="S42:S44"/>
    <mergeCell ref="T42:T44"/>
    <mergeCell ref="U42:U44"/>
    <mergeCell ref="V42:V44"/>
    <mergeCell ref="W42:W44"/>
    <mergeCell ref="X42:X44"/>
    <mergeCell ref="M42:M44"/>
    <mergeCell ref="N42:N44"/>
    <mergeCell ref="O42:O44"/>
    <mergeCell ref="P42:P44"/>
    <mergeCell ref="Q42:Q44"/>
    <mergeCell ref="R42:R44"/>
    <mergeCell ref="G42:G44"/>
    <mergeCell ref="H42:H44"/>
    <mergeCell ref="I42:I44"/>
    <mergeCell ref="J42:J44"/>
    <mergeCell ref="K42:K44"/>
    <mergeCell ref="L42:L44"/>
    <mergeCell ref="A42:A44"/>
    <mergeCell ref="B42:B44"/>
    <mergeCell ref="C42:C44"/>
    <mergeCell ref="D42:D44"/>
    <mergeCell ref="E42:E44"/>
    <mergeCell ref="F42:F44"/>
    <mergeCell ref="A34:AF34"/>
    <mergeCell ref="A36:AF36"/>
    <mergeCell ref="A37:AF37"/>
    <mergeCell ref="T26:T28"/>
    <mergeCell ref="U26:U28"/>
    <mergeCell ref="V26:V28"/>
    <mergeCell ref="W26:W28"/>
    <mergeCell ref="X26:X28"/>
    <mergeCell ref="Y26:Y28"/>
    <mergeCell ref="N26:N28"/>
    <mergeCell ref="O26:O28"/>
    <mergeCell ref="P26:P28"/>
    <mergeCell ref="Q26:Q28"/>
    <mergeCell ref="R26:R28"/>
    <mergeCell ref="S26:S28"/>
    <mergeCell ref="H26:H28"/>
    <mergeCell ref="I26:I28"/>
    <mergeCell ref="J26:J28"/>
    <mergeCell ref="K26:K28"/>
    <mergeCell ref="L26:L28"/>
    <mergeCell ref="M26:M28"/>
    <mergeCell ref="Y42:Y44"/>
    <mergeCell ref="Z42:Z44"/>
    <mergeCell ref="AA42:AA44"/>
    <mergeCell ref="AB42:AB44"/>
    <mergeCell ref="A26:A28"/>
    <mergeCell ref="B26:B28"/>
    <mergeCell ref="C26:C28"/>
    <mergeCell ref="D26:D28"/>
    <mergeCell ref="E26:E28"/>
    <mergeCell ref="F26:F28"/>
    <mergeCell ref="G26:G28"/>
    <mergeCell ref="T23:T25"/>
    <mergeCell ref="U23:U25"/>
    <mergeCell ref="V23:V25"/>
    <mergeCell ref="W23:W25"/>
    <mergeCell ref="X23:X25"/>
    <mergeCell ref="Y23:Y25"/>
    <mergeCell ref="N23:N25"/>
    <mergeCell ref="O23:O25"/>
    <mergeCell ref="P23:P25"/>
    <mergeCell ref="Q23:Q25"/>
    <mergeCell ref="R23:R25"/>
    <mergeCell ref="S23:S25"/>
    <mergeCell ref="H23:H25"/>
    <mergeCell ref="I23:I25"/>
    <mergeCell ref="J23:J25"/>
    <mergeCell ref="K23:K25"/>
    <mergeCell ref="L23:L25"/>
    <mergeCell ref="M23:M25"/>
    <mergeCell ref="Z26:Z28"/>
    <mergeCell ref="AA26:AA28"/>
    <mergeCell ref="AB26:AB28"/>
    <mergeCell ref="AB20:AB22"/>
    <mergeCell ref="A23:A25"/>
    <mergeCell ref="B23:B25"/>
    <mergeCell ref="C23:C25"/>
    <mergeCell ref="D23:D25"/>
    <mergeCell ref="E23:E25"/>
    <mergeCell ref="F23:F25"/>
    <mergeCell ref="G23:G25"/>
    <mergeCell ref="T20:T22"/>
    <mergeCell ref="U20:U22"/>
    <mergeCell ref="V20:V22"/>
    <mergeCell ref="W20:W22"/>
    <mergeCell ref="X20:X22"/>
    <mergeCell ref="Y20:Y22"/>
    <mergeCell ref="N20:N22"/>
    <mergeCell ref="O20:O22"/>
    <mergeCell ref="P20:P22"/>
    <mergeCell ref="Q20:Q22"/>
    <mergeCell ref="R20:R22"/>
    <mergeCell ref="S20:S22"/>
    <mergeCell ref="H20:H22"/>
    <mergeCell ref="I20:I22"/>
    <mergeCell ref="J20:J22"/>
    <mergeCell ref="K20:K22"/>
    <mergeCell ref="L20:L22"/>
    <mergeCell ref="M20:M22"/>
    <mergeCell ref="Z23:Z25"/>
    <mergeCell ref="AA23:AA25"/>
    <mergeCell ref="AB23:AB25"/>
    <mergeCell ref="L14:L16"/>
    <mergeCell ref="M14:M16"/>
    <mergeCell ref="Z17:Z19"/>
    <mergeCell ref="AA17:AA19"/>
    <mergeCell ref="AB17:AB19"/>
    <mergeCell ref="A20:A22"/>
    <mergeCell ref="B20:B22"/>
    <mergeCell ref="C20:C22"/>
    <mergeCell ref="D20:D22"/>
    <mergeCell ref="E20:E22"/>
    <mergeCell ref="F20:F22"/>
    <mergeCell ref="G20:G22"/>
    <mergeCell ref="T17:T19"/>
    <mergeCell ref="U17:U19"/>
    <mergeCell ref="V17:V19"/>
    <mergeCell ref="W17:W19"/>
    <mergeCell ref="X17:X19"/>
    <mergeCell ref="Y17:Y19"/>
    <mergeCell ref="N17:N19"/>
    <mergeCell ref="O17:O19"/>
    <mergeCell ref="P17:P19"/>
    <mergeCell ref="Q17:Q19"/>
    <mergeCell ref="R17:R19"/>
    <mergeCell ref="S17:S19"/>
    <mergeCell ref="H17:H19"/>
    <mergeCell ref="I17:I19"/>
    <mergeCell ref="J17:J19"/>
    <mergeCell ref="K17:K19"/>
    <mergeCell ref="L17:L19"/>
    <mergeCell ref="M17:M19"/>
    <mergeCell ref="Z20:Z22"/>
    <mergeCell ref="AA20:AA22"/>
    <mergeCell ref="H11:H13"/>
    <mergeCell ref="I11:I13"/>
    <mergeCell ref="J11:J13"/>
    <mergeCell ref="K11:K13"/>
    <mergeCell ref="L11:L13"/>
    <mergeCell ref="M11:M13"/>
    <mergeCell ref="Z14:Z16"/>
    <mergeCell ref="AA14:AA16"/>
    <mergeCell ref="AB14:AB16"/>
    <mergeCell ref="A17:A19"/>
    <mergeCell ref="B17:B19"/>
    <mergeCell ref="C17:C19"/>
    <mergeCell ref="D17:D19"/>
    <mergeCell ref="E17:E19"/>
    <mergeCell ref="F17:F19"/>
    <mergeCell ref="G17:G19"/>
    <mergeCell ref="T14:T16"/>
    <mergeCell ref="U14:U16"/>
    <mergeCell ref="V14:V16"/>
    <mergeCell ref="W14:W16"/>
    <mergeCell ref="X14:X16"/>
    <mergeCell ref="Y14:Y16"/>
    <mergeCell ref="N14:N16"/>
    <mergeCell ref="O14:O16"/>
    <mergeCell ref="P14:P16"/>
    <mergeCell ref="Q14:Q16"/>
    <mergeCell ref="R14:R16"/>
    <mergeCell ref="S14:S16"/>
    <mergeCell ref="H14:H16"/>
    <mergeCell ref="I14:I16"/>
    <mergeCell ref="J14:J16"/>
    <mergeCell ref="K14:K16"/>
    <mergeCell ref="A3:AF3"/>
    <mergeCell ref="A5:AF5"/>
    <mergeCell ref="A6:AF6"/>
    <mergeCell ref="A11:A13"/>
    <mergeCell ref="B11:B13"/>
    <mergeCell ref="C11:C13"/>
    <mergeCell ref="D11:D13"/>
    <mergeCell ref="E11:E13"/>
    <mergeCell ref="F11:F13"/>
    <mergeCell ref="G11:G13"/>
    <mergeCell ref="Z11:Z13"/>
    <mergeCell ref="AA11:AA13"/>
    <mergeCell ref="AB11:AB13"/>
    <mergeCell ref="A14:A16"/>
    <mergeCell ref="B14:B16"/>
    <mergeCell ref="C14:C16"/>
    <mergeCell ref="D14:D16"/>
    <mergeCell ref="E14:E16"/>
    <mergeCell ref="F14:F16"/>
    <mergeCell ref="G14:G16"/>
    <mergeCell ref="T11:T13"/>
    <mergeCell ref="U11:U13"/>
    <mergeCell ref="V11:V13"/>
    <mergeCell ref="W11:W13"/>
    <mergeCell ref="X11:X13"/>
    <mergeCell ref="Y11:Y13"/>
    <mergeCell ref="N11:N13"/>
    <mergeCell ref="O11:O13"/>
    <mergeCell ref="P11:P13"/>
    <mergeCell ref="Q11:Q13"/>
    <mergeCell ref="R11:R13"/>
    <mergeCell ref="S11:S13"/>
  </mergeCells>
  <pageMargins left="0.19685039370078741" right="0.19685039370078741" top="0.39370078740157483" bottom="0.59055118110236227" header="0" footer="0"/>
  <pageSetup paperSize="9" scale="96" orientation="landscape" horizontalDpi="300" verticalDpi="300" r:id="rId1"/>
  <headerFooter alignWithMargins="0"/>
  <rowBreaks count="33" manualBreakCount="33">
    <brk id="32" max="16383" man="1"/>
    <brk id="64" max="16383" man="1"/>
    <brk id="96" max="16383" man="1"/>
    <brk id="128" max="16383" man="1"/>
    <brk id="160" max="16383" man="1"/>
    <brk id="192" max="16383" man="1"/>
    <brk id="224" max="16383" man="1"/>
    <brk id="256" max="16383" man="1"/>
    <brk id="288" max="16383" man="1"/>
    <brk id="320" max="16383" man="1"/>
    <brk id="352" max="16383" man="1"/>
    <brk id="384" max="16383" man="1"/>
    <brk id="416" max="16383" man="1"/>
    <brk id="448" max="16383" man="1"/>
    <brk id="480" max="16383" man="1"/>
    <brk id="513" max="16383" man="1"/>
    <brk id="547" max="16383" man="1"/>
    <brk id="581" max="16383" man="1"/>
    <brk id="614" max="16383" man="1"/>
    <brk id="649" max="16383" man="1"/>
    <brk id="683" max="16383" man="1"/>
    <brk id="717" max="16383" man="1"/>
    <brk id="751" max="16383" man="1"/>
    <brk id="785" max="16383" man="1"/>
    <brk id="819" max="16383" man="1"/>
    <brk id="853" max="16383" man="1"/>
    <brk id="887" max="16383" man="1"/>
    <brk id="921" max="16383" man="1"/>
    <brk id="955" max="16383" man="1"/>
    <brk id="989" max="31" man="1"/>
    <brk id="1024" max="31" man="1"/>
    <brk id="1056" max="31" man="1"/>
    <brk id="1089" max="31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0EBAA-F768-47CB-9044-480115C1F63D}">
  <sheetPr codeName="Hoja8">
    <tabColor rgb="FFFF0000"/>
  </sheetPr>
  <dimension ref="A3:AF1119"/>
  <sheetViews>
    <sheetView view="pageBreakPreview" topLeftCell="A524" zoomScale="120" zoomScaleNormal="100" zoomScaleSheetLayoutView="120" workbookViewId="0">
      <selection activeCell="A515" sqref="A515:AF544"/>
    </sheetView>
  </sheetViews>
  <sheetFormatPr baseColWidth="10" defaultRowHeight="13.2" x14ac:dyDescent="0.25"/>
  <cols>
    <col min="1" max="1" width="5.6640625" style="26" customWidth="1"/>
    <col min="2" max="2" width="39.33203125" style="26" customWidth="1"/>
    <col min="3" max="27" width="3.109375" customWidth="1"/>
    <col min="28" max="28" width="12.6640625" customWidth="1"/>
    <col min="29" max="31" width="3.109375" customWidth="1"/>
    <col min="32" max="32" width="0.109375" customWidth="1"/>
  </cols>
  <sheetData>
    <row r="3" spans="1:32" ht="24.6" x14ac:dyDescent="0.25">
      <c r="A3" s="144" t="str">
        <f>'INSCRIPCION '!A$1</f>
        <v>TIRADA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</row>
    <row r="4" spans="1:32" ht="19.5" customHeight="1" x14ac:dyDescent="0.4">
      <c r="A4" s="23"/>
      <c r="B4" s="23"/>
    </row>
    <row r="5" spans="1:32" ht="22.5" customHeight="1" x14ac:dyDescent="0.25">
      <c r="A5" s="132" t="str">
        <f>'INSCRIPCION '!A$2</f>
        <v>CAMPO DE TIRO LA ISLA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ht="19.5" customHeight="1" x14ac:dyDescent="0.25">
      <c r="A6" s="143" t="str">
        <f>'INSCRIPCION '!A$3</f>
        <v>XXX PLATOS</v>
      </c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</row>
    <row r="7" spans="1:32" ht="22.8" x14ac:dyDescent="0.4">
      <c r="A7" s="24"/>
      <c r="B7" s="24"/>
    </row>
    <row r="8" spans="1:32" ht="17.399999999999999" x14ac:dyDescent="0.3">
      <c r="A8" s="25" t="s">
        <v>9</v>
      </c>
      <c r="B8" s="25"/>
      <c r="J8" s="9" t="s">
        <v>6</v>
      </c>
      <c r="K8" s="9"/>
      <c r="L8" s="9"/>
      <c r="M8" s="9"/>
      <c r="N8" s="9"/>
      <c r="O8" s="22">
        <v>4</v>
      </c>
      <c r="P8" s="22"/>
      <c r="Q8" s="8"/>
      <c r="R8" s="8"/>
      <c r="S8" s="7"/>
      <c r="T8" s="8"/>
      <c r="U8" s="8"/>
      <c r="V8" s="9" t="s">
        <v>7</v>
      </c>
      <c r="W8" s="9"/>
      <c r="X8" s="9"/>
      <c r="Y8" s="9"/>
      <c r="Z8" s="22">
        <v>4</v>
      </c>
      <c r="AA8" s="22"/>
    </row>
    <row r="9" spans="1:32" ht="13.8" thickBot="1" x14ac:dyDescent="0.3"/>
    <row r="10" spans="1:32" ht="15.6" thickBot="1" x14ac:dyDescent="0.3">
      <c r="A10" s="27" t="s">
        <v>0</v>
      </c>
      <c r="B10" s="27" t="s">
        <v>8</v>
      </c>
      <c r="C10" s="47">
        <v>1</v>
      </c>
      <c r="D10" s="48">
        <v>2</v>
      </c>
      <c r="E10" s="48">
        <v>3</v>
      </c>
      <c r="F10" s="48">
        <v>4</v>
      </c>
      <c r="G10" s="49">
        <v>5</v>
      </c>
      <c r="H10" s="47">
        <v>6</v>
      </c>
      <c r="I10" s="48">
        <v>7</v>
      </c>
      <c r="J10" s="48">
        <v>8</v>
      </c>
      <c r="K10" s="48">
        <v>9</v>
      </c>
      <c r="L10" s="49">
        <v>10</v>
      </c>
      <c r="M10" s="47">
        <v>11</v>
      </c>
      <c r="N10" s="48">
        <v>12</v>
      </c>
      <c r="O10" s="48">
        <v>13</v>
      </c>
      <c r="P10" s="48">
        <v>14</v>
      </c>
      <c r="Q10" s="49">
        <v>15</v>
      </c>
      <c r="R10" s="47">
        <v>16</v>
      </c>
      <c r="S10" s="48">
        <v>17</v>
      </c>
      <c r="T10" s="48">
        <v>18</v>
      </c>
      <c r="U10" s="48">
        <v>19</v>
      </c>
      <c r="V10" s="49">
        <v>20</v>
      </c>
      <c r="W10" s="47">
        <v>21</v>
      </c>
      <c r="X10" s="48">
        <v>22</v>
      </c>
      <c r="Y10" s="48">
        <v>23</v>
      </c>
      <c r="Z10" s="48">
        <v>24</v>
      </c>
      <c r="AA10" s="49">
        <v>25</v>
      </c>
      <c r="AB10" s="30" t="s">
        <v>1</v>
      </c>
    </row>
    <row r="11" spans="1:32" ht="15.75" customHeight="1" x14ac:dyDescent="0.25">
      <c r="A11" s="185">
        <f>ESCUADRAS!B10</f>
        <v>4</v>
      </c>
      <c r="B11" s="136">
        <f>ESCUADRAS!C10</f>
        <v>0</v>
      </c>
      <c r="C11" s="129"/>
      <c r="D11" s="114"/>
      <c r="E11" s="114"/>
      <c r="F11" s="114"/>
      <c r="G11" s="117"/>
      <c r="H11" s="111"/>
      <c r="I11" s="105"/>
      <c r="J11" s="105"/>
      <c r="K11" s="105"/>
      <c r="L11" s="108"/>
      <c r="M11" s="111"/>
      <c r="N11" s="105"/>
      <c r="O11" s="105"/>
      <c r="P11" s="105"/>
      <c r="Q11" s="108"/>
      <c r="R11" s="111"/>
      <c r="S11" s="105"/>
      <c r="T11" s="105"/>
      <c r="U11" s="105"/>
      <c r="V11" s="108"/>
      <c r="W11" s="111"/>
      <c r="X11" s="105"/>
      <c r="Y11" s="105"/>
      <c r="Z11" s="105"/>
      <c r="AA11" s="108"/>
      <c r="AB11" s="133"/>
    </row>
    <row r="12" spans="1:32" ht="15.75" customHeight="1" x14ac:dyDescent="0.25">
      <c r="A12" s="186"/>
      <c r="B12" s="137"/>
      <c r="C12" s="130"/>
      <c r="D12" s="115"/>
      <c r="E12" s="115"/>
      <c r="F12" s="115"/>
      <c r="G12" s="118"/>
      <c r="H12" s="112"/>
      <c r="I12" s="106"/>
      <c r="J12" s="106"/>
      <c r="K12" s="106"/>
      <c r="L12" s="109"/>
      <c r="M12" s="112"/>
      <c r="N12" s="106"/>
      <c r="O12" s="106"/>
      <c r="P12" s="106"/>
      <c r="Q12" s="109"/>
      <c r="R12" s="112"/>
      <c r="S12" s="106"/>
      <c r="T12" s="106"/>
      <c r="U12" s="106"/>
      <c r="V12" s="109"/>
      <c r="W12" s="112"/>
      <c r="X12" s="106"/>
      <c r="Y12" s="106"/>
      <c r="Z12" s="106"/>
      <c r="AA12" s="109"/>
      <c r="AB12" s="134"/>
    </row>
    <row r="13" spans="1:32" ht="15.75" customHeight="1" thickBot="1" x14ac:dyDescent="0.3">
      <c r="A13" s="187"/>
      <c r="B13" s="138"/>
      <c r="C13" s="131"/>
      <c r="D13" s="116"/>
      <c r="E13" s="116"/>
      <c r="F13" s="116"/>
      <c r="G13" s="119"/>
      <c r="H13" s="113"/>
      <c r="I13" s="107"/>
      <c r="J13" s="107"/>
      <c r="K13" s="107"/>
      <c r="L13" s="110"/>
      <c r="M13" s="113"/>
      <c r="N13" s="107"/>
      <c r="O13" s="107"/>
      <c r="P13" s="107"/>
      <c r="Q13" s="110"/>
      <c r="R13" s="113"/>
      <c r="S13" s="107"/>
      <c r="T13" s="107"/>
      <c r="U13" s="107"/>
      <c r="V13" s="110"/>
      <c r="W13" s="113"/>
      <c r="X13" s="107"/>
      <c r="Y13" s="107"/>
      <c r="Z13" s="107"/>
      <c r="AA13" s="110"/>
      <c r="AB13" s="135"/>
    </row>
    <row r="14" spans="1:32" ht="15.75" customHeight="1" x14ac:dyDescent="0.25">
      <c r="A14" s="185">
        <f>ESCUADRAS!B11</f>
        <v>5</v>
      </c>
      <c r="B14" s="136">
        <f>ESCUADRAS!C11</f>
        <v>0</v>
      </c>
      <c r="C14" s="93"/>
      <c r="D14" s="123"/>
      <c r="E14" s="123"/>
      <c r="F14" s="123"/>
      <c r="G14" s="126"/>
      <c r="H14" s="102"/>
      <c r="I14" s="96"/>
      <c r="J14" s="96"/>
      <c r="K14" s="96"/>
      <c r="L14" s="99"/>
      <c r="M14" s="102"/>
      <c r="N14" s="96"/>
      <c r="O14" s="96"/>
      <c r="P14" s="96"/>
      <c r="Q14" s="99"/>
      <c r="R14" s="102"/>
      <c r="S14" s="96"/>
      <c r="T14" s="96"/>
      <c r="U14" s="96"/>
      <c r="V14" s="99"/>
      <c r="W14" s="111"/>
      <c r="X14" s="105"/>
      <c r="Y14" s="105"/>
      <c r="Z14" s="105"/>
      <c r="AA14" s="108"/>
      <c r="AB14" s="133"/>
    </row>
    <row r="15" spans="1:32" ht="15.75" customHeight="1" x14ac:dyDescent="0.25">
      <c r="A15" s="186"/>
      <c r="B15" s="137"/>
      <c r="C15" s="94"/>
      <c r="D15" s="124"/>
      <c r="E15" s="124"/>
      <c r="F15" s="124"/>
      <c r="G15" s="127"/>
      <c r="H15" s="103"/>
      <c r="I15" s="97"/>
      <c r="J15" s="97"/>
      <c r="K15" s="97"/>
      <c r="L15" s="100"/>
      <c r="M15" s="103"/>
      <c r="N15" s="97"/>
      <c r="O15" s="97"/>
      <c r="P15" s="97"/>
      <c r="Q15" s="100"/>
      <c r="R15" s="103"/>
      <c r="S15" s="97"/>
      <c r="T15" s="97"/>
      <c r="U15" s="97"/>
      <c r="V15" s="100"/>
      <c r="W15" s="112"/>
      <c r="X15" s="106"/>
      <c r="Y15" s="106"/>
      <c r="Z15" s="106"/>
      <c r="AA15" s="109"/>
      <c r="AB15" s="134"/>
    </row>
    <row r="16" spans="1:32" ht="15.75" customHeight="1" thickBot="1" x14ac:dyDescent="0.3">
      <c r="A16" s="187"/>
      <c r="B16" s="138"/>
      <c r="C16" s="95"/>
      <c r="D16" s="125"/>
      <c r="E16" s="125"/>
      <c r="F16" s="125"/>
      <c r="G16" s="128"/>
      <c r="H16" s="104"/>
      <c r="I16" s="98"/>
      <c r="J16" s="98"/>
      <c r="K16" s="98"/>
      <c r="L16" s="101"/>
      <c r="M16" s="104"/>
      <c r="N16" s="98"/>
      <c r="O16" s="98"/>
      <c r="P16" s="98"/>
      <c r="Q16" s="101"/>
      <c r="R16" s="104"/>
      <c r="S16" s="98"/>
      <c r="T16" s="98"/>
      <c r="U16" s="98"/>
      <c r="V16" s="101"/>
      <c r="W16" s="113"/>
      <c r="X16" s="107"/>
      <c r="Y16" s="107"/>
      <c r="Z16" s="107"/>
      <c r="AA16" s="110"/>
      <c r="AB16" s="135"/>
    </row>
    <row r="17" spans="1:28" ht="15.75" customHeight="1" x14ac:dyDescent="0.25">
      <c r="A17" s="185">
        <f>ESCUADRAS!B12</f>
        <v>6</v>
      </c>
      <c r="B17" s="136">
        <f>ESCUADRAS!C12</f>
        <v>0</v>
      </c>
      <c r="C17" s="93"/>
      <c r="D17" s="123"/>
      <c r="E17" s="123"/>
      <c r="F17" s="123"/>
      <c r="G17" s="126"/>
      <c r="H17" s="102"/>
      <c r="I17" s="96"/>
      <c r="J17" s="96"/>
      <c r="K17" s="96"/>
      <c r="L17" s="99"/>
      <c r="M17" s="102"/>
      <c r="N17" s="96"/>
      <c r="O17" s="96"/>
      <c r="P17" s="96"/>
      <c r="Q17" s="99"/>
      <c r="R17" s="111"/>
      <c r="S17" s="105"/>
      <c r="T17" s="105"/>
      <c r="U17" s="105"/>
      <c r="V17" s="108"/>
      <c r="W17" s="102"/>
      <c r="X17" s="96"/>
      <c r="Y17" s="96"/>
      <c r="Z17" s="96"/>
      <c r="AA17" s="99"/>
      <c r="AB17" s="133"/>
    </row>
    <row r="18" spans="1:28" ht="15.75" customHeight="1" x14ac:dyDescent="0.25">
      <c r="A18" s="186"/>
      <c r="B18" s="137"/>
      <c r="C18" s="94"/>
      <c r="D18" s="124"/>
      <c r="E18" s="124"/>
      <c r="F18" s="124"/>
      <c r="G18" s="127"/>
      <c r="H18" s="103"/>
      <c r="I18" s="97"/>
      <c r="J18" s="97"/>
      <c r="K18" s="97"/>
      <c r="L18" s="100"/>
      <c r="M18" s="103"/>
      <c r="N18" s="97"/>
      <c r="O18" s="97"/>
      <c r="P18" s="97"/>
      <c r="Q18" s="100"/>
      <c r="R18" s="112"/>
      <c r="S18" s="106"/>
      <c r="T18" s="106"/>
      <c r="U18" s="106"/>
      <c r="V18" s="109"/>
      <c r="W18" s="103"/>
      <c r="X18" s="97"/>
      <c r="Y18" s="97"/>
      <c r="Z18" s="97"/>
      <c r="AA18" s="100"/>
      <c r="AB18" s="134"/>
    </row>
    <row r="19" spans="1:28" ht="15.75" customHeight="1" thickBot="1" x14ac:dyDescent="0.3">
      <c r="A19" s="187"/>
      <c r="B19" s="138"/>
      <c r="C19" s="95"/>
      <c r="D19" s="125"/>
      <c r="E19" s="125"/>
      <c r="F19" s="125"/>
      <c r="G19" s="128"/>
      <c r="H19" s="104"/>
      <c r="I19" s="98"/>
      <c r="J19" s="98"/>
      <c r="K19" s="98"/>
      <c r="L19" s="101"/>
      <c r="M19" s="104"/>
      <c r="N19" s="98"/>
      <c r="O19" s="98"/>
      <c r="P19" s="98"/>
      <c r="Q19" s="101"/>
      <c r="R19" s="113"/>
      <c r="S19" s="107"/>
      <c r="T19" s="107"/>
      <c r="U19" s="107"/>
      <c r="V19" s="110"/>
      <c r="W19" s="104"/>
      <c r="X19" s="98"/>
      <c r="Y19" s="98"/>
      <c r="Z19" s="98"/>
      <c r="AA19" s="101"/>
      <c r="AB19" s="135"/>
    </row>
    <row r="20" spans="1:28" ht="15.75" customHeight="1" x14ac:dyDescent="0.25">
      <c r="A20" s="185">
        <f>ESCUADRAS!B7</f>
        <v>1</v>
      </c>
      <c r="B20" s="136">
        <f>ESCUADRAS!C7</f>
        <v>0</v>
      </c>
      <c r="C20" s="93"/>
      <c r="D20" s="123"/>
      <c r="E20" s="123"/>
      <c r="F20" s="123"/>
      <c r="G20" s="126"/>
      <c r="H20" s="102"/>
      <c r="I20" s="96"/>
      <c r="J20" s="96"/>
      <c r="K20" s="96"/>
      <c r="L20" s="99"/>
      <c r="M20" s="111"/>
      <c r="N20" s="105"/>
      <c r="O20" s="105"/>
      <c r="P20" s="105"/>
      <c r="Q20" s="108"/>
      <c r="R20" s="102"/>
      <c r="S20" s="96"/>
      <c r="T20" s="96"/>
      <c r="U20" s="96"/>
      <c r="V20" s="99"/>
      <c r="W20" s="102"/>
      <c r="X20" s="96"/>
      <c r="Y20" s="96"/>
      <c r="Z20" s="96"/>
      <c r="AA20" s="99"/>
      <c r="AB20" s="133"/>
    </row>
    <row r="21" spans="1:28" ht="15.75" customHeight="1" x14ac:dyDescent="0.25">
      <c r="A21" s="186"/>
      <c r="B21" s="137"/>
      <c r="C21" s="94"/>
      <c r="D21" s="124"/>
      <c r="E21" s="124"/>
      <c r="F21" s="124"/>
      <c r="G21" s="127"/>
      <c r="H21" s="103"/>
      <c r="I21" s="97"/>
      <c r="J21" s="97"/>
      <c r="K21" s="97"/>
      <c r="L21" s="100"/>
      <c r="M21" s="112"/>
      <c r="N21" s="106"/>
      <c r="O21" s="106"/>
      <c r="P21" s="106"/>
      <c r="Q21" s="109"/>
      <c r="R21" s="103"/>
      <c r="S21" s="97"/>
      <c r="T21" s="97"/>
      <c r="U21" s="97"/>
      <c r="V21" s="100"/>
      <c r="W21" s="103"/>
      <c r="X21" s="97"/>
      <c r="Y21" s="97"/>
      <c r="Z21" s="97"/>
      <c r="AA21" s="100"/>
      <c r="AB21" s="134"/>
    </row>
    <row r="22" spans="1:28" ht="15.75" customHeight="1" thickBot="1" x14ac:dyDescent="0.3">
      <c r="A22" s="187"/>
      <c r="B22" s="138"/>
      <c r="C22" s="95"/>
      <c r="D22" s="125"/>
      <c r="E22" s="125"/>
      <c r="F22" s="125"/>
      <c r="G22" s="128"/>
      <c r="H22" s="104"/>
      <c r="I22" s="98"/>
      <c r="J22" s="98"/>
      <c r="K22" s="98"/>
      <c r="L22" s="101"/>
      <c r="M22" s="113"/>
      <c r="N22" s="107"/>
      <c r="O22" s="107"/>
      <c r="P22" s="107"/>
      <c r="Q22" s="110"/>
      <c r="R22" s="104"/>
      <c r="S22" s="98"/>
      <c r="T22" s="98"/>
      <c r="U22" s="98"/>
      <c r="V22" s="101"/>
      <c r="W22" s="104"/>
      <c r="X22" s="98"/>
      <c r="Y22" s="98"/>
      <c r="Z22" s="98"/>
      <c r="AA22" s="101"/>
      <c r="AB22" s="135"/>
    </row>
    <row r="23" spans="1:28" ht="15.75" customHeight="1" x14ac:dyDescent="0.25">
      <c r="A23" s="185">
        <f>ESCUADRAS!B8</f>
        <v>2</v>
      </c>
      <c r="B23" s="136">
        <f>ESCUADRAS!C8</f>
        <v>0</v>
      </c>
      <c r="C23" s="93"/>
      <c r="D23" s="123"/>
      <c r="E23" s="123"/>
      <c r="F23" s="123"/>
      <c r="G23" s="126"/>
      <c r="H23" s="111"/>
      <c r="I23" s="105"/>
      <c r="J23" s="105"/>
      <c r="K23" s="105"/>
      <c r="L23" s="108"/>
      <c r="M23" s="102"/>
      <c r="N23" s="96"/>
      <c r="O23" s="96"/>
      <c r="P23" s="96"/>
      <c r="Q23" s="99"/>
      <c r="R23" s="102"/>
      <c r="S23" s="96"/>
      <c r="T23" s="96"/>
      <c r="U23" s="96"/>
      <c r="V23" s="99"/>
      <c r="W23" s="102"/>
      <c r="X23" s="96"/>
      <c r="Y23" s="96"/>
      <c r="Z23" s="96"/>
      <c r="AA23" s="99"/>
      <c r="AB23" s="133"/>
    </row>
    <row r="24" spans="1:28" ht="15.75" customHeight="1" x14ac:dyDescent="0.25">
      <c r="A24" s="186"/>
      <c r="B24" s="137"/>
      <c r="C24" s="94"/>
      <c r="D24" s="124"/>
      <c r="E24" s="124"/>
      <c r="F24" s="124"/>
      <c r="G24" s="127"/>
      <c r="H24" s="112"/>
      <c r="I24" s="106"/>
      <c r="J24" s="106"/>
      <c r="K24" s="106"/>
      <c r="L24" s="109"/>
      <c r="M24" s="103"/>
      <c r="N24" s="97"/>
      <c r="O24" s="97"/>
      <c r="P24" s="97"/>
      <c r="Q24" s="100"/>
      <c r="R24" s="103"/>
      <c r="S24" s="97"/>
      <c r="T24" s="97"/>
      <c r="U24" s="97"/>
      <c r="V24" s="100"/>
      <c r="W24" s="103"/>
      <c r="X24" s="97"/>
      <c r="Y24" s="97"/>
      <c r="Z24" s="97"/>
      <c r="AA24" s="100"/>
      <c r="AB24" s="134"/>
    </row>
    <row r="25" spans="1:28" ht="15.75" customHeight="1" thickBot="1" x14ac:dyDescent="0.3">
      <c r="A25" s="187"/>
      <c r="B25" s="138"/>
      <c r="C25" s="95"/>
      <c r="D25" s="125"/>
      <c r="E25" s="125"/>
      <c r="F25" s="125"/>
      <c r="G25" s="128"/>
      <c r="H25" s="113"/>
      <c r="I25" s="107"/>
      <c r="J25" s="107"/>
      <c r="K25" s="107"/>
      <c r="L25" s="110"/>
      <c r="M25" s="104"/>
      <c r="N25" s="98"/>
      <c r="O25" s="98"/>
      <c r="P25" s="98"/>
      <c r="Q25" s="101"/>
      <c r="R25" s="104"/>
      <c r="S25" s="98"/>
      <c r="T25" s="98"/>
      <c r="U25" s="98"/>
      <c r="V25" s="101"/>
      <c r="W25" s="104"/>
      <c r="X25" s="98"/>
      <c r="Y25" s="98"/>
      <c r="Z25" s="98"/>
      <c r="AA25" s="101"/>
      <c r="AB25" s="135"/>
    </row>
    <row r="26" spans="1:28" ht="15.75" customHeight="1" x14ac:dyDescent="0.25">
      <c r="A26" s="185">
        <f>ESCUADRAS!B9</f>
        <v>3</v>
      </c>
      <c r="B26" s="136">
        <f>ESCUADRAS!C9</f>
        <v>0</v>
      </c>
      <c r="C26" s="111"/>
      <c r="D26" s="105"/>
      <c r="E26" s="105"/>
      <c r="F26" s="105"/>
      <c r="G26" s="108"/>
      <c r="H26" s="122"/>
      <c r="I26" s="120"/>
      <c r="J26" s="120"/>
      <c r="K26" s="120"/>
      <c r="L26" s="121"/>
      <c r="M26" s="122"/>
      <c r="N26" s="120"/>
      <c r="O26" s="120"/>
      <c r="P26" s="120"/>
      <c r="Q26" s="121"/>
      <c r="R26" s="122"/>
      <c r="S26" s="120"/>
      <c r="T26" s="120"/>
      <c r="U26" s="120"/>
      <c r="V26" s="121"/>
      <c r="W26" s="122"/>
      <c r="X26" s="120"/>
      <c r="Y26" s="120"/>
      <c r="Z26" s="120"/>
      <c r="AA26" s="121"/>
      <c r="AB26" s="133"/>
    </row>
    <row r="27" spans="1:28" ht="15.75" customHeight="1" x14ac:dyDescent="0.25">
      <c r="A27" s="186"/>
      <c r="B27" s="137"/>
      <c r="C27" s="112"/>
      <c r="D27" s="106"/>
      <c r="E27" s="106"/>
      <c r="F27" s="106"/>
      <c r="G27" s="109"/>
      <c r="H27" s="103"/>
      <c r="I27" s="97"/>
      <c r="J27" s="97"/>
      <c r="K27" s="97"/>
      <c r="L27" s="100"/>
      <c r="M27" s="103"/>
      <c r="N27" s="97"/>
      <c r="O27" s="97"/>
      <c r="P27" s="97"/>
      <c r="Q27" s="100"/>
      <c r="R27" s="103"/>
      <c r="S27" s="97"/>
      <c r="T27" s="97"/>
      <c r="U27" s="97"/>
      <c r="V27" s="100"/>
      <c r="W27" s="103"/>
      <c r="X27" s="97"/>
      <c r="Y27" s="97"/>
      <c r="Z27" s="97"/>
      <c r="AA27" s="100"/>
      <c r="AB27" s="134"/>
    </row>
    <row r="28" spans="1:28" ht="15.75" customHeight="1" thickBot="1" x14ac:dyDescent="0.3">
      <c r="A28" s="187"/>
      <c r="B28" s="138"/>
      <c r="C28" s="113"/>
      <c r="D28" s="107"/>
      <c r="E28" s="107"/>
      <c r="F28" s="107"/>
      <c r="G28" s="110"/>
      <c r="H28" s="104"/>
      <c r="I28" s="98"/>
      <c r="J28" s="98"/>
      <c r="K28" s="98"/>
      <c r="L28" s="101"/>
      <c r="M28" s="104"/>
      <c r="N28" s="98"/>
      <c r="O28" s="98"/>
      <c r="P28" s="98"/>
      <c r="Q28" s="101"/>
      <c r="R28" s="104"/>
      <c r="S28" s="98"/>
      <c r="T28" s="98"/>
      <c r="U28" s="98"/>
      <c r="V28" s="101"/>
      <c r="W28" s="104"/>
      <c r="X28" s="98"/>
      <c r="Y28" s="98"/>
      <c r="Z28" s="98"/>
      <c r="AA28" s="101"/>
      <c r="AB28" s="135"/>
    </row>
    <row r="29" spans="1:28" ht="15" x14ac:dyDescent="0.25">
      <c r="A29" s="28"/>
    </row>
    <row r="30" spans="1:28" ht="15" x14ac:dyDescent="0.25">
      <c r="A30" s="28"/>
      <c r="B30" s="26" t="s">
        <v>35</v>
      </c>
      <c r="E30" s="21" t="s">
        <v>41</v>
      </c>
      <c r="I30" s="21" t="s">
        <v>42</v>
      </c>
      <c r="M30" s="21" t="s">
        <v>43</v>
      </c>
      <c r="Q30" s="21" t="s">
        <v>44</v>
      </c>
      <c r="U30" s="21" t="s">
        <v>45</v>
      </c>
      <c r="Y30" s="21" t="s">
        <v>46</v>
      </c>
    </row>
    <row r="31" spans="1:28" ht="15" x14ac:dyDescent="0.25">
      <c r="A31" s="28"/>
    </row>
    <row r="32" spans="1:28" ht="9.75" customHeight="1" x14ac:dyDescent="0.25">
      <c r="A32" s="28"/>
    </row>
    <row r="34" spans="1:32" ht="24.6" x14ac:dyDescent="0.25">
      <c r="A34" s="144" t="str">
        <f>'INSCRIPCION '!A$1</f>
        <v>TIRADA</v>
      </c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</row>
    <row r="35" spans="1:32" ht="19.5" customHeight="1" x14ac:dyDescent="0.4">
      <c r="A35" s="23"/>
      <c r="B35" s="23"/>
    </row>
    <row r="36" spans="1:32" ht="23.25" customHeight="1" x14ac:dyDescent="0.25">
      <c r="A36" s="132" t="str">
        <f>'INSCRIPCION '!A$2</f>
        <v>CAMPO DE TIRO LA ISLA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</row>
    <row r="37" spans="1:32" ht="19.5" customHeight="1" x14ac:dyDescent="0.25">
      <c r="A37" s="143" t="str">
        <f>'INSCRIPCION '!A$3</f>
        <v>XXX PLATOS</v>
      </c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</row>
    <row r="38" spans="1:32" ht="22.8" x14ac:dyDescent="0.4">
      <c r="A38" s="24"/>
      <c r="B38" s="24"/>
    </row>
    <row r="39" spans="1:32" ht="17.399999999999999" x14ac:dyDescent="0.3">
      <c r="A39" s="25" t="s">
        <v>10</v>
      </c>
      <c r="B39" s="25"/>
      <c r="J39" s="9" t="s">
        <v>6</v>
      </c>
      <c r="K39" s="9"/>
      <c r="L39" s="9"/>
      <c r="M39" s="9"/>
      <c r="N39" s="9"/>
      <c r="O39" s="22">
        <v>1</v>
      </c>
      <c r="P39" s="22"/>
      <c r="Q39" s="8"/>
      <c r="R39" s="8"/>
      <c r="S39" s="7"/>
      <c r="T39" s="8"/>
      <c r="U39" s="8"/>
      <c r="V39" s="9" t="s">
        <v>7</v>
      </c>
      <c r="W39" s="9"/>
      <c r="X39" s="9"/>
      <c r="Y39" s="9"/>
      <c r="Z39" s="22">
        <v>4</v>
      </c>
      <c r="AA39" s="22"/>
    </row>
    <row r="40" spans="1:32" ht="13.8" thickBot="1" x14ac:dyDescent="0.3"/>
    <row r="41" spans="1:32" ht="15.6" thickBot="1" x14ac:dyDescent="0.3">
      <c r="A41" s="27" t="s">
        <v>0</v>
      </c>
      <c r="B41" s="27" t="s">
        <v>8</v>
      </c>
      <c r="C41" s="47">
        <v>1</v>
      </c>
      <c r="D41" s="48">
        <v>2</v>
      </c>
      <c r="E41" s="48">
        <v>3</v>
      </c>
      <c r="F41" s="48">
        <v>4</v>
      </c>
      <c r="G41" s="49">
        <v>5</v>
      </c>
      <c r="H41" s="47">
        <v>6</v>
      </c>
      <c r="I41" s="48">
        <v>7</v>
      </c>
      <c r="J41" s="48">
        <v>8</v>
      </c>
      <c r="K41" s="48">
        <v>9</v>
      </c>
      <c r="L41" s="49">
        <v>10</v>
      </c>
      <c r="M41" s="47">
        <v>11</v>
      </c>
      <c r="N41" s="48">
        <v>12</v>
      </c>
      <c r="O41" s="48">
        <v>13</v>
      </c>
      <c r="P41" s="48">
        <v>14</v>
      </c>
      <c r="Q41" s="49">
        <v>15</v>
      </c>
      <c r="R41" s="47">
        <v>16</v>
      </c>
      <c r="S41" s="48">
        <v>17</v>
      </c>
      <c r="T41" s="48">
        <v>18</v>
      </c>
      <c r="U41" s="48">
        <v>19</v>
      </c>
      <c r="V41" s="49">
        <v>20</v>
      </c>
      <c r="W41" s="47">
        <v>21</v>
      </c>
      <c r="X41" s="48">
        <v>22</v>
      </c>
      <c r="Y41" s="48">
        <v>23</v>
      </c>
      <c r="Z41" s="48">
        <v>24</v>
      </c>
      <c r="AA41" s="49">
        <v>25</v>
      </c>
      <c r="AB41" s="30" t="s">
        <v>1</v>
      </c>
    </row>
    <row r="42" spans="1:32" ht="15.75" customHeight="1" x14ac:dyDescent="0.25">
      <c r="A42" s="185">
        <f>ESCUADRAS!B16</f>
        <v>10</v>
      </c>
      <c r="B42" s="136">
        <f>ESCUADRAS!C16</f>
        <v>0</v>
      </c>
      <c r="C42" s="129"/>
      <c r="D42" s="114"/>
      <c r="E42" s="114"/>
      <c r="F42" s="114"/>
      <c r="G42" s="117"/>
      <c r="H42" s="111"/>
      <c r="I42" s="105"/>
      <c r="J42" s="105"/>
      <c r="K42" s="105"/>
      <c r="L42" s="108"/>
      <c r="M42" s="111"/>
      <c r="N42" s="105"/>
      <c r="O42" s="105"/>
      <c r="P42" s="105"/>
      <c r="Q42" s="108"/>
      <c r="R42" s="111"/>
      <c r="S42" s="105"/>
      <c r="T42" s="105"/>
      <c r="U42" s="105"/>
      <c r="V42" s="108"/>
      <c r="W42" s="111"/>
      <c r="X42" s="105"/>
      <c r="Y42" s="105"/>
      <c r="Z42" s="105"/>
      <c r="AA42" s="108"/>
      <c r="AB42" s="133"/>
    </row>
    <row r="43" spans="1:32" ht="15.75" customHeight="1" x14ac:dyDescent="0.25">
      <c r="A43" s="186"/>
      <c r="B43" s="137"/>
      <c r="C43" s="130"/>
      <c r="D43" s="115"/>
      <c r="E43" s="115"/>
      <c r="F43" s="115"/>
      <c r="G43" s="118"/>
      <c r="H43" s="112"/>
      <c r="I43" s="106"/>
      <c r="J43" s="106"/>
      <c r="K43" s="106"/>
      <c r="L43" s="109"/>
      <c r="M43" s="112"/>
      <c r="N43" s="106"/>
      <c r="O43" s="106"/>
      <c r="P43" s="106"/>
      <c r="Q43" s="109"/>
      <c r="R43" s="112"/>
      <c r="S43" s="106"/>
      <c r="T43" s="106"/>
      <c r="U43" s="106"/>
      <c r="V43" s="109"/>
      <c r="W43" s="112"/>
      <c r="X43" s="106"/>
      <c r="Y43" s="106"/>
      <c r="Z43" s="106"/>
      <c r="AA43" s="109"/>
      <c r="AB43" s="134"/>
    </row>
    <row r="44" spans="1:32" ht="15.75" customHeight="1" thickBot="1" x14ac:dyDescent="0.3">
      <c r="A44" s="187"/>
      <c r="B44" s="138"/>
      <c r="C44" s="131"/>
      <c r="D44" s="116"/>
      <c r="E44" s="116"/>
      <c r="F44" s="116"/>
      <c r="G44" s="119"/>
      <c r="H44" s="113"/>
      <c r="I44" s="107"/>
      <c r="J44" s="107"/>
      <c r="K44" s="107"/>
      <c r="L44" s="110"/>
      <c r="M44" s="113"/>
      <c r="N44" s="107"/>
      <c r="O44" s="107"/>
      <c r="P44" s="107"/>
      <c r="Q44" s="110"/>
      <c r="R44" s="113"/>
      <c r="S44" s="107"/>
      <c r="T44" s="107"/>
      <c r="U44" s="107"/>
      <c r="V44" s="110"/>
      <c r="W44" s="113"/>
      <c r="X44" s="107"/>
      <c r="Y44" s="107"/>
      <c r="Z44" s="107"/>
      <c r="AA44" s="110"/>
      <c r="AB44" s="135"/>
    </row>
    <row r="45" spans="1:32" ht="15.75" customHeight="1" x14ac:dyDescent="0.25">
      <c r="A45" s="185">
        <f>ESCUADRAS!B17</f>
        <v>11</v>
      </c>
      <c r="B45" s="136">
        <f>ESCUADRAS!C17</f>
        <v>0</v>
      </c>
      <c r="C45" s="93"/>
      <c r="D45" s="123"/>
      <c r="E45" s="123"/>
      <c r="F45" s="123"/>
      <c r="G45" s="126"/>
      <c r="H45" s="102"/>
      <c r="I45" s="96"/>
      <c r="J45" s="96"/>
      <c r="K45" s="96"/>
      <c r="L45" s="99"/>
      <c r="M45" s="102"/>
      <c r="N45" s="96"/>
      <c r="O45" s="96"/>
      <c r="P45" s="96"/>
      <c r="Q45" s="99"/>
      <c r="R45" s="102"/>
      <c r="S45" s="96"/>
      <c r="T45" s="96"/>
      <c r="U45" s="96"/>
      <c r="V45" s="99"/>
      <c r="W45" s="111"/>
      <c r="X45" s="105"/>
      <c r="Y45" s="105"/>
      <c r="Z45" s="105"/>
      <c r="AA45" s="108"/>
      <c r="AB45" s="133"/>
    </row>
    <row r="46" spans="1:32" ht="15.75" customHeight="1" x14ac:dyDescent="0.25">
      <c r="A46" s="186"/>
      <c r="B46" s="137"/>
      <c r="C46" s="94"/>
      <c r="D46" s="124"/>
      <c r="E46" s="124"/>
      <c r="F46" s="124"/>
      <c r="G46" s="127"/>
      <c r="H46" s="103"/>
      <c r="I46" s="97"/>
      <c r="J46" s="97"/>
      <c r="K46" s="97"/>
      <c r="L46" s="100"/>
      <c r="M46" s="103"/>
      <c r="N46" s="97"/>
      <c r="O46" s="97"/>
      <c r="P46" s="97"/>
      <c r="Q46" s="100"/>
      <c r="R46" s="103"/>
      <c r="S46" s="97"/>
      <c r="T46" s="97"/>
      <c r="U46" s="97"/>
      <c r="V46" s="100"/>
      <c r="W46" s="112"/>
      <c r="X46" s="106"/>
      <c r="Y46" s="106"/>
      <c r="Z46" s="106"/>
      <c r="AA46" s="109"/>
      <c r="AB46" s="134"/>
    </row>
    <row r="47" spans="1:32" ht="15.75" customHeight="1" thickBot="1" x14ac:dyDescent="0.3">
      <c r="A47" s="187"/>
      <c r="B47" s="138"/>
      <c r="C47" s="95"/>
      <c r="D47" s="125"/>
      <c r="E47" s="125"/>
      <c r="F47" s="125"/>
      <c r="G47" s="128"/>
      <c r="H47" s="104"/>
      <c r="I47" s="98"/>
      <c r="J47" s="98"/>
      <c r="K47" s="98"/>
      <c r="L47" s="101"/>
      <c r="M47" s="104"/>
      <c r="N47" s="98"/>
      <c r="O47" s="98"/>
      <c r="P47" s="98"/>
      <c r="Q47" s="101"/>
      <c r="R47" s="104"/>
      <c r="S47" s="98"/>
      <c r="T47" s="98"/>
      <c r="U47" s="98"/>
      <c r="V47" s="101"/>
      <c r="W47" s="113"/>
      <c r="X47" s="107"/>
      <c r="Y47" s="107"/>
      <c r="Z47" s="107"/>
      <c r="AA47" s="110"/>
      <c r="AB47" s="135"/>
    </row>
    <row r="48" spans="1:32" ht="15.75" customHeight="1" x14ac:dyDescent="0.25">
      <c r="A48" s="185">
        <f>ESCUADRAS!B18</f>
        <v>12</v>
      </c>
      <c r="B48" s="136">
        <f>ESCUADRAS!C18</f>
        <v>0</v>
      </c>
      <c r="C48" s="93"/>
      <c r="D48" s="123"/>
      <c r="E48" s="123"/>
      <c r="F48" s="123"/>
      <c r="G48" s="126"/>
      <c r="H48" s="102"/>
      <c r="I48" s="96"/>
      <c r="J48" s="96"/>
      <c r="K48" s="96"/>
      <c r="L48" s="99"/>
      <c r="M48" s="102"/>
      <c r="N48" s="96"/>
      <c r="O48" s="96"/>
      <c r="P48" s="96"/>
      <c r="Q48" s="99"/>
      <c r="R48" s="111"/>
      <c r="S48" s="105"/>
      <c r="T48" s="105"/>
      <c r="U48" s="105"/>
      <c r="V48" s="108"/>
      <c r="W48" s="102"/>
      <c r="X48" s="96"/>
      <c r="Y48" s="96"/>
      <c r="Z48" s="96"/>
      <c r="AA48" s="99"/>
      <c r="AB48" s="133"/>
    </row>
    <row r="49" spans="1:28" ht="15.75" customHeight="1" x14ac:dyDescent="0.25">
      <c r="A49" s="186"/>
      <c r="B49" s="137"/>
      <c r="C49" s="94"/>
      <c r="D49" s="124"/>
      <c r="E49" s="124"/>
      <c r="F49" s="124"/>
      <c r="G49" s="127"/>
      <c r="H49" s="103"/>
      <c r="I49" s="97"/>
      <c r="J49" s="97"/>
      <c r="K49" s="97"/>
      <c r="L49" s="100"/>
      <c r="M49" s="103"/>
      <c r="N49" s="97"/>
      <c r="O49" s="97"/>
      <c r="P49" s="97"/>
      <c r="Q49" s="100"/>
      <c r="R49" s="112"/>
      <c r="S49" s="106"/>
      <c r="T49" s="106"/>
      <c r="U49" s="106"/>
      <c r="V49" s="109"/>
      <c r="W49" s="103"/>
      <c r="X49" s="97"/>
      <c r="Y49" s="97"/>
      <c r="Z49" s="97"/>
      <c r="AA49" s="100"/>
      <c r="AB49" s="134"/>
    </row>
    <row r="50" spans="1:28" ht="15.75" customHeight="1" thickBot="1" x14ac:dyDescent="0.3">
      <c r="A50" s="187"/>
      <c r="B50" s="138"/>
      <c r="C50" s="95"/>
      <c r="D50" s="125"/>
      <c r="E50" s="125"/>
      <c r="F50" s="125"/>
      <c r="G50" s="128"/>
      <c r="H50" s="104"/>
      <c r="I50" s="98"/>
      <c r="J50" s="98"/>
      <c r="K50" s="98"/>
      <c r="L50" s="101"/>
      <c r="M50" s="104"/>
      <c r="N50" s="98"/>
      <c r="O50" s="98"/>
      <c r="P50" s="98"/>
      <c r="Q50" s="101"/>
      <c r="R50" s="113"/>
      <c r="S50" s="107"/>
      <c r="T50" s="107"/>
      <c r="U50" s="107"/>
      <c r="V50" s="110"/>
      <c r="W50" s="104"/>
      <c r="X50" s="98"/>
      <c r="Y50" s="98"/>
      <c r="Z50" s="98"/>
      <c r="AA50" s="101"/>
      <c r="AB50" s="135"/>
    </row>
    <row r="51" spans="1:28" ht="15.75" customHeight="1" x14ac:dyDescent="0.25">
      <c r="A51" s="185">
        <f>ESCUADRAS!B13</f>
        <v>7</v>
      </c>
      <c r="B51" s="136">
        <f>ESCUADRAS!C13</f>
        <v>0</v>
      </c>
      <c r="C51" s="93"/>
      <c r="D51" s="123"/>
      <c r="E51" s="123"/>
      <c r="F51" s="123"/>
      <c r="G51" s="126"/>
      <c r="H51" s="102"/>
      <c r="I51" s="96"/>
      <c r="J51" s="96"/>
      <c r="K51" s="96"/>
      <c r="L51" s="99"/>
      <c r="M51" s="111"/>
      <c r="N51" s="105"/>
      <c r="O51" s="105"/>
      <c r="P51" s="105"/>
      <c r="Q51" s="108"/>
      <c r="R51" s="102"/>
      <c r="S51" s="96"/>
      <c r="T51" s="96"/>
      <c r="U51" s="96"/>
      <c r="V51" s="99"/>
      <c r="W51" s="102"/>
      <c r="X51" s="96"/>
      <c r="Y51" s="96"/>
      <c r="Z51" s="96"/>
      <c r="AA51" s="99"/>
      <c r="AB51" s="133"/>
    </row>
    <row r="52" spans="1:28" ht="15.75" customHeight="1" x14ac:dyDescent="0.25">
      <c r="A52" s="186"/>
      <c r="B52" s="137"/>
      <c r="C52" s="94"/>
      <c r="D52" s="124"/>
      <c r="E52" s="124"/>
      <c r="F52" s="124"/>
      <c r="G52" s="127"/>
      <c r="H52" s="103"/>
      <c r="I52" s="97"/>
      <c r="J52" s="97"/>
      <c r="K52" s="97"/>
      <c r="L52" s="100"/>
      <c r="M52" s="112"/>
      <c r="N52" s="106"/>
      <c r="O52" s="106"/>
      <c r="P52" s="106"/>
      <c r="Q52" s="109"/>
      <c r="R52" s="103"/>
      <c r="S52" s="97"/>
      <c r="T52" s="97"/>
      <c r="U52" s="97"/>
      <c r="V52" s="100"/>
      <c r="W52" s="103"/>
      <c r="X52" s="97"/>
      <c r="Y52" s="97"/>
      <c r="Z52" s="97"/>
      <c r="AA52" s="100"/>
      <c r="AB52" s="134"/>
    </row>
    <row r="53" spans="1:28" ht="15.75" customHeight="1" thickBot="1" x14ac:dyDescent="0.3">
      <c r="A53" s="187"/>
      <c r="B53" s="138"/>
      <c r="C53" s="95"/>
      <c r="D53" s="125"/>
      <c r="E53" s="125"/>
      <c r="F53" s="125"/>
      <c r="G53" s="128"/>
      <c r="H53" s="104"/>
      <c r="I53" s="98"/>
      <c r="J53" s="98"/>
      <c r="K53" s="98"/>
      <c r="L53" s="101"/>
      <c r="M53" s="113"/>
      <c r="N53" s="107"/>
      <c r="O53" s="107"/>
      <c r="P53" s="107"/>
      <c r="Q53" s="110"/>
      <c r="R53" s="104"/>
      <c r="S53" s="98"/>
      <c r="T53" s="98"/>
      <c r="U53" s="98"/>
      <c r="V53" s="101"/>
      <c r="W53" s="104"/>
      <c r="X53" s="98"/>
      <c r="Y53" s="98"/>
      <c r="Z53" s="98"/>
      <c r="AA53" s="101"/>
      <c r="AB53" s="135"/>
    </row>
    <row r="54" spans="1:28" ht="15.75" customHeight="1" x14ac:dyDescent="0.25">
      <c r="A54" s="185">
        <f>ESCUADRAS!B14</f>
        <v>8</v>
      </c>
      <c r="B54" s="136">
        <f>ESCUADRAS!C14</f>
        <v>0</v>
      </c>
      <c r="C54" s="93"/>
      <c r="D54" s="123"/>
      <c r="E54" s="123"/>
      <c r="F54" s="123"/>
      <c r="G54" s="126"/>
      <c r="H54" s="111"/>
      <c r="I54" s="105"/>
      <c r="J54" s="105"/>
      <c r="K54" s="105"/>
      <c r="L54" s="108"/>
      <c r="M54" s="102"/>
      <c r="N54" s="96"/>
      <c r="O54" s="96"/>
      <c r="P54" s="96"/>
      <c r="Q54" s="99"/>
      <c r="R54" s="102"/>
      <c r="S54" s="96"/>
      <c r="T54" s="96"/>
      <c r="U54" s="96"/>
      <c r="V54" s="99"/>
      <c r="W54" s="102"/>
      <c r="X54" s="96"/>
      <c r="Y54" s="96"/>
      <c r="Z54" s="96"/>
      <c r="AA54" s="99"/>
      <c r="AB54" s="133"/>
    </row>
    <row r="55" spans="1:28" ht="15.75" customHeight="1" x14ac:dyDescent="0.25">
      <c r="A55" s="186"/>
      <c r="B55" s="137"/>
      <c r="C55" s="94"/>
      <c r="D55" s="124"/>
      <c r="E55" s="124"/>
      <c r="F55" s="124"/>
      <c r="G55" s="127"/>
      <c r="H55" s="112"/>
      <c r="I55" s="106"/>
      <c r="J55" s="106"/>
      <c r="K55" s="106"/>
      <c r="L55" s="109"/>
      <c r="M55" s="103"/>
      <c r="N55" s="97"/>
      <c r="O55" s="97"/>
      <c r="P55" s="97"/>
      <c r="Q55" s="100"/>
      <c r="R55" s="103"/>
      <c r="S55" s="97"/>
      <c r="T55" s="97"/>
      <c r="U55" s="97"/>
      <c r="V55" s="100"/>
      <c r="W55" s="103"/>
      <c r="X55" s="97"/>
      <c r="Y55" s="97"/>
      <c r="Z55" s="97"/>
      <c r="AA55" s="100"/>
      <c r="AB55" s="134"/>
    </row>
    <row r="56" spans="1:28" ht="15.75" customHeight="1" thickBot="1" x14ac:dyDescent="0.3">
      <c r="A56" s="187"/>
      <c r="B56" s="138"/>
      <c r="C56" s="95"/>
      <c r="D56" s="125"/>
      <c r="E56" s="125"/>
      <c r="F56" s="125"/>
      <c r="G56" s="128"/>
      <c r="H56" s="113"/>
      <c r="I56" s="107"/>
      <c r="J56" s="107"/>
      <c r="K56" s="107"/>
      <c r="L56" s="110"/>
      <c r="M56" s="104"/>
      <c r="N56" s="98"/>
      <c r="O56" s="98"/>
      <c r="P56" s="98"/>
      <c r="Q56" s="101"/>
      <c r="R56" s="104"/>
      <c r="S56" s="98"/>
      <c r="T56" s="98"/>
      <c r="U56" s="98"/>
      <c r="V56" s="101"/>
      <c r="W56" s="104"/>
      <c r="X56" s="98"/>
      <c r="Y56" s="98"/>
      <c r="Z56" s="98"/>
      <c r="AA56" s="101"/>
      <c r="AB56" s="135"/>
    </row>
    <row r="57" spans="1:28" ht="15.75" customHeight="1" x14ac:dyDescent="0.25">
      <c r="A57" s="185">
        <f>ESCUADRAS!B15</f>
        <v>9</v>
      </c>
      <c r="B57" s="136">
        <f>ESCUADRAS!C15</f>
        <v>0</v>
      </c>
      <c r="C57" s="111"/>
      <c r="D57" s="105"/>
      <c r="E57" s="105"/>
      <c r="F57" s="105"/>
      <c r="G57" s="108"/>
      <c r="H57" s="122"/>
      <c r="I57" s="120"/>
      <c r="J57" s="120"/>
      <c r="K57" s="120"/>
      <c r="L57" s="121"/>
      <c r="M57" s="122"/>
      <c r="N57" s="120"/>
      <c r="O57" s="120"/>
      <c r="P57" s="120"/>
      <c r="Q57" s="121"/>
      <c r="R57" s="122"/>
      <c r="S57" s="120"/>
      <c r="T57" s="120"/>
      <c r="U57" s="120"/>
      <c r="V57" s="121"/>
      <c r="W57" s="122"/>
      <c r="X57" s="120"/>
      <c r="Y57" s="120"/>
      <c r="Z57" s="120"/>
      <c r="AA57" s="121"/>
      <c r="AB57" s="133"/>
    </row>
    <row r="58" spans="1:28" ht="15.75" customHeight="1" x14ac:dyDescent="0.25">
      <c r="A58" s="186"/>
      <c r="B58" s="137"/>
      <c r="C58" s="112"/>
      <c r="D58" s="106"/>
      <c r="E58" s="106"/>
      <c r="F58" s="106"/>
      <c r="G58" s="109"/>
      <c r="H58" s="103"/>
      <c r="I58" s="97"/>
      <c r="J58" s="97"/>
      <c r="K58" s="97"/>
      <c r="L58" s="100"/>
      <c r="M58" s="103"/>
      <c r="N58" s="97"/>
      <c r="O58" s="97"/>
      <c r="P58" s="97"/>
      <c r="Q58" s="100"/>
      <c r="R58" s="103"/>
      <c r="S58" s="97"/>
      <c r="T58" s="97"/>
      <c r="U58" s="97"/>
      <c r="V58" s="100"/>
      <c r="W58" s="103"/>
      <c r="X58" s="97"/>
      <c r="Y58" s="97"/>
      <c r="Z58" s="97"/>
      <c r="AA58" s="100"/>
      <c r="AB58" s="134"/>
    </row>
    <row r="59" spans="1:28" ht="15.75" customHeight="1" thickBot="1" x14ac:dyDescent="0.3">
      <c r="A59" s="187"/>
      <c r="B59" s="138"/>
      <c r="C59" s="113"/>
      <c r="D59" s="107"/>
      <c r="E59" s="107"/>
      <c r="F59" s="107"/>
      <c r="G59" s="110"/>
      <c r="H59" s="104"/>
      <c r="I59" s="98"/>
      <c r="J59" s="98"/>
      <c r="K59" s="98"/>
      <c r="L59" s="101"/>
      <c r="M59" s="104"/>
      <c r="N59" s="98"/>
      <c r="O59" s="98"/>
      <c r="P59" s="98"/>
      <c r="Q59" s="101"/>
      <c r="R59" s="104"/>
      <c r="S59" s="98"/>
      <c r="T59" s="98"/>
      <c r="U59" s="98"/>
      <c r="V59" s="101"/>
      <c r="W59" s="104"/>
      <c r="X59" s="98"/>
      <c r="Y59" s="98"/>
      <c r="Z59" s="98"/>
      <c r="AA59" s="101"/>
      <c r="AB59" s="135"/>
    </row>
    <row r="60" spans="1:28" ht="15" x14ac:dyDescent="0.25">
      <c r="A60" s="28"/>
    </row>
    <row r="61" spans="1:28" ht="15" x14ac:dyDescent="0.25">
      <c r="A61" s="28"/>
      <c r="B61" s="26" t="s">
        <v>35</v>
      </c>
      <c r="E61" s="21" t="s">
        <v>41</v>
      </c>
      <c r="I61" s="21" t="s">
        <v>42</v>
      </c>
      <c r="M61" s="21" t="s">
        <v>43</v>
      </c>
      <c r="Q61" s="21" t="s">
        <v>44</v>
      </c>
      <c r="U61" s="21" t="s">
        <v>45</v>
      </c>
      <c r="Y61" s="21" t="s">
        <v>46</v>
      </c>
    </row>
    <row r="62" spans="1:28" ht="15" x14ac:dyDescent="0.25">
      <c r="A62" s="28"/>
    </row>
    <row r="63" spans="1:28" ht="9.75" customHeight="1" x14ac:dyDescent="0.25"/>
    <row r="66" spans="1:32" ht="24.6" x14ac:dyDescent="0.25">
      <c r="A66" s="144" t="str">
        <f>'INSCRIPCION '!A$1</f>
        <v>TIRADA</v>
      </c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</row>
    <row r="67" spans="1:32" ht="19.5" customHeight="1" x14ac:dyDescent="0.4">
      <c r="A67" s="23"/>
      <c r="B67" s="23"/>
    </row>
    <row r="68" spans="1:32" ht="22.5" customHeight="1" x14ac:dyDescent="0.25">
      <c r="A68" s="132" t="str">
        <f>'INSCRIPCION '!A$2</f>
        <v>CAMPO DE TIRO LA ISLA</v>
      </c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</row>
    <row r="69" spans="1:32" ht="19.5" customHeight="1" x14ac:dyDescent="0.25">
      <c r="A69" s="143" t="str">
        <f>'INSCRIPCION '!A$3</f>
        <v>XXX PLATOS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</row>
    <row r="70" spans="1:32" ht="22.8" x14ac:dyDescent="0.4">
      <c r="A70" s="24"/>
      <c r="B70" s="24"/>
    </row>
    <row r="71" spans="1:32" ht="17.399999999999999" x14ac:dyDescent="0.3">
      <c r="A71" s="25" t="s">
        <v>11</v>
      </c>
      <c r="B71" s="25"/>
      <c r="J71" s="9" t="s">
        <v>6</v>
      </c>
      <c r="K71" s="9"/>
      <c r="L71" s="9"/>
      <c r="M71" s="9"/>
      <c r="N71" s="9"/>
      <c r="O71" s="22">
        <v>2</v>
      </c>
      <c r="P71" s="22"/>
      <c r="Q71" s="8"/>
      <c r="R71" s="8"/>
      <c r="S71" s="7"/>
      <c r="T71" s="8"/>
      <c r="U71" s="8"/>
      <c r="V71" s="9" t="s">
        <v>7</v>
      </c>
      <c r="W71" s="9"/>
      <c r="X71" s="9"/>
      <c r="Y71" s="9"/>
      <c r="Z71" s="22">
        <v>4</v>
      </c>
      <c r="AA71" s="22"/>
    </row>
    <row r="72" spans="1:32" ht="13.8" thickBot="1" x14ac:dyDescent="0.3"/>
    <row r="73" spans="1:32" ht="15.6" thickBot="1" x14ac:dyDescent="0.3">
      <c r="A73" s="27" t="s">
        <v>0</v>
      </c>
      <c r="B73" s="27" t="s">
        <v>8</v>
      </c>
      <c r="C73" s="47">
        <v>1</v>
      </c>
      <c r="D73" s="48">
        <v>2</v>
      </c>
      <c r="E73" s="48">
        <v>3</v>
      </c>
      <c r="F73" s="48">
        <v>4</v>
      </c>
      <c r="G73" s="49">
        <v>5</v>
      </c>
      <c r="H73" s="47">
        <v>6</v>
      </c>
      <c r="I73" s="48">
        <v>7</v>
      </c>
      <c r="J73" s="48">
        <v>8</v>
      </c>
      <c r="K73" s="48">
        <v>9</v>
      </c>
      <c r="L73" s="49">
        <v>10</v>
      </c>
      <c r="M73" s="47">
        <v>11</v>
      </c>
      <c r="N73" s="48">
        <v>12</v>
      </c>
      <c r="O73" s="48">
        <v>13</v>
      </c>
      <c r="P73" s="48">
        <v>14</v>
      </c>
      <c r="Q73" s="49">
        <v>15</v>
      </c>
      <c r="R73" s="47">
        <v>16</v>
      </c>
      <c r="S73" s="48">
        <v>17</v>
      </c>
      <c r="T73" s="48">
        <v>18</v>
      </c>
      <c r="U73" s="48">
        <v>19</v>
      </c>
      <c r="V73" s="49">
        <v>20</v>
      </c>
      <c r="W73" s="47">
        <v>21</v>
      </c>
      <c r="X73" s="48">
        <v>22</v>
      </c>
      <c r="Y73" s="48">
        <v>23</v>
      </c>
      <c r="Z73" s="48">
        <v>24</v>
      </c>
      <c r="AA73" s="49">
        <v>25</v>
      </c>
      <c r="AB73" s="30" t="s">
        <v>1</v>
      </c>
    </row>
    <row r="74" spans="1:32" ht="15.75" customHeight="1" x14ac:dyDescent="0.25">
      <c r="A74" s="136">
        <f>ESCUADRAS!B22</f>
        <v>16</v>
      </c>
      <c r="B74" s="136">
        <f>ESCUADRAS!C22</f>
        <v>0</v>
      </c>
      <c r="C74" s="129"/>
      <c r="D74" s="114"/>
      <c r="E74" s="114"/>
      <c r="F74" s="114"/>
      <c r="G74" s="117"/>
      <c r="H74" s="111"/>
      <c r="I74" s="105"/>
      <c r="J74" s="105"/>
      <c r="K74" s="105"/>
      <c r="L74" s="108"/>
      <c r="M74" s="111"/>
      <c r="N74" s="105"/>
      <c r="O74" s="105"/>
      <c r="P74" s="105"/>
      <c r="Q74" s="108"/>
      <c r="R74" s="111"/>
      <c r="S74" s="105"/>
      <c r="T74" s="105"/>
      <c r="U74" s="105"/>
      <c r="V74" s="108"/>
      <c r="W74" s="111"/>
      <c r="X74" s="105"/>
      <c r="Y74" s="105"/>
      <c r="Z74" s="105"/>
      <c r="AA74" s="108"/>
      <c r="AB74" s="133"/>
    </row>
    <row r="75" spans="1:32" ht="15.75" customHeight="1" x14ac:dyDescent="0.25">
      <c r="A75" s="137"/>
      <c r="B75" s="137"/>
      <c r="C75" s="130"/>
      <c r="D75" s="115"/>
      <c r="E75" s="115"/>
      <c r="F75" s="115"/>
      <c r="G75" s="118"/>
      <c r="H75" s="112"/>
      <c r="I75" s="106"/>
      <c r="J75" s="106"/>
      <c r="K75" s="106"/>
      <c r="L75" s="109"/>
      <c r="M75" s="112"/>
      <c r="N75" s="106"/>
      <c r="O75" s="106"/>
      <c r="P75" s="106"/>
      <c r="Q75" s="109"/>
      <c r="R75" s="112"/>
      <c r="S75" s="106"/>
      <c r="T75" s="106"/>
      <c r="U75" s="106"/>
      <c r="V75" s="109"/>
      <c r="W75" s="112"/>
      <c r="X75" s="106"/>
      <c r="Y75" s="106"/>
      <c r="Z75" s="106"/>
      <c r="AA75" s="109"/>
      <c r="AB75" s="134"/>
    </row>
    <row r="76" spans="1:32" ht="15.75" customHeight="1" thickBot="1" x14ac:dyDescent="0.3">
      <c r="A76" s="138"/>
      <c r="B76" s="138"/>
      <c r="C76" s="131"/>
      <c r="D76" s="116"/>
      <c r="E76" s="116"/>
      <c r="F76" s="116"/>
      <c r="G76" s="119"/>
      <c r="H76" s="113"/>
      <c r="I76" s="107"/>
      <c r="J76" s="107"/>
      <c r="K76" s="107"/>
      <c r="L76" s="110"/>
      <c r="M76" s="113"/>
      <c r="N76" s="107"/>
      <c r="O76" s="107"/>
      <c r="P76" s="107"/>
      <c r="Q76" s="110"/>
      <c r="R76" s="113"/>
      <c r="S76" s="107"/>
      <c r="T76" s="107"/>
      <c r="U76" s="107"/>
      <c r="V76" s="110"/>
      <c r="W76" s="113"/>
      <c r="X76" s="107"/>
      <c r="Y76" s="107"/>
      <c r="Z76" s="107"/>
      <c r="AA76" s="110"/>
      <c r="AB76" s="135"/>
    </row>
    <row r="77" spans="1:32" ht="15.75" customHeight="1" x14ac:dyDescent="0.25">
      <c r="A77" s="136">
        <f>ESCUADRAS!B23</f>
        <v>17</v>
      </c>
      <c r="B77" s="136">
        <f>ESCUADRAS!C23</f>
        <v>0</v>
      </c>
      <c r="C77" s="93"/>
      <c r="D77" s="123"/>
      <c r="E77" s="123"/>
      <c r="F77" s="123"/>
      <c r="G77" s="126"/>
      <c r="H77" s="102"/>
      <c r="I77" s="96"/>
      <c r="J77" s="96"/>
      <c r="K77" s="96"/>
      <c r="L77" s="99"/>
      <c r="M77" s="102"/>
      <c r="N77" s="96"/>
      <c r="O77" s="96"/>
      <c r="P77" s="96"/>
      <c r="Q77" s="99"/>
      <c r="R77" s="102"/>
      <c r="S77" s="96"/>
      <c r="T77" s="96"/>
      <c r="U77" s="96"/>
      <c r="V77" s="99"/>
      <c r="W77" s="111"/>
      <c r="X77" s="105"/>
      <c r="Y77" s="105"/>
      <c r="Z77" s="105"/>
      <c r="AA77" s="108"/>
      <c r="AB77" s="133"/>
    </row>
    <row r="78" spans="1:32" ht="15.75" customHeight="1" x14ac:dyDescent="0.25">
      <c r="A78" s="137"/>
      <c r="B78" s="137"/>
      <c r="C78" s="94"/>
      <c r="D78" s="124"/>
      <c r="E78" s="124"/>
      <c r="F78" s="124"/>
      <c r="G78" s="127"/>
      <c r="H78" s="103"/>
      <c r="I78" s="97"/>
      <c r="J78" s="97"/>
      <c r="K78" s="97"/>
      <c r="L78" s="100"/>
      <c r="M78" s="103"/>
      <c r="N78" s="97"/>
      <c r="O78" s="97"/>
      <c r="P78" s="97"/>
      <c r="Q78" s="100"/>
      <c r="R78" s="103"/>
      <c r="S78" s="97"/>
      <c r="T78" s="97"/>
      <c r="U78" s="97"/>
      <c r="V78" s="100"/>
      <c r="W78" s="112"/>
      <c r="X78" s="106"/>
      <c r="Y78" s="106"/>
      <c r="Z78" s="106"/>
      <c r="AA78" s="109"/>
      <c r="AB78" s="134"/>
    </row>
    <row r="79" spans="1:32" ht="15.75" customHeight="1" thickBot="1" x14ac:dyDescent="0.3">
      <c r="A79" s="138"/>
      <c r="B79" s="138"/>
      <c r="C79" s="95"/>
      <c r="D79" s="125"/>
      <c r="E79" s="125"/>
      <c r="F79" s="125"/>
      <c r="G79" s="128"/>
      <c r="H79" s="104"/>
      <c r="I79" s="98"/>
      <c r="J79" s="98"/>
      <c r="K79" s="98"/>
      <c r="L79" s="101"/>
      <c r="M79" s="104"/>
      <c r="N79" s="98"/>
      <c r="O79" s="98"/>
      <c r="P79" s="98"/>
      <c r="Q79" s="101"/>
      <c r="R79" s="104"/>
      <c r="S79" s="98"/>
      <c r="T79" s="98"/>
      <c r="U79" s="98"/>
      <c r="V79" s="101"/>
      <c r="W79" s="113"/>
      <c r="X79" s="107"/>
      <c r="Y79" s="107"/>
      <c r="Z79" s="107"/>
      <c r="AA79" s="110"/>
      <c r="AB79" s="135"/>
    </row>
    <row r="80" spans="1:32" ht="15.75" customHeight="1" x14ac:dyDescent="0.25">
      <c r="A80" s="136">
        <f>ESCUADRAS!B24</f>
        <v>18</v>
      </c>
      <c r="B80" s="136">
        <f>ESCUADRAS!C24</f>
        <v>0</v>
      </c>
      <c r="C80" s="93"/>
      <c r="D80" s="123"/>
      <c r="E80" s="123"/>
      <c r="F80" s="123"/>
      <c r="G80" s="126"/>
      <c r="H80" s="102"/>
      <c r="I80" s="96"/>
      <c r="J80" s="96"/>
      <c r="K80" s="96"/>
      <c r="L80" s="99"/>
      <c r="M80" s="102"/>
      <c r="N80" s="96"/>
      <c r="O80" s="96"/>
      <c r="P80" s="96"/>
      <c r="Q80" s="99"/>
      <c r="R80" s="111"/>
      <c r="S80" s="105"/>
      <c r="T80" s="105"/>
      <c r="U80" s="105"/>
      <c r="V80" s="108"/>
      <c r="W80" s="102"/>
      <c r="X80" s="96"/>
      <c r="Y80" s="96"/>
      <c r="Z80" s="96"/>
      <c r="AA80" s="99"/>
      <c r="AB80" s="133"/>
    </row>
    <row r="81" spans="1:28" ht="15.75" customHeight="1" x14ac:dyDescent="0.25">
      <c r="A81" s="137"/>
      <c r="B81" s="137"/>
      <c r="C81" s="94"/>
      <c r="D81" s="124"/>
      <c r="E81" s="124"/>
      <c r="F81" s="124"/>
      <c r="G81" s="127"/>
      <c r="H81" s="103"/>
      <c r="I81" s="97"/>
      <c r="J81" s="97"/>
      <c r="K81" s="97"/>
      <c r="L81" s="100"/>
      <c r="M81" s="103"/>
      <c r="N81" s="97"/>
      <c r="O81" s="97"/>
      <c r="P81" s="97"/>
      <c r="Q81" s="100"/>
      <c r="R81" s="112"/>
      <c r="S81" s="106"/>
      <c r="T81" s="106"/>
      <c r="U81" s="106"/>
      <c r="V81" s="109"/>
      <c r="W81" s="103"/>
      <c r="X81" s="97"/>
      <c r="Y81" s="97"/>
      <c r="Z81" s="97"/>
      <c r="AA81" s="100"/>
      <c r="AB81" s="134"/>
    </row>
    <row r="82" spans="1:28" ht="15.75" customHeight="1" thickBot="1" x14ac:dyDescent="0.3">
      <c r="A82" s="138"/>
      <c r="B82" s="138"/>
      <c r="C82" s="95"/>
      <c r="D82" s="125"/>
      <c r="E82" s="125"/>
      <c r="F82" s="125"/>
      <c r="G82" s="128"/>
      <c r="H82" s="104"/>
      <c r="I82" s="98"/>
      <c r="J82" s="98"/>
      <c r="K82" s="98"/>
      <c r="L82" s="101"/>
      <c r="M82" s="104"/>
      <c r="N82" s="98"/>
      <c r="O82" s="98"/>
      <c r="P82" s="98"/>
      <c r="Q82" s="101"/>
      <c r="R82" s="113"/>
      <c r="S82" s="107"/>
      <c r="T82" s="107"/>
      <c r="U82" s="107"/>
      <c r="V82" s="110"/>
      <c r="W82" s="104"/>
      <c r="X82" s="98"/>
      <c r="Y82" s="98"/>
      <c r="Z82" s="98"/>
      <c r="AA82" s="101"/>
      <c r="AB82" s="135"/>
    </row>
    <row r="83" spans="1:28" ht="15.75" customHeight="1" x14ac:dyDescent="0.25">
      <c r="A83" s="136">
        <f>ESCUADRAS!B19</f>
        <v>13</v>
      </c>
      <c r="B83" s="136">
        <f>ESCUADRAS!C19</f>
        <v>0</v>
      </c>
      <c r="C83" s="93"/>
      <c r="D83" s="123"/>
      <c r="E83" s="123"/>
      <c r="F83" s="123"/>
      <c r="G83" s="126"/>
      <c r="H83" s="102"/>
      <c r="I83" s="96"/>
      <c r="J83" s="96"/>
      <c r="K83" s="96"/>
      <c r="L83" s="99"/>
      <c r="M83" s="111"/>
      <c r="N83" s="105"/>
      <c r="O83" s="105"/>
      <c r="P83" s="105"/>
      <c r="Q83" s="108"/>
      <c r="R83" s="102"/>
      <c r="S83" s="96"/>
      <c r="T83" s="96"/>
      <c r="U83" s="96"/>
      <c r="V83" s="99"/>
      <c r="W83" s="102"/>
      <c r="X83" s="96"/>
      <c r="Y83" s="96"/>
      <c r="Z83" s="96"/>
      <c r="AA83" s="99"/>
      <c r="AB83" s="133"/>
    </row>
    <row r="84" spans="1:28" ht="15.75" customHeight="1" x14ac:dyDescent="0.25">
      <c r="A84" s="137"/>
      <c r="B84" s="137"/>
      <c r="C84" s="94"/>
      <c r="D84" s="124"/>
      <c r="E84" s="124"/>
      <c r="F84" s="124"/>
      <c r="G84" s="127"/>
      <c r="H84" s="103"/>
      <c r="I84" s="97"/>
      <c r="J84" s="97"/>
      <c r="K84" s="97"/>
      <c r="L84" s="100"/>
      <c r="M84" s="112"/>
      <c r="N84" s="106"/>
      <c r="O84" s="106"/>
      <c r="P84" s="106"/>
      <c r="Q84" s="109"/>
      <c r="R84" s="103"/>
      <c r="S84" s="97"/>
      <c r="T84" s="97"/>
      <c r="U84" s="97"/>
      <c r="V84" s="100"/>
      <c r="W84" s="103"/>
      <c r="X84" s="97"/>
      <c r="Y84" s="97"/>
      <c r="Z84" s="97"/>
      <c r="AA84" s="100"/>
      <c r="AB84" s="134"/>
    </row>
    <row r="85" spans="1:28" ht="15.75" customHeight="1" thickBot="1" x14ac:dyDescent="0.3">
      <c r="A85" s="138"/>
      <c r="B85" s="138"/>
      <c r="C85" s="95"/>
      <c r="D85" s="125"/>
      <c r="E85" s="125"/>
      <c r="F85" s="125"/>
      <c r="G85" s="128"/>
      <c r="H85" s="104"/>
      <c r="I85" s="98"/>
      <c r="J85" s="98"/>
      <c r="K85" s="98"/>
      <c r="L85" s="101"/>
      <c r="M85" s="113"/>
      <c r="N85" s="107"/>
      <c r="O85" s="107"/>
      <c r="P85" s="107"/>
      <c r="Q85" s="110"/>
      <c r="R85" s="104"/>
      <c r="S85" s="98"/>
      <c r="T85" s="98"/>
      <c r="U85" s="98"/>
      <c r="V85" s="101"/>
      <c r="W85" s="104"/>
      <c r="X85" s="98"/>
      <c r="Y85" s="98"/>
      <c r="Z85" s="98"/>
      <c r="AA85" s="101"/>
      <c r="AB85" s="135"/>
    </row>
    <row r="86" spans="1:28" ht="15.75" customHeight="1" x14ac:dyDescent="0.25">
      <c r="A86" s="136">
        <f>ESCUADRAS!B20</f>
        <v>14</v>
      </c>
      <c r="B86" s="136">
        <f>ESCUADRAS!C20</f>
        <v>0</v>
      </c>
      <c r="C86" s="93"/>
      <c r="D86" s="123"/>
      <c r="E86" s="123"/>
      <c r="F86" s="123"/>
      <c r="G86" s="126"/>
      <c r="H86" s="111"/>
      <c r="I86" s="105"/>
      <c r="J86" s="105"/>
      <c r="K86" s="105"/>
      <c r="L86" s="108"/>
      <c r="M86" s="102"/>
      <c r="N86" s="96"/>
      <c r="O86" s="96"/>
      <c r="P86" s="96"/>
      <c r="Q86" s="99"/>
      <c r="R86" s="102"/>
      <c r="S86" s="96"/>
      <c r="T86" s="96"/>
      <c r="U86" s="96"/>
      <c r="V86" s="99"/>
      <c r="W86" s="102"/>
      <c r="X86" s="96"/>
      <c r="Y86" s="96"/>
      <c r="Z86" s="96"/>
      <c r="AA86" s="99"/>
      <c r="AB86" s="133"/>
    </row>
    <row r="87" spans="1:28" ht="15.75" customHeight="1" x14ac:dyDescent="0.25">
      <c r="A87" s="137"/>
      <c r="B87" s="137"/>
      <c r="C87" s="94"/>
      <c r="D87" s="124"/>
      <c r="E87" s="124"/>
      <c r="F87" s="124"/>
      <c r="G87" s="127"/>
      <c r="H87" s="112"/>
      <c r="I87" s="106"/>
      <c r="J87" s="106"/>
      <c r="K87" s="106"/>
      <c r="L87" s="109"/>
      <c r="M87" s="103"/>
      <c r="N87" s="97"/>
      <c r="O87" s="97"/>
      <c r="P87" s="97"/>
      <c r="Q87" s="100"/>
      <c r="R87" s="103"/>
      <c r="S87" s="97"/>
      <c r="T87" s="97"/>
      <c r="U87" s="97"/>
      <c r="V87" s="100"/>
      <c r="W87" s="103"/>
      <c r="X87" s="97"/>
      <c r="Y87" s="97"/>
      <c r="Z87" s="97"/>
      <c r="AA87" s="100"/>
      <c r="AB87" s="134"/>
    </row>
    <row r="88" spans="1:28" ht="15.75" customHeight="1" thickBot="1" x14ac:dyDescent="0.3">
      <c r="A88" s="138"/>
      <c r="B88" s="138"/>
      <c r="C88" s="95"/>
      <c r="D88" s="125"/>
      <c r="E88" s="125"/>
      <c r="F88" s="125"/>
      <c r="G88" s="128"/>
      <c r="H88" s="113"/>
      <c r="I88" s="107"/>
      <c r="J88" s="107"/>
      <c r="K88" s="107"/>
      <c r="L88" s="110"/>
      <c r="M88" s="104"/>
      <c r="N88" s="98"/>
      <c r="O88" s="98"/>
      <c r="P88" s="98"/>
      <c r="Q88" s="101"/>
      <c r="R88" s="104"/>
      <c r="S88" s="98"/>
      <c r="T88" s="98"/>
      <c r="U88" s="98"/>
      <c r="V88" s="101"/>
      <c r="W88" s="104"/>
      <c r="X88" s="98"/>
      <c r="Y88" s="98"/>
      <c r="Z88" s="98"/>
      <c r="AA88" s="101"/>
      <c r="AB88" s="135"/>
    </row>
    <row r="89" spans="1:28" ht="15.75" customHeight="1" x14ac:dyDescent="0.25">
      <c r="A89" s="136">
        <f>ESCUADRAS!B21</f>
        <v>15</v>
      </c>
      <c r="B89" s="136">
        <f>ESCUADRAS!C21</f>
        <v>0</v>
      </c>
      <c r="C89" s="111"/>
      <c r="D89" s="105"/>
      <c r="E89" s="105"/>
      <c r="F89" s="105"/>
      <c r="G89" s="108"/>
      <c r="H89" s="122"/>
      <c r="I89" s="120"/>
      <c r="J89" s="120"/>
      <c r="K89" s="120"/>
      <c r="L89" s="121"/>
      <c r="M89" s="122"/>
      <c r="N89" s="120"/>
      <c r="O89" s="120"/>
      <c r="P89" s="120"/>
      <c r="Q89" s="121"/>
      <c r="R89" s="122"/>
      <c r="S89" s="120"/>
      <c r="T89" s="120"/>
      <c r="U89" s="120"/>
      <c r="V89" s="121"/>
      <c r="W89" s="122"/>
      <c r="X89" s="120"/>
      <c r="Y89" s="120"/>
      <c r="Z89" s="120"/>
      <c r="AA89" s="121"/>
      <c r="AB89" s="133"/>
    </row>
    <row r="90" spans="1:28" ht="15.75" customHeight="1" x14ac:dyDescent="0.25">
      <c r="A90" s="137"/>
      <c r="B90" s="137"/>
      <c r="C90" s="112"/>
      <c r="D90" s="106"/>
      <c r="E90" s="106"/>
      <c r="F90" s="106"/>
      <c r="G90" s="109"/>
      <c r="H90" s="103"/>
      <c r="I90" s="97"/>
      <c r="J90" s="97"/>
      <c r="K90" s="97"/>
      <c r="L90" s="100"/>
      <c r="M90" s="103"/>
      <c r="N90" s="97"/>
      <c r="O90" s="97"/>
      <c r="P90" s="97"/>
      <c r="Q90" s="100"/>
      <c r="R90" s="103"/>
      <c r="S90" s="97"/>
      <c r="T90" s="97"/>
      <c r="U90" s="97"/>
      <c r="V90" s="100"/>
      <c r="W90" s="103"/>
      <c r="X90" s="97"/>
      <c r="Y90" s="97"/>
      <c r="Z90" s="97"/>
      <c r="AA90" s="100"/>
      <c r="AB90" s="134"/>
    </row>
    <row r="91" spans="1:28" ht="15.75" customHeight="1" thickBot="1" x14ac:dyDescent="0.3">
      <c r="A91" s="138"/>
      <c r="B91" s="138"/>
      <c r="C91" s="113"/>
      <c r="D91" s="107"/>
      <c r="E91" s="107"/>
      <c r="F91" s="107"/>
      <c r="G91" s="110"/>
      <c r="H91" s="104"/>
      <c r="I91" s="98"/>
      <c r="J91" s="98"/>
      <c r="K91" s="98"/>
      <c r="L91" s="101"/>
      <c r="M91" s="104"/>
      <c r="N91" s="98"/>
      <c r="O91" s="98"/>
      <c r="P91" s="98"/>
      <c r="Q91" s="101"/>
      <c r="R91" s="104"/>
      <c r="S91" s="98"/>
      <c r="T91" s="98"/>
      <c r="U91" s="98"/>
      <c r="V91" s="101"/>
      <c r="W91" s="104"/>
      <c r="X91" s="98"/>
      <c r="Y91" s="98"/>
      <c r="Z91" s="98"/>
      <c r="AA91" s="101"/>
      <c r="AB91" s="135"/>
    </row>
    <row r="92" spans="1:28" ht="15" x14ac:dyDescent="0.25">
      <c r="A92" s="28"/>
    </row>
    <row r="93" spans="1:28" ht="15" x14ac:dyDescent="0.25">
      <c r="A93" s="28"/>
      <c r="B93" s="26" t="s">
        <v>35</v>
      </c>
      <c r="E93" s="21" t="s">
        <v>41</v>
      </c>
      <c r="I93" s="21" t="s">
        <v>42</v>
      </c>
      <c r="M93" s="21" t="s">
        <v>43</v>
      </c>
      <c r="Q93" s="21" t="s">
        <v>44</v>
      </c>
      <c r="U93" s="21" t="s">
        <v>45</v>
      </c>
      <c r="Y93" s="21" t="s">
        <v>46</v>
      </c>
    </row>
    <row r="94" spans="1:28" ht="15" x14ac:dyDescent="0.25">
      <c r="A94" s="28"/>
    </row>
    <row r="95" spans="1:28" ht="10.5" customHeight="1" x14ac:dyDescent="0.25"/>
    <row r="98" spans="1:32" ht="24.6" x14ac:dyDescent="0.25">
      <c r="A98" s="144" t="str">
        <f>'INSCRIPCION '!A$1</f>
        <v>TIRADA</v>
      </c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</row>
    <row r="99" spans="1:32" ht="19.5" customHeight="1" x14ac:dyDescent="0.4">
      <c r="A99" s="23"/>
      <c r="B99" s="23"/>
    </row>
    <row r="100" spans="1:32" ht="22.5" customHeight="1" x14ac:dyDescent="0.25">
      <c r="A100" s="132" t="str">
        <f>'INSCRIPCION '!A$2</f>
        <v>CAMPO DE TIRO LA ISLA</v>
      </c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</row>
    <row r="101" spans="1:32" ht="19.5" customHeight="1" x14ac:dyDescent="0.25">
      <c r="A101" s="143" t="str">
        <f>'INSCRIPCION '!A$3</f>
        <v>XXX PLATOS</v>
      </c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</row>
    <row r="102" spans="1:32" ht="22.8" x14ac:dyDescent="0.4">
      <c r="A102" s="24"/>
      <c r="B102" s="24"/>
    </row>
    <row r="103" spans="1:32" ht="17.399999999999999" x14ac:dyDescent="0.3">
      <c r="A103" s="25" t="s">
        <v>12</v>
      </c>
      <c r="B103" s="25"/>
      <c r="J103" s="9" t="s">
        <v>6</v>
      </c>
      <c r="K103" s="9"/>
      <c r="L103" s="9"/>
      <c r="M103" s="9"/>
      <c r="N103" s="9"/>
      <c r="O103" s="22">
        <v>3</v>
      </c>
      <c r="P103" s="22"/>
      <c r="Q103" s="8"/>
      <c r="R103" s="8"/>
      <c r="S103" s="7"/>
      <c r="T103" s="8"/>
      <c r="U103" s="8"/>
      <c r="V103" s="9" t="s">
        <v>7</v>
      </c>
      <c r="W103" s="9"/>
      <c r="X103" s="9"/>
      <c r="Y103" s="9"/>
      <c r="Z103" s="22">
        <v>4</v>
      </c>
      <c r="AA103" s="22"/>
    </row>
    <row r="104" spans="1:32" ht="13.8" thickBot="1" x14ac:dyDescent="0.3"/>
    <row r="105" spans="1:32" ht="15.6" thickBot="1" x14ac:dyDescent="0.3">
      <c r="A105" s="27" t="s">
        <v>0</v>
      </c>
      <c r="B105" s="27" t="s">
        <v>8</v>
      </c>
      <c r="C105" s="47">
        <v>1</v>
      </c>
      <c r="D105" s="48">
        <v>2</v>
      </c>
      <c r="E105" s="48">
        <v>3</v>
      </c>
      <c r="F105" s="48">
        <v>4</v>
      </c>
      <c r="G105" s="49">
        <v>5</v>
      </c>
      <c r="H105" s="47">
        <v>6</v>
      </c>
      <c r="I105" s="48">
        <v>7</v>
      </c>
      <c r="J105" s="48">
        <v>8</v>
      </c>
      <c r="K105" s="48">
        <v>9</v>
      </c>
      <c r="L105" s="49">
        <v>10</v>
      </c>
      <c r="M105" s="47">
        <v>11</v>
      </c>
      <c r="N105" s="48">
        <v>12</v>
      </c>
      <c r="O105" s="48">
        <v>13</v>
      </c>
      <c r="P105" s="48">
        <v>14</v>
      </c>
      <c r="Q105" s="49">
        <v>15</v>
      </c>
      <c r="R105" s="47">
        <v>16</v>
      </c>
      <c r="S105" s="48">
        <v>17</v>
      </c>
      <c r="T105" s="48">
        <v>18</v>
      </c>
      <c r="U105" s="48">
        <v>19</v>
      </c>
      <c r="V105" s="49">
        <v>20</v>
      </c>
      <c r="W105" s="47">
        <v>21</v>
      </c>
      <c r="X105" s="48">
        <v>22</v>
      </c>
      <c r="Y105" s="48">
        <v>23</v>
      </c>
      <c r="Z105" s="48">
        <v>24</v>
      </c>
      <c r="AA105" s="49">
        <v>25</v>
      </c>
      <c r="AB105" s="30" t="s">
        <v>1</v>
      </c>
    </row>
    <row r="106" spans="1:32" ht="15.75" customHeight="1" x14ac:dyDescent="0.25">
      <c r="A106" s="136">
        <f>ESCUADRAS!B28</f>
        <v>22</v>
      </c>
      <c r="B106" s="136">
        <f>ESCUADRAS!C28</f>
        <v>0</v>
      </c>
      <c r="C106" s="129"/>
      <c r="D106" s="114"/>
      <c r="E106" s="114"/>
      <c r="F106" s="114"/>
      <c r="G106" s="117"/>
      <c r="H106" s="111"/>
      <c r="I106" s="105"/>
      <c r="J106" s="105"/>
      <c r="K106" s="105"/>
      <c r="L106" s="108"/>
      <c r="M106" s="111"/>
      <c r="N106" s="105"/>
      <c r="O106" s="105"/>
      <c r="P106" s="105"/>
      <c r="Q106" s="108"/>
      <c r="R106" s="111"/>
      <c r="S106" s="105"/>
      <c r="T106" s="105"/>
      <c r="U106" s="105"/>
      <c r="V106" s="108"/>
      <c r="W106" s="111"/>
      <c r="X106" s="105"/>
      <c r="Y106" s="105"/>
      <c r="Z106" s="105"/>
      <c r="AA106" s="108"/>
      <c r="AB106" s="133"/>
    </row>
    <row r="107" spans="1:32" ht="15.75" customHeight="1" x14ac:dyDescent="0.25">
      <c r="A107" s="137"/>
      <c r="B107" s="137"/>
      <c r="C107" s="130"/>
      <c r="D107" s="115"/>
      <c r="E107" s="115"/>
      <c r="F107" s="115"/>
      <c r="G107" s="118"/>
      <c r="H107" s="112"/>
      <c r="I107" s="106"/>
      <c r="J107" s="106"/>
      <c r="K107" s="106"/>
      <c r="L107" s="109"/>
      <c r="M107" s="112"/>
      <c r="N107" s="106"/>
      <c r="O107" s="106"/>
      <c r="P107" s="106"/>
      <c r="Q107" s="109"/>
      <c r="R107" s="112"/>
      <c r="S107" s="106"/>
      <c r="T107" s="106"/>
      <c r="U107" s="106"/>
      <c r="V107" s="109"/>
      <c r="W107" s="112"/>
      <c r="X107" s="106"/>
      <c r="Y107" s="106"/>
      <c r="Z107" s="106"/>
      <c r="AA107" s="109"/>
      <c r="AB107" s="134"/>
    </row>
    <row r="108" spans="1:32" ht="15.75" customHeight="1" thickBot="1" x14ac:dyDescent="0.3">
      <c r="A108" s="138"/>
      <c r="B108" s="138"/>
      <c r="C108" s="131"/>
      <c r="D108" s="116"/>
      <c r="E108" s="116"/>
      <c r="F108" s="116"/>
      <c r="G108" s="119"/>
      <c r="H108" s="113"/>
      <c r="I108" s="107"/>
      <c r="J108" s="107"/>
      <c r="K108" s="107"/>
      <c r="L108" s="110"/>
      <c r="M108" s="113"/>
      <c r="N108" s="107"/>
      <c r="O108" s="107"/>
      <c r="P108" s="107"/>
      <c r="Q108" s="110"/>
      <c r="R108" s="113"/>
      <c r="S108" s="107"/>
      <c r="T108" s="107"/>
      <c r="U108" s="107"/>
      <c r="V108" s="110"/>
      <c r="W108" s="113"/>
      <c r="X108" s="107"/>
      <c r="Y108" s="107"/>
      <c r="Z108" s="107"/>
      <c r="AA108" s="110"/>
      <c r="AB108" s="135"/>
    </row>
    <row r="109" spans="1:32" ht="15.75" customHeight="1" x14ac:dyDescent="0.25">
      <c r="A109" s="136">
        <f>ESCUADRAS!B29</f>
        <v>23</v>
      </c>
      <c r="B109" s="136">
        <f>ESCUADRAS!C29</f>
        <v>0</v>
      </c>
      <c r="C109" s="93"/>
      <c r="D109" s="123"/>
      <c r="E109" s="123"/>
      <c r="F109" s="123"/>
      <c r="G109" s="126"/>
      <c r="H109" s="102"/>
      <c r="I109" s="96"/>
      <c r="J109" s="96"/>
      <c r="K109" s="96"/>
      <c r="L109" s="99"/>
      <c r="M109" s="102"/>
      <c r="N109" s="96"/>
      <c r="O109" s="96"/>
      <c r="P109" s="96"/>
      <c r="Q109" s="99"/>
      <c r="R109" s="102"/>
      <c r="S109" s="96"/>
      <c r="T109" s="96"/>
      <c r="U109" s="96"/>
      <c r="V109" s="99"/>
      <c r="W109" s="111"/>
      <c r="X109" s="105"/>
      <c r="Y109" s="105"/>
      <c r="Z109" s="105"/>
      <c r="AA109" s="108"/>
      <c r="AB109" s="133"/>
    </row>
    <row r="110" spans="1:32" ht="15.75" customHeight="1" x14ac:dyDescent="0.25">
      <c r="A110" s="137"/>
      <c r="B110" s="137"/>
      <c r="C110" s="94"/>
      <c r="D110" s="124"/>
      <c r="E110" s="124"/>
      <c r="F110" s="124"/>
      <c r="G110" s="127"/>
      <c r="H110" s="103"/>
      <c r="I110" s="97"/>
      <c r="J110" s="97"/>
      <c r="K110" s="97"/>
      <c r="L110" s="100"/>
      <c r="M110" s="103"/>
      <c r="N110" s="97"/>
      <c r="O110" s="97"/>
      <c r="P110" s="97"/>
      <c r="Q110" s="100"/>
      <c r="R110" s="103"/>
      <c r="S110" s="97"/>
      <c r="T110" s="97"/>
      <c r="U110" s="97"/>
      <c r="V110" s="100"/>
      <c r="W110" s="112"/>
      <c r="X110" s="106"/>
      <c r="Y110" s="106"/>
      <c r="Z110" s="106"/>
      <c r="AA110" s="109"/>
      <c r="AB110" s="134"/>
    </row>
    <row r="111" spans="1:32" ht="15.75" customHeight="1" thickBot="1" x14ac:dyDescent="0.3">
      <c r="A111" s="138"/>
      <c r="B111" s="138"/>
      <c r="C111" s="95"/>
      <c r="D111" s="125"/>
      <c r="E111" s="125"/>
      <c r="F111" s="125"/>
      <c r="G111" s="128"/>
      <c r="H111" s="104"/>
      <c r="I111" s="98"/>
      <c r="J111" s="98"/>
      <c r="K111" s="98"/>
      <c r="L111" s="101"/>
      <c r="M111" s="104"/>
      <c r="N111" s="98"/>
      <c r="O111" s="98"/>
      <c r="P111" s="98"/>
      <c r="Q111" s="101"/>
      <c r="R111" s="104"/>
      <c r="S111" s="98"/>
      <c r="T111" s="98"/>
      <c r="U111" s="98"/>
      <c r="V111" s="101"/>
      <c r="W111" s="113"/>
      <c r="X111" s="107"/>
      <c r="Y111" s="107"/>
      <c r="Z111" s="107"/>
      <c r="AA111" s="110"/>
      <c r="AB111" s="135"/>
    </row>
    <row r="112" spans="1:32" ht="15.75" customHeight="1" x14ac:dyDescent="0.25">
      <c r="A112" s="136">
        <f>ESCUADRAS!B30</f>
        <v>24</v>
      </c>
      <c r="B112" s="136">
        <f>ESCUADRAS!C30</f>
        <v>0</v>
      </c>
      <c r="C112" s="93"/>
      <c r="D112" s="123"/>
      <c r="E112" s="123"/>
      <c r="F112" s="123"/>
      <c r="G112" s="126"/>
      <c r="H112" s="102"/>
      <c r="I112" s="96"/>
      <c r="J112" s="96"/>
      <c r="K112" s="96"/>
      <c r="L112" s="99"/>
      <c r="M112" s="102"/>
      <c r="N112" s="96"/>
      <c r="O112" s="96"/>
      <c r="P112" s="96"/>
      <c r="Q112" s="99"/>
      <c r="R112" s="111"/>
      <c r="S112" s="105"/>
      <c r="T112" s="105"/>
      <c r="U112" s="105"/>
      <c r="V112" s="108"/>
      <c r="W112" s="102"/>
      <c r="X112" s="96"/>
      <c r="Y112" s="96"/>
      <c r="Z112" s="96"/>
      <c r="AA112" s="99"/>
      <c r="AB112" s="133"/>
    </row>
    <row r="113" spans="1:28" ht="15.75" customHeight="1" x14ac:dyDescent="0.25">
      <c r="A113" s="137"/>
      <c r="B113" s="137"/>
      <c r="C113" s="94"/>
      <c r="D113" s="124"/>
      <c r="E113" s="124"/>
      <c r="F113" s="124"/>
      <c r="G113" s="127"/>
      <c r="H113" s="103"/>
      <c r="I113" s="97"/>
      <c r="J113" s="97"/>
      <c r="K113" s="97"/>
      <c r="L113" s="100"/>
      <c r="M113" s="103"/>
      <c r="N113" s="97"/>
      <c r="O113" s="97"/>
      <c r="P113" s="97"/>
      <c r="Q113" s="100"/>
      <c r="R113" s="112"/>
      <c r="S113" s="106"/>
      <c r="T113" s="106"/>
      <c r="U113" s="106"/>
      <c r="V113" s="109"/>
      <c r="W113" s="103"/>
      <c r="X113" s="97"/>
      <c r="Y113" s="97"/>
      <c r="Z113" s="97"/>
      <c r="AA113" s="100"/>
      <c r="AB113" s="134"/>
    </row>
    <row r="114" spans="1:28" ht="15.75" customHeight="1" thickBot="1" x14ac:dyDescent="0.3">
      <c r="A114" s="138"/>
      <c r="B114" s="138"/>
      <c r="C114" s="95"/>
      <c r="D114" s="125"/>
      <c r="E114" s="125"/>
      <c r="F114" s="125"/>
      <c r="G114" s="128"/>
      <c r="H114" s="104"/>
      <c r="I114" s="98"/>
      <c r="J114" s="98"/>
      <c r="K114" s="98"/>
      <c r="L114" s="101"/>
      <c r="M114" s="104"/>
      <c r="N114" s="98"/>
      <c r="O114" s="98"/>
      <c r="P114" s="98"/>
      <c r="Q114" s="101"/>
      <c r="R114" s="113"/>
      <c r="S114" s="107"/>
      <c r="T114" s="107"/>
      <c r="U114" s="107"/>
      <c r="V114" s="110"/>
      <c r="W114" s="104"/>
      <c r="X114" s="98"/>
      <c r="Y114" s="98"/>
      <c r="Z114" s="98"/>
      <c r="AA114" s="101"/>
      <c r="AB114" s="135"/>
    </row>
    <row r="115" spans="1:28" ht="15.75" customHeight="1" x14ac:dyDescent="0.25">
      <c r="A115" s="136">
        <f>ESCUADRAS!B25</f>
        <v>19</v>
      </c>
      <c r="B115" s="136">
        <f>ESCUADRAS!C25</f>
        <v>0</v>
      </c>
      <c r="C115" s="93"/>
      <c r="D115" s="123"/>
      <c r="E115" s="123"/>
      <c r="F115" s="123"/>
      <c r="G115" s="126"/>
      <c r="H115" s="102"/>
      <c r="I115" s="96"/>
      <c r="J115" s="96"/>
      <c r="K115" s="96"/>
      <c r="L115" s="99"/>
      <c r="M115" s="111"/>
      <c r="N115" s="105"/>
      <c r="O115" s="105"/>
      <c r="P115" s="105"/>
      <c r="Q115" s="108"/>
      <c r="R115" s="102"/>
      <c r="S115" s="96"/>
      <c r="T115" s="96"/>
      <c r="U115" s="96"/>
      <c r="V115" s="99"/>
      <c r="W115" s="102"/>
      <c r="X115" s="96"/>
      <c r="Y115" s="96"/>
      <c r="Z115" s="96"/>
      <c r="AA115" s="99"/>
      <c r="AB115" s="133"/>
    </row>
    <row r="116" spans="1:28" ht="15.75" customHeight="1" x14ac:dyDescent="0.25">
      <c r="A116" s="137"/>
      <c r="B116" s="137"/>
      <c r="C116" s="94"/>
      <c r="D116" s="124"/>
      <c r="E116" s="124"/>
      <c r="F116" s="124"/>
      <c r="G116" s="127"/>
      <c r="H116" s="103"/>
      <c r="I116" s="97"/>
      <c r="J116" s="97"/>
      <c r="K116" s="97"/>
      <c r="L116" s="100"/>
      <c r="M116" s="112"/>
      <c r="N116" s="106"/>
      <c r="O116" s="106"/>
      <c r="P116" s="106"/>
      <c r="Q116" s="109"/>
      <c r="R116" s="103"/>
      <c r="S116" s="97"/>
      <c r="T116" s="97"/>
      <c r="U116" s="97"/>
      <c r="V116" s="100"/>
      <c r="W116" s="103"/>
      <c r="X116" s="97"/>
      <c r="Y116" s="97"/>
      <c r="Z116" s="97"/>
      <c r="AA116" s="100"/>
      <c r="AB116" s="134"/>
    </row>
    <row r="117" spans="1:28" ht="15.75" customHeight="1" thickBot="1" x14ac:dyDescent="0.3">
      <c r="A117" s="138"/>
      <c r="B117" s="138"/>
      <c r="C117" s="95"/>
      <c r="D117" s="125"/>
      <c r="E117" s="125"/>
      <c r="F117" s="125"/>
      <c r="G117" s="128"/>
      <c r="H117" s="104"/>
      <c r="I117" s="98"/>
      <c r="J117" s="98"/>
      <c r="K117" s="98"/>
      <c r="L117" s="101"/>
      <c r="M117" s="113"/>
      <c r="N117" s="107"/>
      <c r="O117" s="107"/>
      <c r="P117" s="107"/>
      <c r="Q117" s="110"/>
      <c r="R117" s="104"/>
      <c r="S117" s="98"/>
      <c r="T117" s="98"/>
      <c r="U117" s="98"/>
      <c r="V117" s="101"/>
      <c r="W117" s="104"/>
      <c r="X117" s="98"/>
      <c r="Y117" s="98"/>
      <c r="Z117" s="98"/>
      <c r="AA117" s="101"/>
      <c r="AB117" s="135"/>
    </row>
    <row r="118" spans="1:28" ht="15.75" customHeight="1" x14ac:dyDescent="0.25">
      <c r="A118" s="136">
        <f>ESCUADRAS!B26</f>
        <v>20</v>
      </c>
      <c r="B118" s="136">
        <f>ESCUADRAS!C26</f>
        <v>0</v>
      </c>
      <c r="C118" s="93"/>
      <c r="D118" s="123"/>
      <c r="E118" s="123"/>
      <c r="F118" s="123"/>
      <c r="G118" s="126"/>
      <c r="H118" s="111"/>
      <c r="I118" s="105"/>
      <c r="J118" s="105"/>
      <c r="K118" s="105"/>
      <c r="L118" s="108"/>
      <c r="M118" s="102"/>
      <c r="N118" s="96"/>
      <c r="O118" s="96"/>
      <c r="P118" s="96"/>
      <c r="Q118" s="99"/>
      <c r="R118" s="102"/>
      <c r="S118" s="96"/>
      <c r="T118" s="96"/>
      <c r="U118" s="96"/>
      <c r="V118" s="99"/>
      <c r="W118" s="102"/>
      <c r="X118" s="96"/>
      <c r="Y118" s="96"/>
      <c r="Z118" s="96"/>
      <c r="AA118" s="99"/>
      <c r="AB118" s="133"/>
    </row>
    <row r="119" spans="1:28" ht="15.75" customHeight="1" x14ac:dyDescent="0.25">
      <c r="A119" s="137"/>
      <c r="B119" s="137"/>
      <c r="C119" s="94"/>
      <c r="D119" s="124"/>
      <c r="E119" s="124"/>
      <c r="F119" s="124"/>
      <c r="G119" s="127"/>
      <c r="H119" s="112"/>
      <c r="I119" s="106"/>
      <c r="J119" s="106"/>
      <c r="K119" s="106"/>
      <c r="L119" s="109"/>
      <c r="M119" s="103"/>
      <c r="N119" s="97"/>
      <c r="O119" s="97"/>
      <c r="P119" s="97"/>
      <c r="Q119" s="100"/>
      <c r="R119" s="103"/>
      <c r="S119" s="97"/>
      <c r="T119" s="97"/>
      <c r="U119" s="97"/>
      <c r="V119" s="100"/>
      <c r="W119" s="103"/>
      <c r="X119" s="97"/>
      <c r="Y119" s="97"/>
      <c r="Z119" s="97"/>
      <c r="AA119" s="100"/>
      <c r="AB119" s="134"/>
    </row>
    <row r="120" spans="1:28" ht="15.75" customHeight="1" thickBot="1" x14ac:dyDescent="0.3">
      <c r="A120" s="138"/>
      <c r="B120" s="138"/>
      <c r="C120" s="95"/>
      <c r="D120" s="125"/>
      <c r="E120" s="125"/>
      <c r="F120" s="125"/>
      <c r="G120" s="128"/>
      <c r="H120" s="113"/>
      <c r="I120" s="107"/>
      <c r="J120" s="107"/>
      <c r="K120" s="107"/>
      <c r="L120" s="110"/>
      <c r="M120" s="104"/>
      <c r="N120" s="98"/>
      <c r="O120" s="98"/>
      <c r="P120" s="98"/>
      <c r="Q120" s="101"/>
      <c r="R120" s="104"/>
      <c r="S120" s="98"/>
      <c r="T120" s="98"/>
      <c r="U120" s="98"/>
      <c r="V120" s="101"/>
      <c r="W120" s="104"/>
      <c r="X120" s="98"/>
      <c r="Y120" s="98"/>
      <c r="Z120" s="98"/>
      <c r="AA120" s="101"/>
      <c r="AB120" s="135"/>
    </row>
    <row r="121" spans="1:28" ht="15.75" customHeight="1" x14ac:dyDescent="0.25">
      <c r="A121" s="136">
        <f>ESCUADRAS!B27</f>
        <v>21</v>
      </c>
      <c r="B121" s="136">
        <f>ESCUADRAS!C27</f>
        <v>0</v>
      </c>
      <c r="C121" s="111"/>
      <c r="D121" s="105"/>
      <c r="E121" s="105"/>
      <c r="F121" s="105"/>
      <c r="G121" s="108"/>
      <c r="H121" s="122"/>
      <c r="I121" s="120"/>
      <c r="J121" s="120"/>
      <c r="K121" s="120"/>
      <c r="L121" s="121"/>
      <c r="M121" s="122"/>
      <c r="N121" s="120"/>
      <c r="O121" s="120"/>
      <c r="P121" s="120"/>
      <c r="Q121" s="121"/>
      <c r="R121" s="122"/>
      <c r="S121" s="120"/>
      <c r="T121" s="120"/>
      <c r="U121" s="120"/>
      <c r="V121" s="121"/>
      <c r="W121" s="122"/>
      <c r="X121" s="120"/>
      <c r="Y121" s="120"/>
      <c r="Z121" s="120"/>
      <c r="AA121" s="121"/>
      <c r="AB121" s="133"/>
    </row>
    <row r="122" spans="1:28" ht="15.75" customHeight="1" x14ac:dyDescent="0.25">
      <c r="A122" s="137"/>
      <c r="B122" s="137"/>
      <c r="C122" s="112"/>
      <c r="D122" s="106"/>
      <c r="E122" s="106"/>
      <c r="F122" s="106"/>
      <c r="G122" s="109"/>
      <c r="H122" s="103"/>
      <c r="I122" s="97"/>
      <c r="J122" s="97"/>
      <c r="K122" s="97"/>
      <c r="L122" s="100"/>
      <c r="M122" s="103"/>
      <c r="N122" s="97"/>
      <c r="O122" s="97"/>
      <c r="P122" s="97"/>
      <c r="Q122" s="100"/>
      <c r="R122" s="103"/>
      <c r="S122" s="97"/>
      <c r="T122" s="97"/>
      <c r="U122" s="97"/>
      <c r="V122" s="100"/>
      <c r="W122" s="103"/>
      <c r="X122" s="97"/>
      <c r="Y122" s="97"/>
      <c r="Z122" s="97"/>
      <c r="AA122" s="100"/>
      <c r="AB122" s="134"/>
    </row>
    <row r="123" spans="1:28" ht="15.75" customHeight="1" thickBot="1" x14ac:dyDescent="0.3">
      <c r="A123" s="138"/>
      <c r="B123" s="138"/>
      <c r="C123" s="113"/>
      <c r="D123" s="107"/>
      <c r="E123" s="107"/>
      <c r="F123" s="107"/>
      <c r="G123" s="110"/>
      <c r="H123" s="104"/>
      <c r="I123" s="98"/>
      <c r="J123" s="98"/>
      <c r="K123" s="98"/>
      <c r="L123" s="101"/>
      <c r="M123" s="104"/>
      <c r="N123" s="98"/>
      <c r="O123" s="98"/>
      <c r="P123" s="98"/>
      <c r="Q123" s="101"/>
      <c r="R123" s="104"/>
      <c r="S123" s="98"/>
      <c r="T123" s="98"/>
      <c r="U123" s="98"/>
      <c r="V123" s="101"/>
      <c r="W123" s="104"/>
      <c r="X123" s="98"/>
      <c r="Y123" s="98"/>
      <c r="Z123" s="98"/>
      <c r="AA123" s="101"/>
      <c r="AB123" s="135"/>
    </row>
    <row r="124" spans="1:28" ht="15" x14ac:dyDescent="0.25">
      <c r="A124" s="28"/>
    </row>
    <row r="125" spans="1:28" ht="15" x14ac:dyDescent="0.25">
      <c r="A125" s="28"/>
      <c r="B125" s="26" t="s">
        <v>35</v>
      </c>
      <c r="E125" s="21" t="s">
        <v>41</v>
      </c>
      <c r="I125" s="21" t="s">
        <v>42</v>
      </c>
      <c r="M125" s="21" t="s">
        <v>43</v>
      </c>
      <c r="Q125" s="21" t="s">
        <v>44</v>
      </c>
      <c r="U125" s="21" t="s">
        <v>45</v>
      </c>
      <c r="Y125" s="21" t="s">
        <v>46</v>
      </c>
    </row>
    <row r="126" spans="1:28" ht="15" x14ac:dyDescent="0.25">
      <c r="A126" s="28"/>
    </row>
    <row r="128" spans="1:28" ht="10.5" customHeight="1" x14ac:dyDescent="0.25"/>
    <row r="130" spans="1:32" ht="24.6" x14ac:dyDescent="0.25">
      <c r="A130" s="144" t="str">
        <f>'INSCRIPCION '!A$1</f>
        <v>TIRADA</v>
      </c>
      <c r="B130" s="144"/>
      <c r="C130" s="144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  <c r="AF130" s="144"/>
    </row>
    <row r="131" spans="1:32" ht="19.5" customHeight="1" x14ac:dyDescent="0.4">
      <c r="A131" s="23"/>
      <c r="B131" s="23"/>
    </row>
    <row r="132" spans="1:32" ht="21.75" customHeight="1" x14ac:dyDescent="0.25">
      <c r="A132" s="132" t="str">
        <f>'INSCRIPCION '!A$2</f>
        <v>CAMPO DE TIRO LA ISLA</v>
      </c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</row>
    <row r="133" spans="1:32" ht="19.5" customHeight="1" x14ac:dyDescent="0.25">
      <c r="A133" s="143" t="str">
        <f>'INSCRIPCION '!A$3</f>
        <v>XXX PLATOS</v>
      </c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</row>
    <row r="134" spans="1:32" ht="22.8" x14ac:dyDescent="0.4">
      <c r="A134" s="24"/>
      <c r="B134" s="24"/>
    </row>
    <row r="135" spans="1:32" ht="17.399999999999999" x14ac:dyDescent="0.3">
      <c r="A135" s="25" t="s">
        <v>13</v>
      </c>
      <c r="B135" s="25"/>
      <c r="J135" s="9" t="s">
        <v>6</v>
      </c>
      <c r="K135" s="9"/>
      <c r="L135" s="9"/>
      <c r="M135" s="9"/>
      <c r="N135" s="9"/>
      <c r="O135" s="22">
        <v>4</v>
      </c>
      <c r="P135" s="22"/>
      <c r="Q135" s="8"/>
      <c r="R135" s="8"/>
      <c r="S135" s="7"/>
      <c r="T135" s="8"/>
      <c r="U135" s="8"/>
      <c r="V135" s="9" t="s">
        <v>7</v>
      </c>
      <c r="W135" s="9"/>
      <c r="X135" s="9"/>
      <c r="Y135" s="9"/>
      <c r="Z135" s="22">
        <v>4</v>
      </c>
      <c r="AA135" s="22"/>
    </row>
    <row r="136" spans="1:32" ht="13.8" thickBot="1" x14ac:dyDescent="0.3"/>
    <row r="137" spans="1:32" ht="15.6" thickBot="1" x14ac:dyDescent="0.3">
      <c r="A137" s="27" t="s">
        <v>0</v>
      </c>
      <c r="B137" s="27" t="s">
        <v>8</v>
      </c>
      <c r="C137" s="47">
        <v>1</v>
      </c>
      <c r="D137" s="48">
        <v>2</v>
      </c>
      <c r="E137" s="48">
        <v>3</v>
      </c>
      <c r="F137" s="48">
        <v>4</v>
      </c>
      <c r="G137" s="49">
        <v>5</v>
      </c>
      <c r="H137" s="47">
        <v>6</v>
      </c>
      <c r="I137" s="48">
        <v>7</v>
      </c>
      <c r="J137" s="48">
        <v>8</v>
      </c>
      <c r="K137" s="48">
        <v>9</v>
      </c>
      <c r="L137" s="49">
        <v>10</v>
      </c>
      <c r="M137" s="47">
        <v>11</v>
      </c>
      <c r="N137" s="48">
        <v>12</v>
      </c>
      <c r="O137" s="48">
        <v>13</v>
      </c>
      <c r="P137" s="48">
        <v>14</v>
      </c>
      <c r="Q137" s="49">
        <v>15</v>
      </c>
      <c r="R137" s="47">
        <v>16</v>
      </c>
      <c r="S137" s="48">
        <v>17</v>
      </c>
      <c r="T137" s="48">
        <v>18</v>
      </c>
      <c r="U137" s="48">
        <v>19</v>
      </c>
      <c r="V137" s="49">
        <v>20</v>
      </c>
      <c r="W137" s="47">
        <v>21</v>
      </c>
      <c r="X137" s="48">
        <v>22</v>
      </c>
      <c r="Y137" s="48">
        <v>23</v>
      </c>
      <c r="Z137" s="48">
        <v>24</v>
      </c>
      <c r="AA137" s="49">
        <v>25</v>
      </c>
      <c r="AB137" s="30" t="s">
        <v>1</v>
      </c>
    </row>
    <row r="138" spans="1:32" ht="15.75" customHeight="1" x14ac:dyDescent="0.25">
      <c r="A138" s="136">
        <f>ESCUADRAS!B34</f>
        <v>28</v>
      </c>
      <c r="B138" s="136">
        <f>ESCUADRAS!C34</f>
        <v>0</v>
      </c>
      <c r="C138" s="129"/>
      <c r="D138" s="114"/>
      <c r="E138" s="114"/>
      <c r="F138" s="114"/>
      <c r="G138" s="117"/>
      <c r="H138" s="111"/>
      <c r="I138" s="105"/>
      <c r="J138" s="105"/>
      <c r="K138" s="105"/>
      <c r="L138" s="108"/>
      <c r="M138" s="111"/>
      <c r="N138" s="105"/>
      <c r="O138" s="105"/>
      <c r="P138" s="105"/>
      <c r="Q138" s="108"/>
      <c r="R138" s="111"/>
      <c r="S138" s="105"/>
      <c r="T138" s="105"/>
      <c r="U138" s="105"/>
      <c r="V138" s="108"/>
      <c r="W138" s="111"/>
      <c r="X138" s="105"/>
      <c r="Y138" s="105"/>
      <c r="Z138" s="105"/>
      <c r="AA138" s="108"/>
      <c r="AB138" s="133"/>
    </row>
    <row r="139" spans="1:32" ht="15.75" customHeight="1" x14ac:dyDescent="0.25">
      <c r="A139" s="137"/>
      <c r="B139" s="137"/>
      <c r="C139" s="130"/>
      <c r="D139" s="115"/>
      <c r="E139" s="115"/>
      <c r="F139" s="115"/>
      <c r="G139" s="118"/>
      <c r="H139" s="112"/>
      <c r="I139" s="106"/>
      <c r="J139" s="106"/>
      <c r="K139" s="106"/>
      <c r="L139" s="109"/>
      <c r="M139" s="112"/>
      <c r="N139" s="106"/>
      <c r="O139" s="106"/>
      <c r="P139" s="106"/>
      <c r="Q139" s="109"/>
      <c r="R139" s="112"/>
      <c r="S139" s="106"/>
      <c r="T139" s="106"/>
      <c r="U139" s="106"/>
      <c r="V139" s="109"/>
      <c r="W139" s="112"/>
      <c r="X139" s="106"/>
      <c r="Y139" s="106"/>
      <c r="Z139" s="106"/>
      <c r="AA139" s="109"/>
      <c r="AB139" s="134"/>
    </row>
    <row r="140" spans="1:32" ht="15.75" customHeight="1" thickBot="1" x14ac:dyDescent="0.3">
      <c r="A140" s="138"/>
      <c r="B140" s="138"/>
      <c r="C140" s="131"/>
      <c r="D140" s="116"/>
      <c r="E140" s="116"/>
      <c r="F140" s="116"/>
      <c r="G140" s="119"/>
      <c r="H140" s="113"/>
      <c r="I140" s="107"/>
      <c r="J140" s="107"/>
      <c r="K140" s="107"/>
      <c r="L140" s="110"/>
      <c r="M140" s="113"/>
      <c r="N140" s="107"/>
      <c r="O140" s="107"/>
      <c r="P140" s="107"/>
      <c r="Q140" s="110"/>
      <c r="R140" s="113"/>
      <c r="S140" s="107"/>
      <c r="T140" s="107"/>
      <c r="U140" s="107"/>
      <c r="V140" s="110"/>
      <c r="W140" s="113"/>
      <c r="X140" s="107"/>
      <c r="Y140" s="107"/>
      <c r="Z140" s="107"/>
      <c r="AA140" s="110"/>
      <c r="AB140" s="135"/>
    </row>
    <row r="141" spans="1:32" ht="15.75" customHeight="1" x14ac:dyDescent="0.25">
      <c r="A141" s="136">
        <f>ESCUADRAS!B35</f>
        <v>29</v>
      </c>
      <c r="B141" s="136">
        <f>ESCUADRAS!C35</f>
        <v>0</v>
      </c>
      <c r="C141" s="93"/>
      <c r="D141" s="123"/>
      <c r="E141" s="123"/>
      <c r="F141" s="123"/>
      <c r="G141" s="126"/>
      <c r="H141" s="102"/>
      <c r="I141" s="96"/>
      <c r="J141" s="96"/>
      <c r="K141" s="96"/>
      <c r="L141" s="99"/>
      <c r="M141" s="102"/>
      <c r="N141" s="96"/>
      <c r="O141" s="96"/>
      <c r="P141" s="96"/>
      <c r="Q141" s="99"/>
      <c r="R141" s="102"/>
      <c r="S141" s="96"/>
      <c r="T141" s="96"/>
      <c r="U141" s="96"/>
      <c r="V141" s="99"/>
      <c r="W141" s="111"/>
      <c r="X141" s="105"/>
      <c r="Y141" s="105"/>
      <c r="Z141" s="105"/>
      <c r="AA141" s="108"/>
      <c r="AB141" s="133"/>
    </row>
    <row r="142" spans="1:32" ht="15.75" customHeight="1" x14ac:dyDescent="0.25">
      <c r="A142" s="137"/>
      <c r="B142" s="137"/>
      <c r="C142" s="94"/>
      <c r="D142" s="124"/>
      <c r="E142" s="124"/>
      <c r="F142" s="124"/>
      <c r="G142" s="127"/>
      <c r="H142" s="103"/>
      <c r="I142" s="97"/>
      <c r="J142" s="97"/>
      <c r="K142" s="97"/>
      <c r="L142" s="100"/>
      <c r="M142" s="103"/>
      <c r="N142" s="97"/>
      <c r="O142" s="97"/>
      <c r="P142" s="97"/>
      <c r="Q142" s="100"/>
      <c r="R142" s="103"/>
      <c r="S142" s="97"/>
      <c r="T142" s="97"/>
      <c r="U142" s="97"/>
      <c r="V142" s="100"/>
      <c r="W142" s="112"/>
      <c r="X142" s="106"/>
      <c r="Y142" s="106"/>
      <c r="Z142" s="106"/>
      <c r="AA142" s="109"/>
      <c r="AB142" s="134"/>
    </row>
    <row r="143" spans="1:32" ht="15.75" customHeight="1" thickBot="1" x14ac:dyDescent="0.3">
      <c r="A143" s="138"/>
      <c r="B143" s="138"/>
      <c r="C143" s="95"/>
      <c r="D143" s="125"/>
      <c r="E143" s="125"/>
      <c r="F143" s="125"/>
      <c r="G143" s="128"/>
      <c r="H143" s="104"/>
      <c r="I143" s="98"/>
      <c r="J143" s="98"/>
      <c r="K143" s="98"/>
      <c r="L143" s="101"/>
      <c r="M143" s="104"/>
      <c r="N143" s="98"/>
      <c r="O143" s="98"/>
      <c r="P143" s="98"/>
      <c r="Q143" s="101"/>
      <c r="R143" s="104"/>
      <c r="S143" s="98"/>
      <c r="T143" s="98"/>
      <c r="U143" s="98"/>
      <c r="V143" s="101"/>
      <c r="W143" s="113"/>
      <c r="X143" s="107"/>
      <c r="Y143" s="107"/>
      <c r="Z143" s="107"/>
      <c r="AA143" s="110"/>
      <c r="AB143" s="135"/>
    </row>
    <row r="144" spans="1:32" ht="15.75" customHeight="1" x14ac:dyDescent="0.25">
      <c r="A144" s="136">
        <f>ESCUADRAS!B36</f>
        <v>30</v>
      </c>
      <c r="B144" s="136">
        <f>ESCUADRAS!C36</f>
        <v>0</v>
      </c>
      <c r="C144" s="93"/>
      <c r="D144" s="123"/>
      <c r="E144" s="123"/>
      <c r="F144" s="123"/>
      <c r="G144" s="126"/>
      <c r="H144" s="102"/>
      <c r="I144" s="96"/>
      <c r="J144" s="96"/>
      <c r="K144" s="96"/>
      <c r="L144" s="99"/>
      <c r="M144" s="102"/>
      <c r="N144" s="96"/>
      <c r="O144" s="96"/>
      <c r="P144" s="96"/>
      <c r="Q144" s="99"/>
      <c r="R144" s="111"/>
      <c r="S144" s="105"/>
      <c r="T144" s="105"/>
      <c r="U144" s="105"/>
      <c r="V144" s="108"/>
      <c r="W144" s="102"/>
      <c r="X144" s="96"/>
      <c r="Y144" s="96"/>
      <c r="Z144" s="96"/>
      <c r="AA144" s="99"/>
      <c r="AB144" s="133"/>
    </row>
    <row r="145" spans="1:28" ht="15.75" customHeight="1" x14ac:dyDescent="0.25">
      <c r="A145" s="137"/>
      <c r="B145" s="137"/>
      <c r="C145" s="94"/>
      <c r="D145" s="124"/>
      <c r="E145" s="124"/>
      <c r="F145" s="124"/>
      <c r="G145" s="127"/>
      <c r="H145" s="103"/>
      <c r="I145" s="97"/>
      <c r="J145" s="97"/>
      <c r="K145" s="97"/>
      <c r="L145" s="100"/>
      <c r="M145" s="103"/>
      <c r="N145" s="97"/>
      <c r="O145" s="97"/>
      <c r="P145" s="97"/>
      <c r="Q145" s="100"/>
      <c r="R145" s="112"/>
      <c r="S145" s="106"/>
      <c r="T145" s="106"/>
      <c r="U145" s="106"/>
      <c r="V145" s="109"/>
      <c r="W145" s="103"/>
      <c r="X145" s="97"/>
      <c r="Y145" s="97"/>
      <c r="Z145" s="97"/>
      <c r="AA145" s="100"/>
      <c r="AB145" s="134"/>
    </row>
    <row r="146" spans="1:28" ht="15.75" customHeight="1" thickBot="1" x14ac:dyDescent="0.3">
      <c r="A146" s="138"/>
      <c r="B146" s="138"/>
      <c r="C146" s="95"/>
      <c r="D146" s="125"/>
      <c r="E146" s="125"/>
      <c r="F146" s="125"/>
      <c r="G146" s="128"/>
      <c r="H146" s="104"/>
      <c r="I146" s="98"/>
      <c r="J146" s="98"/>
      <c r="K146" s="98"/>
      <c r="L146" s="101"/>
      <c r="M146" s="104"/>
      <c r="N146" s="98"/>
      <c r="O146" s="98"/>
      <c r="P146" s="98"/>
      <c r="Q146" s="101"/>
      <c r="R146" s="113"/>
      <c r="S146" s="107"/>
      <c r="T146" s="107"/>
      <c r="U146" s="107"/>
      <c r="V146" s="110"/>
      <c r="W146" s="104"/>
      <c r="X146" s="98"/>
      <c r="Y146" s="98"/>
      <c r="Z146" s="98"/>
      <c r="AA146" s="101"/>
      <c r="AB146" s="135"/>
    </row>
    <row r="147" spans="1:28" ht="15.75" customHeight="1" x14ac:dyDescent="0.25">
      <c r="A147" s="136">
        <f>ESCUADRAS!B31</f>
        <v>25</v>
      </c>
      <c r="B147" s="136">
        <f>ESCUADRAS!C31</f>
        <v>0</v>
      </c>
      <c r="C147" s="93"/>
      <c r="D147" s="123"/>
      <c r="E147" s="123"/>
      <c r="F147" s="123"/>
      <c r="G147" s="126"/>
      <c r="H147" s="102"/>
      <c r="I147" s="96"/>
      <c r="J147" s="96"/>
      <c r="K147" s="96"/>
      <c r="L147" s="99"/>
      <c r="M147" s="111"/>
      <c r="N147" s="105"/>
      <c r="O147" s="105"/>
      <c r="P147" s="105"/>
      <c r="Q147" s="108"/>
      <c r="R147" s="102"/>
      <c r="S147" s="96"/>
      <c r="T147" s="96"/>
      <c r="U147" s="96"/>
      <c r="V147" s="99"/>
      <c r="W147" s="102"/>
      <c r="X147" s="96"/>
      <c r="Y147" s="96"/>
      <c r="Z147" s="96"/>
      <c r="AA147" s="99"/>
      <c r="AB147" s="133"/>
    </row>
    <row r="148" spans="1:28" ht="15.75" customHeight="1" x14ac:dyDescent="0.25">
      <c r="A148" s="137"/>
      <c r="B148" s="137"/>
      <c r="C148" s="94"/>
      <c r="D148" s="124"/>
      <c r="E148" s="124"/>
      <c r="F148" s="124"/>
      <c r="G148" s="127"/>
      <c r="H148" s="103"/>
      <c r="I148" s="97"/>
      <c r="J148" s="97"/>
      <c r="K148" s="97"/>
      <c r="L148" s="100"/>
      <c r="M148" s="112"/>
      <c r="N148" s="106"/>
      <c r="O148" s="106"/>
      <c r="P148" s="106"/>
      <c r="Q148" s="109"/>
      <c r="R148" s="103"/>
      <c r="S148" s="97"/>
      <c r="T148" s="97"/>
      <c r="U148" s="97"/>
      <c r="V148" s="100"/>
      <c r="W148" s="103"/>
      <c r="X148" s="97"/>
      <c r="Y148" s="97"/>
      <c r="Z148" s="97"/>
      <c r="AA148" s="100"/>
      <c r="AB148" s="134"/>
    </row>
    <row r="149" spans="1:28" ht="15.75" customHeight="1" thickBot="1" x14ac:dyDescent="0.3">
      <c r="A149" s="138"/>
      <c r="B149" s="138"/>
      <c r="C149" s="95"/>
      <c r="D149" s="125"/>
      <c r="E149" s="125"/>
      <c r="F149" s="125"/>
      <c r="G149" s="128"/>
      <c r="H149" s="104"/>
      <c r="I149" s="98"/>
      <c r="J149" s="98"/>
      <c r="K149" s="98"/>
      <c r="L149" s="101"/>
      <c r="M149" s="113"/>
      <c r="N149" s="107"/>
      <c r="O149" s="107"/>
      <c r="P149" s="107"/>
      <c r="Q149" s="110"/>
      <c r="R149" s="104"/>
      <c r="S149" s="98"/>
      <c r="T149" s="98"/>
      <c r="U149" s="98"/>
      <c r="V149" s="101"/>
      <c r="W149" s="104"/>
      <c r="X149" s="98"/>
      <c r="Y149" s="98"/>
      <c r="Z149" s="98"/>
      <c r="AA149" s="101"/>
      <c r="AB149" s="135"/>
    </row>
    <row r="150" spans="1:28" ht="15.75" customHeight="1" x14ac:dyDescent="0.25">
      <c r="A150" s="136">
        <f>ESCUADRAS!B32</f>
        <v>26</v>
      </c>
      <c r="B150" s="136">
        <f>ESCUADRAS!C32</f>
        <v>0</v>
      </c>
      <c r="C150" s="93"/>
      <c r="D150" s="123"/>
      <c r="E150" s="123"/>
      <c r="F150" s="123"/>
      <c r="G150" s="126"/>
      <c r="H150" s="111"/>
      <c r="I150" s="105"/>
      <c r="J150" s="105"/>
      <c r="K150" s="105"/>
      <c r="L150" s="108"/>
      <c r="M150" s="102"/>
      <c r="N150" s="96"/>
      <c r="O150" s="96"/>
      <c r="P150" s="96"/>
      <c r="Q150" s="99"/>
      <c r="R150" s="102"/>
      <c r="S150" s="96"/>
      <c r="T150" s="96"/>
      <c r="U150" s="96"/>
      <c r="V150" s="99"/>
      <c r="W150" s="102"/>
      <c r="X150" s="96"/>
      <c r="Y150" s="96"/>
      <c r="Z150" s="96"/>
      <c r="AA150" s="99"/>
      <c r="AB150" s="133"/>
    </row>
    <row r="151" spans="1:28" ht="15.75" customHeight="1" x14ac:dyDescent="0.25">
      <c r="A151" s="137"/>
      <c r="B151" s="137"/>
      <c r="C151" s="94"/>
      <c r="D151" s="124"/>
      <c r="E151" s="124"/>
      <c r="F151" s="124"/>
      <c r="G151" s="127"/>
      <c r="H151" s="112"/>
      <c r="I151" s="106"/>
      <c r="J151" s="106"/>
      <c r="K151" s="106"/>
      <c r="L151" s="109"/>
      <c r="M151" s="103"/>
      <c r="N151" s="97"/>
      <c r="O151" s="97"/>
      <c r="P151" s="97"/>
      <c r="Q151" s="100"/>
      <c r="R151" s="103"/>
      <c r="S151" s="97"/>
      <c r="T151" s="97"/>
      <c r="U151" s="97"/>
      <c r="V151" s="100"/>
      <c r="W151" s="103"/>
      <c r="X151" s="97"/>
      <c r="Y151" s="97"/>
      <c r="Z151" s="97"/>
      <c r="AA151" s="100"/>
      <c r="AB151" s="134"/>
    </row>
    <row r="152" spans="1:28" ht="15.75" customHeight="1" thickBot="1" x14ac:dyDescent="0.3">
      <c r="A152" s="138"/>
      <c r="B152" s="138"/>
      <c r="C152" s="95"/>
      <c r="D152" s="125"/>
      <c r="E152" s="125"/>
      <c r="F152" s="125"/>
      <c r="G152" s="128"/>
      <c r="H152" s="113"/>
      <c r="I152" s="107"/>
      <c r="J152" s="107"/>
      <c r="K152" s="107"/>
      <c r="L152" s="110"/>
      <c r="M152" s="104"/>
      <c r="N152" s="98"/>
      <c r="O152" s="98"/>
      <c r="P152" s="98"/>
      <c r="Q152" s="101"/>
      <c r="R152" s="104"/>
      <c r="S152" s="98"/>
      <c r="T152" s="98"/>
      <c r="U152" s="98"/>
      <c r="V152" s="101"/>
      <c r="W152" s="104"/>
      <c r="X152" s="98"/>
      <c r="Y152" s="98"/>
      <c r="Z152" s="98"/>
      <c r="AA152" s="101"/>
      <c r="AB152" s="135"/>
    </row>
    <row r="153" spans="1:28" ht="15.75" customHeight="1" x14ac:dyDescent="0.25">
      <c r="A153" s="136">
        <f>ESCUADRAS!B33</f>
        <v>27</v>
      </c>
      <c r="B153" s="136">
        <f>ESCUADRAS!C33</f>
        <v>0</v>
      </c>
      <c r="C153" s="111"/>
      <c r="D153" s="105"/>
      <c r="E153" s="105"/>
      <c r="F153" s="105"/>
      <c r="G153" s="108"/>
      <c r="H153" s="122"/>
      <c r="I153" s="120"/>
      <c r="J153" s="120"/>
      <c r="K153" s="120"/>
      <c r="L153" s="121"/>
      <c r="M153" s="122"/>
      <c r="N153" s="120"/>
      <c r="O153" s="120"/>
      <c r="P153" s="120"/>
      <c r="Q153" s="121"/>
      <c r="R153" s="122"/>
      <c r="S153" s="120"/>
      <c r="T153" s="120"/>
      <c r="U153" s="120"/>
      <c r="V153" s="121"/>
      <c r="W153" s="122"/>
      <c r="X153" s="120"/>
      <c r="Y153" s="120"/>
      <c r="Z153" s="120"/>
      <c r="AA153" s="121"/>
      <c r="AB153" s="133"/>
    </row>
    <row r="154" spans="1:28" ht="15.75" customHeight="1" x14ac:dyDescent="0.25">
      <c r="A154" s="137"/>
      <c r="B154" s="137"/>
      <c r="C154" s="112"/>
      <c r="D154" s="106"/>
      <c r="E154" s="106"/>
      <c r="F154" s="106"/>
      <c r="G154" s="109"/>
      <c r="H154" s="103"/>
      <c r="I154" s="97"/>
      <c r="J154" s="97"/>
      <c r="K154" s="97"/>
      <c r="L154" s="100"/>
      <c r="M154" s="103"/>
      <c r="N154" s="97"/>
      <c r="O154" s="97"/>
      <c r="P154" s="97"/>
      <c r="Q154" s="100"/>
      <c r="R154" s="103"/>
      <c r="S154" s="97"/>
      <c r="T154" s="97"/>
      <c r="U154" s="97"/>
      <c r="V154" s="100"/>
      <c r="W154" s="103"/>
      <c r="X154" s="97"/>
      <c r="Y154" s="97"/>
      <c r="Z154" s="97"/>
      <c r="AA154" s="100"/>
      <c r="AB154" s="134"/>
    </row>
    <row r="155" spans="1:28" ht="15.75" customHeight="1" thickBot="1" x14ac:dyDescent="0.3">
      <c r="A155" s="138"/>
      <c r="B155" s="138"/>
      <c r="C155" s="113"/>
      <c r="D155" s="107"/>
      <c r="E155" s="107"/>
      <c r="F155" s="107"/>
      <c r="G155" s="110"/>
      <c r="H155" s="104"/>
      <c r="I155" s="98"/>
      <c r="J155" s="98"/>
      <c r="K155" s="98"/>
      <c r="L155" s="101"/>
      <c r="M155" s="104"/>
      <c r="N155" s="98"/>
      <c r="O155" s="98"/>
      <c r="P155" s="98"/>
      <c r="Q155" s="101"/>
      <c r="R155" s="104"/>
      <c r="S155" s="98"/>
      <c r="T155" s="98"/>
      <c r="U155" s="98"/>
      <c r="V155" s="101"/>
      <c r="W155" s="104"/>
      <c r="X155" s="98"/>
      <c r="Y155" s="98"/>
      <c r="Z155" s="98"/>
      <c r="AA155" s="101"/>
      <c r="AB155" s="135"/>
    </row>
    <row r="156" spans="1:28" ht="15" x14ac:dyDescent="0.25">
      <c r="A156" s="28"/>
    </row>
    <row r="157" spans="1:28" ht="15" x14ac:dyDescent="0.25">
      <c r="A157" s="28"/>
      <c r="B157" s="26" t="s">
        <v>35</v>
      </c>
      <c r="E157" s="21" t="s">
        <v>41</v>
      </c>
      <c r="I157" s="21" t="s">
        <v>42</v>
      </c>
      <c r="M157" s="21" t="s">
        <v>43</v>
      </c>
      <c r="Q157" s="21" t="s">
        <v>44</v>
      </c>
      <c r="U157" s="21" t="s">
        <v>45</v>
      </c>
      <c r="Y157" s="21" t="s">
        <v>46</v>
      </c>
    </row>
    <row r="158" spans="1:28" ht="15" x14ac:dyDescent="0.25">
      <c r="A158" s="28"/>
    </row>
    <row r="160" spans="1:28" ht="10.5" customHeight="1" x14ac:dyDescent="0.25"/>
    <row r="162" spans="1:32" ht="24.6" x14ac:dyDescent="0.25">
      <c r="A162" s="144" t="str">
        <f>'INSCRIPCION '!A$1</f>
        <v>TIRADA</v>
      </c>
      <c r="B162" s="144"/>
      <c r="C162" s="144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  <c r="AF162" s="144"/>
    </row>
    <row r="163" spans="1:32" ht="19.5" customHeight="1" x14ac:dyDescent="0.4">
      <c r="A163" s="23"/>
      <c r="B163" s="23"/>
    </row>
    <row r="164" spans="1:32" ht="22.5" customHeight="1" x14ac:dyDescent="0.25">
      <c r="A164" s="132" t="str">
        <f>'INSCRIPCION '!A$2</f>
        <v>CAMPO DE TIRO LA ISLA</v>
      </c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</row>
    <row r="165" spans="1:32" ht="19.5" customHeight="1" x14ac:dyDescent="0.25">
      <c r="A165" s="143" t="str">
        <f>'INSCRIPCION '!A$3</f>
        <v>XXX PLATOS</v>
      </c>
      <c r="B165" s="143"/>
      <c r="C165" s="143"/>
      <c r="D165" s="143"/>
      <c r="E165" s="143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</row>
    <row r="166" spans="1:32" ht="22.8" x14ac:dyDescent="0.4">
      <c r="A166" s="24"/>
      <c r="B166" s="24"/>
    </row>
    <row r="167" spans="1:32" ht="17.399999999999999" x14ac:dyDescent="0.3">
      <c r="A167" s="25" t="s">
        <v>14</v>
      </c>
      <c r="B167" s="25"/>
      <c r="J167" s="9" t="s">
        <v>6</v>
      </c>
      <c r="K167" s="9"/>
      <c r="L167" s="9"/>
      <c r="M167" s="9"/>
      <c r="N167" s="9"/>
      <c r="O167" s="22">
        <v>1</v>
      </c>
      <c r="P167" s="22"/>
      <c r="Q167" s="8"/>
      <c r="R167" s="8"/>
      <c r="S167" s="7"/>
      <c r="T167" s="8"/>
      <c r="U167" s="8"/>
      <c r="V167" s="9" t="s">
        <v>7</v>
      </c>
      <c r="W167" s="9"/>
      <c r="X167" s="9"/>
      <c r="Y167" s="9"/>
      <c r="Z167" s="22">
        <v>4</v>
      </c>
      <c r="AA167" s="22"/>
    </row>
    <row r="168" spans="1:32" ht="13.8" thickBot="1" x14ac:dyDescent="0.3"/>
    <row r="169" spans="1:32" ht="15.6" thickBot="1" x14ac:dyDescent="0.3">
      <c r="A169" s="27" t="s">
        <v>0</v>
      </c>
      <c r="B169" s="27" t="s">
        <v>8</v>
      </c>
      <c r="C169" s="47">
        <v>1</v>
      </c>
      <c r="D169" s="48">
        <v>2</v>
      </c>
      <c r="E169" s="48">
        <v>3</v>
      </c>
      <c r="F169" s="48">
        <v>4</v>
      </c>
      <c r="G169" s="49">
        <v>5</v>
      </c>
      <c r="H169" s="47">
        <v>6</v>
      </c>
      <c r="I169" s="48">
        <v>7</v>
      </c>
      <c r="J169" s="48">
        <v>8</v>
      </c>
      <c r="K169" s="48">
        <v>9</v>
      </c>
      <c r="L169" s="49">
        <v>10</v>
      </c>
      <c r="M169" s="47">
        <v>11</v>
      </c>
      <c r="N169" s="48">
        <v>12</v>
      </c>
      <c r="O169" s="48">
        <v>13</v>
      </c>
      <c r="P169" s="48">
        <v>14</v>
      </c>
      <c r="Q169" s="49">
        <v>15</v>
      </c>
      <c r="R169" s="47">
        <v>16</v>
      </c>
      <c r="S169" s="48">
        <v>17</v>
      </c>
      <c r="T169" s="48">
        <v>18</v>
      </c>
      <c r="U169" s="48">
        <v>19</v>
      </c>
      <c r="V169" s="49">
        <v>20</v>
      </c>
      <c r="W169" s="47">
        <v>21</v>
      </c>
      <c r="X169" s="48">
        <v>22</v>
      </c>
      <c r="Y169" s="48">
        <v>23</v>
      </c>
      <c r="Z169" s="48">
        <v>24</v>
      </c>
      <c r="AA169" s="49">
        <v>25</v>
      </c>
      <c r="AB169" s="30" t="s">
        <v>1</v>
      </c>
    </row>
    <row r="170" spans="1:32" ht="15.75" customHeight="1" x14ac:dyDescent="0.25">
      <c r="A170" s="136">
        <f>ESCUADRAS!B40</f>
        <v>34</v>
      </c>
      <c r="B170" s="136">
        <f>ESCUADRAS!C40</f>
        <v>0</v>
      </c>
      <c r="C170" s="129"/>
      <c r="D170" s="114"/>
      <c r="E170" s="114"/>
      <c r="F170" s="114"/>
      <c r="G170" s="117"/>
      <c r="H170" s="111"/>
      <c r="I170" s="105"/>
      <c r="J170" s="105"/>
      <c r="K170" s="105"/>
      <c r="L170" s="108"/>
      <c r="M170" s="111"/>
      <c r="N170" s="105"/>
      <c r="O170" s="105"/>
      <c r="P170" s="105"/>
      <c r="Q170" s="108"/>
      <c r="R170" s="111"/>
      <c r="S170" s="105"/>
      <c r="T170" s="105"/>
      <c r="U170" s="105"/>
      <c r="V170" s="108"/>
      <c r="W170" s="111"/>
      <c r="X170" s="105"/>
      <c r="Y170" s="105"/>
      <c r="Z170" s="105"/>
      <c r="AA170" s="108"/>
      <c r="AB170" s="133"/>
    </row>
    <row r="171" spans="1:32" ht="15.75" customHeight="1" x14ac:dyDescent="0.25">
      <c r="A171" s="137"/>
      <c r="B171" s="137"/>
      <c r="C171" s="130"/>
      <c r="D171" s="115"/>
      <c r="E171" s="115"/>
      <c r="F171" s="115"/>
      <c r="G171" s="118"/>
      <c r="H171" s="112"/>
      <c r="I171" s="106"/>
      <c r="J171" s="106"/>
      <c r="K171" s="106"/>
      <c r="L171" s="109"/>
      <c r="M171" s="112"/>
      <c r="N171" s="106"/>
      <c r="O171" s="106"/>
      <c r="P171" s="106"/>
      <c r="Q171" s="109"/>
      <c r="R171" s="112"/>
      <c r="S171" s="106"/>
      <c r="T171" s="106"/>
      <c r="U171" s="106"/>
      <c r="V171" s="109"/>
      <c r="W171" s="112"/>
      <c r="X171" s="106"/>
      <c r="Y171" s="106"/>
      <c r="Z171" s="106"/>
      <c r="AA171" s="109"/>
      <c r="AB171" s="134"/>
    </row>
    <row r="172" spans="1:32" ht="15.75" customHeight="1" thickBot="1" x14ac:dyDescent="0.3">
      <c r="A172" s="138"/>
      <c r="B172" s="138"/>
      <c r="C172" s="131"/>
      <c r="D172" s="116"/>
      <c r="E172" s="116"/>
      <c r="F172" s="116"/>
      <c r="G172" s="119"/>
      <c r="H172" s="113"/>
      <c r="I172" s="107"/>
      <c r="J172" s="107"/>
      <c r="K172" s="107"/>
      <c r="L172" s="110"/>
      <c r="M172" s="113"/>
      <c r="N172" s="107"/>
      <c r="O172" s="107"/>
      <c r="P172" s="107"/>
      <c r="Q172" s="110"/>
      <c r="R172" s="113"/>
      <c r="S172" s="107"/>
      <c r="T172" s="107"/>
      <c r="U172" s="107"/>
      <c r="V172" s="110"/>
      <c r="W172" s="113"/>
      <c r="X172" s="107"/>
      <c r="Y172" s="107"/>
      <c r="Z172" s="107"/>
      <c r="AA172" s="110"/>
      <c r="AB172" s="135"/>
    </row>
    <row r="173" spans="1:32" ht="15.75" customHeight="1" x14ac:dyDescent="0.25">
      <c r="A173" s="136">
        <f>ESCUADRAS!B41</f>
        <v>35</v>
      </c>
      <c r="B173" s="136">
        <f>ESCUADRAS!C41</f>
        <v>0</v>
      </c>
      <c r="C173" s="93"/>
      <c r="D173" s="123"/>
      <c r="E173" s="123"/>
      <c r="F173" s="123"/>
      <c r="G173" s="126"/>
      <c r="H173" s="102"/>
      <c r="I173" s="96"/>
      <c r="J173" s="96"/>
      <c r="K173" s="96"/>
      <c r="L173" s="99"/>
      <c r="M173" s="102"/>
      <c r="N173" s="96"/>
      <c r="O173" s="96"/>
      <c r="P173" s="96"/>
      <c r="Q173" s="99"/>
      <c r="R173" s="102"/>
      <c r="S173" s="96"/>
      <c r="T173" s="96"/>
      <c r="U173" s="96"/>
      <c r="V173" s="99"/>
      <c r="W173" s="111"/>
      <c r="X173" s="105"/>
      <c r="Y173" s="105"/>
      <c r="Z173" s="105"/>
      <c r="AA173" s="108"/>
      <c r="AB173" s="133"/>
    </row>
    <row r="174" spans="1:32" ht="15.75" customHeight="1" x14ac:dyDescent="0.25">
      <c r="A174" s="137"/>
      <c r="B174" s="137"/>
      <c r="C174" s="94"/>
      <c r="D174" s="124"/>
      <c r="E174" s="124"/>
      <c r="F174" s="124"/>
      <c r="G174" s="127"/>
      <c r="H174" s="103"/>
      <c r="I174" s="97"/>
      <c r="J174" s="97"/>
      <c r="K174" s="97"/>
      <c r="L174" s="100"/>
      <c r="M174" s="103"/>
      <c r="N174" s="97"/>
      <c r="O174" s="97"/>
      <c r="P174" s="97"/>
      <c r="Q174" s="100"/>
      <c r="R174" s="103"/>
      <c r="S174" s="97"/>
      <c r="T174" s="97"/>
      <c r="U174" s="97"/>
      <c r="V174" s="100"/>
      <c r="W174" s="112"/>
      <c r="X174" s="106"/>
      <c r="Y174" s="106"/>
      <c r="Z174" s="106"/>
      <c r="AA174" s="109"/>
      <c r="AB174" s="134"/>
    </row>
    <row r="175" spans="1:32" ht="15.75" customHeight="1" thickBot="1" x14ac:dyDescent="0.3">
      <c r="A175" s="138"/>
      <c r="B175" s="138"/>
      <c r="C175" s="95"/>
      <c r="D175" s="125"/>
      <c r="E175" s="125"/>
      <c r="F175" s="125"/>
      <c r="G175" s="128"/>
      <c r="H175" s="104"/>
      <c r="I175" s="98"/>
      <c r="J175" s="98"/>
      <c r="K175" s="98"/>
      <c r="L175" s="101"/>
      <c r="M175" s="104"/>
      <c r="N175" s="98"/>
      <c r="O175" s="98"/>
      <c r="P175" s="98"/>
      <c r="Q175" s="101"/>
      <c r="R175" s="104"/>
      <c r="S175" s="98"/>
      <c r="T175" s="98"/>
      <c r="U175" s="98"/>
      <c r="V175" s="101"/>
      <c r="W175" s="113"/>
      <c r="X175" s="107"/>
      <c r="Y175" s="107"/>
      <c r="Z175" s="107"/>
      <c r="AA175" s="110"/>
      <c r="AB175" s="135"/>
    </row>
    <row r="176" spans="1:32" ht="15.75" customHeight="1" x14ac:dyDescent="0.25">
      <c r="A176" s="136">
        <f>ESCUADRAS!B42</f>
        <v>36</v>
      </c>
      <c r="B176" s="136">
        <f>ESCUADRAS!C42</f>
        <v>0</v>
      </c>
      <c r="C176" s="93"/>
      <c r="D176" s="123"/>
      <c r="E176" s="123"/>
      <c r="F176" s="123"/>
      <c r="G176" s="126"/>
      <c r="H176" s="102"/>
      <c r="I176" s="96"/>
      <c r="J176" s="96"/>
      <c r="K176" s="96"/>
      <c r="L176" s="99"/>
      <c r="M176" s="102"/>
      <c r="N176" s="96"/>
      <c r="O176" s="96"/>
      <c r="P176" s="96"/>
      <c r="Q176" s="99"/>
      <c r="R176" s="111"/>
      <c r="S176" s="105"/>
      <c r="T176" s="105"/>
      <c r="U176" s="105"/>
      <c r="V176" s="108"/>
      <c r="W176" s="102"/>
      <c r="X176" s="96"/>
      <c r="Y176" s="96"/>
      <c r="Z176" s="96"/>
      <c r="AA176" s="99"/>
      <c r="AB176" s="133"/>
    </row>
    <row r="177" spans="1:28" ht="15.75" customHeight="1" x14ac:dyDescent="0.25">
      <c r="A177" s="137"/>
      <c r="B177" s="137"/>
      <c r="C177" s="94"/>
      <c r="D177" s="124"/>
      <c r="E177" s="124"/>
      <c r="F177" s="124"/>
      <c r="G177" s="127"/>
      <c r="H177" s="103"/>
      <c r="I177" s="97"/>
      <c r="J177" s="97"/>
      <c r="K177" s="97"/>
      <c r="L177" s="100"/>
      <c r="M177" s="103"/>
      <c r="N177" s="97"/>
      <c r="O177" s="97"/>
      <c r="P177" s="97"/>
      <c r="Q177" s="100"/>
      <c r="R177" s="112"/>
      <c r="S177" s="106"/>
      <c r="T177" s="106"/>
      <c r="U177" s="106"/>
      <c r="V177" s="109"/>
      <c r="W177" s="103"/>
      <c r="X177" s="97"/>
      <c r="Y177" s="97"/>
      <c r="Z177" s="97"/>
      <c r="AA177" s="100"/>
      <c r="AB177" s="134"/>
    </row>
    <row r="178" spans="1:28" ht="15.75" customHeight="1" thickBot="1" x14ac:dyDescent="0.3">
      <c r="A178" s="138"/>
      <c r="B178" s="138"/>
      <c r="C178" s="95"/>
      <c r="D178" s="125"/>
      <c r="E178" s="125"/>
      <c r="F178" s="125"/>
      <c r="G178" s="128"/>
      <c r="H178" s="104"/>
      <c r="I178" s="98"/>
      <c r="J178" s="98"/>
      <c r="K178" s="98"/>
      <c r="L178" s="101"/>
      <c r="M178" s="104"/>
      <c r="N178" s="98"/>
      <c r="O178" s="98"/>
      <c r="P178" s="98"/>
      <c r="Q178" s="101"/>
      <c r="R178" s="113"/>
      <c r="S178" s="107"/>
      <c r="T178" s="107"/>
      <c r="U178" s="107"/>
      <c r="V178" s="110"/>
      <c r="W178" s="104"/>
      <c r="X178" s="98"/>
      <c r="Y178" s="98"/>
      <c r="Z178" s="98"/>
      <c r="AA178" s="101"/>
      <c r="AB178" s="135"/>
    </row>
    <row r="179" spans="1:28" ht="15.75" customHeight="1" x14ac:dyDescent="0.25">
      <c r="A179" s="136">
        <f>ESCUADRAS!B37</f>
        <v>31</v>
      </c>
      <c r="B179" s="136">
        <f>ESCUADRAS!C37</f>
        <v>0</v>
      </c>
      <c r="C179" s="93"/>
      <c r="D179" s="123"/>
      <c r="E179" s="123"/>
      <c r="F179" s="123"/>
      <c r="G179" s="126"/>
      <c r="H179" s="102"/>
      <c r="I179" s="96"/>
      <c r="J179" s="96"/>
      <c r="K179" s="96"/>
      <c r="L179" s="99"/>
      <c r="M179" s="111"/>
      <c r="N179" s="105"/>
      <c r="O179" s="105"/>
      <c r="P179" s="105"/>
      <c r="Q179" s="108"/>
      <c r="R179" s="102"/>
      <c r="S179" s="96"/>
      <c r="T179" s="96"/>
      <c r="U179" s="96"/>
      <c r="V179" s="99"/>
      <c r="W179" s="102"/>
      <c r="X179" s="96"/>
      <c r="Y179" s="96"/>
      <c r="Z179" s="96"/>
      <c r="AA179" s="99"/>
      <c r="AB179" s="133"/>
    </row>
    <row r="180" spans="1:28" ht="15.75" customHeight="1" x14ac:dyDescent="0.25">
      <c r="A180" s="137"/>
      <c r="B180" s="137"/>
      <c r="C180" s="94"/>
      <c r="D180" s="124"/>
      <c r="E180" s="124"/>
      <c r="F180" s="124"/>
      <c r="G180" s="127"/>
      <c r="H180" s="103"/>
      <c r="I180" s="97"/>
      <c r="J180" s="97"/>
      <c r="K180" s="97"/>
      <c r="L180" s="100"/>
      <c r="M180" s="112"/>
      <c r="N180" s="106"/>
      <c r="O180" s="106"/>
      <c r="P180" s="106"/>
      <c r="Q180" s="109"/>
      <c r="R180" s="103"/>
      <c r="S180" s="97"/>
      <c r="T180" s="97"/>
      <c r="U180" s="97"/>
      <c r="V180" s="100"/>
      <c r="W180" s="103"/>
      <c r="X180" s="97"/>
      <c r="Y180" s="97"/>
      <c r="Z180" s="97"/>
      <c r="AA180" s="100"/>
      <c r="AB180" s="134"/>
    </row>
    <row r="181" spans="1:28" ht="15.75" customHeight="1" thickBot="1" x14ac:dyDescent="0.3">
      <c r="A181" s="138"/>
      <c r="B181" s="138"/>
      <c r="C181" s="95"/>
      <c r="D181" s="125"/>
      <c r="E181" s="125"/>
      <c r="F181" s="125"/>
      <c r="G181" s="128"/>
      <c r="H181" s="104"/>
      <c r="I181" s="98"/>
      <c r="J181" s="98"/>
      <c r="K181" s="98"/>
      <c r="L181" s="101"/>
      <c r="M181" s="113"/>
      <c r="N181" s="107"/>
      <c r="O181" s="107"/>
      <c r="P181" s="107"/>
      <c r="Q181" s="110"/>
      <c r="R181" s="104"/>
      <c r="S181" s="98"/>
      <c r="T181" s="98"/>
      <c r="U181" s="98"/>
      <c r="V181" s="101"/>
      <c r="W181" s="104"/>
      <c r="X181" s="98"/>
      <c r="Y181" s="98"/>
      <c r="Z181" s="98"/>
      <c r="AA181" s="101"/>
      <c r="AB181" s="135"/>
    </row>
    <row r="182" spans="1:28" ht="15.75" customHeight="1" x14ac:dyDescent="0.25">
      <c r="A182" s="136">
        <f>ESCUADRAS!B38</f>
        <v>32</v>
      </c>
      <c r="B182" s="136">
        <f>ESCUADRAS!C38</f>
        <v>0</v>
      </c>
      <c r="C182" s="93"/>
      <c r="D182" s="123"/>
      <c r="E182" s="123"/>
      <c r="F182" s="123"/>
      <c r="G182" s="126"/>
      <c r="H182" s="111"/>
      <c r="I182" s="105"/>
      <c r="J182" s="105"/>
      <c r="K182" s="105"/>
      <c r="L182" s="108"/>
      <c r="M182" s="102"/>
      <c r="N182" s="96"/>
      <c r="O182" s="96"/>
      <c r="P182" s="96"/>
      <c r="Q182" s="99"/>
      <c r="R182" s="102"/>
      <c r="S182" s="96"/>
      <c r="T182" s="96"/>
      <c r="U182" s="96"/>
      <c r="V182" s="99"/>
      <c r="W182" s="102"/>
      <c r="X182" s="96"/>
      <c r="Y182" s="96"/>
      <c r="Z182" s="96"/>
      <c r="AA182" s="99"/>
      <c r="AB182" s="133"/>
    </row>
    <row r="183" spans="1:28" ht="15.75" customHeight="1" x14ac:dyDescent="0.25">
      <c r="A183" s="137"/>
      <c r="B183" s="137"/>
      <c r="C183" s="94"/>
      <c r="D183" s="124"/>
      <c r="E183" s="124"/>
      <c r="F183" s="124"/>
      <c r="G183" s="127"/>
      <c r="H183" s="112"/>
      <c r="I183" s="106"/>
      <c r="J183" s="106"/>
      <c r="K183" s="106"/>
      <c r="L183" s="109"/>
      <c r="M183" s="103"/>
      <c r="N183" s="97"/>
      <c r="O183" s="97"/>
      <c r="P183" s="97"/>
      <c r="Q183" s="100"/>
      <c r="R183" s="103"/>
      <c r="S183" s="97"/>
      <c r="T183" s="97"/>
      <c r="U183" s="97"/>
      <c r="V183" s="100"/>
      <c r="W183" s="103"/>
      <c r="X183" s="97"/>
      <c r="Y183" s="97"/>
      <c r="Z183" s="97"/>
      <c r="AA183" s="100"/>
      <c r="AB183" s="134"/>
    </row>
    <row r="184" spans="1:28" ht="15.75" customHeight="1" thickBot="1" x14ac:dyDescent="0.3">
      <c r="A184" s="138"/>
      <c r="B184" s="138"/>
      <c r="C184" s="95"/>
      <c r="D184" s="125"/>
      <c r="E184" s="125"/>
      <c r="F184" s="125"/>
      <c r="G184" s="128"/>
      <c r="H184" s="113"/>
      <c r="I184" s="107"/>
      <c r="J184" s="107"/>
      <c r="K184" s="107"/>
      <c r="L184" s="110"/>
      <c r="M184" s="104"/>
      <c r="N184" s="98"/>
      <c r="O184" s="98"/>
      <c r="P184" s="98"/>
      <c r="Q184" s="101"/>
      <c r="R184" s="104"/>
      <c r="S184" s="98"/>
      <c r="T184" s="98"/>
      <c r="U184" s="98"/>
      <c r="V184" s="101"/>
      <c r="W184" s="104"/>
      <c r="X184" s="98"/>
      <c r="Y184" s="98"/>
      <c r="Z184" s="98"/>
      <c r="AA184" s="101"/>
      <c r="AB184" s="135"/>
    </row>
    <row r="185" spans="1:28" ht="15.75" customHeight="1" x14ac:dyDescent="0.25">
      <c r="A185" s="136">
        <f>ESCUADRAS!B39</f>
        <v>33</v>
      </c>
      <c r="B185" s="136">
        <f>ESCUADRAS!C39</f>
        <v>0</v>
      </c>
      <c r="C185" s="111"/>
      <c r="D185" s="105"/>
      <c r="E185" s="105"/>
      <c r="F185" s="105"/>
      <c r="G185" s="108"/>
      <c r="H185" s="122"/>
      <c r="I185" s="120"/>
      <c r="J185" s="120"/>
      <c r="K185" s="120"/>
      <c r="L185" s="121"/>
      <c r="M185" s="122"/>
      <c r="N185" s="120"/>
      <c r="O185" s="120"/>
      <c r="P185" s="120"/>
      <c r="Q185" s="121"/>
      <c r="R185" s="122"/>
      <c r="S185" s="120"/>
      <c r="T185" s="120"/>
      <c r="U185" s="120"/>
      <c r="V185" s="121"/>
      <c r="W185" s="122"/>
      <c r="X185" s="120"/>
      <c r="Y185" s="120"/>
      <c r="Z185" s="120"/>
      <c r="AA185" s="121"/>
      <c r="AB185" s="133"/>
    </row>
    <row r="186" spans="1:28" ht="15.75" customHeight="1" x14ac:dyDescent="0.25">
      <c r="A186" s="137"/>
      <c r="B186" s="137"/>
      <c r="C186" s="112"/>
      <c r="D186" s="106"/>
      <c r="E186" s="106"/>
      <c r="F186" s="106"/>
      <c r="G186" s="109"/>
      <c r="H186" s="103"/>
      <c r="I186" s="97"/>
      <c r="J186" s="97"/>
      <c r="K186" s="97"/>
      <c r="L186" s="100"/>
      <c r="M186" s="103"/>
      <c r="N186" s="97"/>
      <c r="O186" s="97"/>
      <c r="P186" s="97"/>
      <c r="Q186" s="100"/>
      <c r="R186" s="103"/>
      <c r="S186" s="97"/>
      <c r="T186" s="97"/>
      <c r="U186" s="97"/>
      <c r="V186" s="100"/>
      <c r="W186" s="103"/>
      <c r="X186" s="97"/>
      <c r="Y186" s="97"/>
      <c r="Z186" s="97"/>
      <c r="AA186" s="100"/>
      <c r="AB186" s="134"/>
    </row>
    <row r="187" spans="1:28" ht="15.75" customHeight="1" thickBot="1" x14ac:dyDescent="0.3">
      <c r="A187" s="138"/>
      <c r="B187" s="138"/>
      <c r="C187" s="113"/>
      <c r="D187" s="107"/>
      <c r="E187" s="107"/>
      <c r="F187" s="107"/>
      <c r="G187" s="110"/>
      <c r="H187" s="104"/>
      <c r="I187" s="98"/>
      <c r="J187" s="98"/>
      <c r="K187" s="98"/>
      <c r="L187" s="101"/>
      <c r="M187" s="104"/>
      <c r="N187" s="98"/>
      <c r="O187" s="98"/>
      <c r="P187" s="98"/>
      <c r="Q187" s="101"/>
      <c r="R187" s="104"/>
      <c r="S187" s="98"/>
      <c r="T187" s="98"/>
      <c r="U187" s="98"/>
      <c r="V187" s="101"/>
      <c r="W187" s="104"/>
      <c r="X187" s="98"/>
      <c r="Y187" s="98"/>
      <c r="Z187" s="98"/>
      <c r="AA187" s="101"/>
      <c r="AB187" s="135"/>
    </row>
    <row r="188" spans="1:28" ht="15" x14ac:dyDescent="0.25">
      <c r="A188" s="28"/>
    </row>
    <row r="189" spans="1:28" ht="15" x14ac:dyDescent="0.25">
      <c r="A189" s="28"/>
      <c r="B189" s="26" t="s">
        <v>35</v>
      </c>
      <c r="E189" s="21" t="s">
        <v>41</v>
      </c>
      <c r="I189" s="21" t="s">
        <v>42</v>
      </c>
      <c r="M189" s="21" t="s">
        <v>43</v>
      </c>
      <c r="Q189" s="21" t="s">
        <v>44</v>
      </c>
      <c r="U189" s="21" t="s">
        <v>45</v>
      </c>
      <c r="Y189" s="21" t="s">
        <v>46</v>
      </c>
    </row>
    <row r="190" spans="1:28" ht="15" x14ac:dyDescent="0.25">
      <c r="A190" s="28"/>
    </row>
    <row r="194" spans="1:32" ht="24.6" x14ac:dyDescent="0.25">
      <c r="A194" s="144" t="str">
        <f>'INSCRIPCION '!A$1</f>
        <v>TIRADA</v>
      </c>
      <c r="B194" s="144"/>
      <c r="C194" s="14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  <c r="AF194" s="144"/>
    </row>
    <row r="195" spans="1:32" ht="19.5" customHeight="1" x14ac:dyDescent="0.4">
      <c r="A195" s="23"/>
      <c r="B195" s="23"/>
    </row>
    <row r="196" spans="1:32" ht="22.5" customHeight="1" x14ac:dyDescent="0.25">
      <c r="A196" s="132" t="str">
        <f>'INSCRIPCION '!A$2</f>
        <v>CAMPO DE TIRO LA ISLA</v>
      </c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</row>
    <row r="197" spans="1:32" ht="19.5" customHeight="1" x14ac:dyDescent="0.25">
      <c r="A197" s="143" t="str">
        <f>'INSCRIPCION '!A$3</f>
        <v>XXX PLATOS</v>
      </c>
      <c r="B197" s="143"/>
      <c r="C197" s="143"/>
      <c r="D197" s="143"/>
      <c r="E197" s="143"/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</row>
    <row r="198" spans="1:32" ht="22.8" x14ac:dyDescent="0.4">
      <c r="A198" s="24"/>
      <c r="B198" s="24"/>
    </row>
    <row r="199" spans="1:32" ht="17.399999999999999" x14ac:dyDescent="0.3">
      <c r="A199" s="25" t="s">
        <v>15</v>
      </c>
      <c r="B199" s="25"/>
      <c r="J199" s="9" t="s">
        <v>6</v>
      </c>
      <c r="K199" s="9"/>
      <c r="L199" s="9"/>
      <c r="M199" s="9"/>
      <c r="N199" s="9"/>
      <c r="O199" s="22">
        <v>2</v>
      </c>
      <c r="P199" s="22"/>
      <c r="Q199" s="8"/>
      <c r="R199" s="8"/>
      <c r="S199" s="7"/>
      <c r="T199" s="8"/>
      <c r="U199" s="8"/>
      <c r="V199" s="9" t="s">
        <v>7</v>
      </c>
      <c r="W199" s="9"/>
      <c r="X199" s="9"/>
      <c r="Y199" s="9"/>
      <c r="Z199" s="22">
        <v>4</v>
      </c>
      <c r="AA199" s="22"/>
    </row>
    <row r="200" spans="1:32" ht="13.8" thickBot="1" x14ac:dyDescent="0.3"/>
    <row r="201" spans="1:32" ht="15.6" thickBot="1" x14ac:dyDescent="0.3">
      <c r="A201" s="27" t="s">
        <v>0</v>
      </c>
      <c r="B201" s="27" t="s">
        <v>8</v>
      </c>
      <c r="C201" s="47">
        <v>1</v>
      </c>
      <c r="D201" s="48">
        <v>2</v>
      </c>
      <c r="E201" s="48">
        <v>3</v>
      </c>
      <c r="F201" s="48">
        <v>4</v>
      </c>
      <c r="G201" s="49">
        <v>5</v>
      </c>
      <c r="H201" s="47">
        <v>6</v>
      </c>
      <c r="I201" s="48">
        <v>7</v>
      </c>
      <c r="J201" s="48">
        <v>8</v>
      </c>
      <c r="K201" s="48">
        <v>9</v>
      </c>
      <c r="L201" s="49">
        <v>10</v>
      </c>
      <c r="M201" s="47">
        <v>11</v>
      </c>
      <c r="N201" s="48">
        <v>12</v>
      </c>
      <c r="O201" s="48">
        <v>13</v>
      </c>
      <c r="P201" s="48">
        <v>14</v>
      </c>
      <c r="Q201" s="49">
        <v>15</v>
      </c>
      <c r="R201" s="47">
        <v>16</v>
      </c>
      <c r="S201" s="48">
        <v>17</v>
      </c>
      <c r="T201" s="48">
        <v>18</v>
      </c>
      <c r="U201" s="48">
        <v>19</v>
      </c>
      <c r="V201" s="49">
        <v>20</v>
      </c>
      <c r="W201" s="47">
        <v>21</v>
      </c>
      <c r="X201" s="48">
        <v>22</v>
      </c>
      <c r="Y201" s="48">
        <v>23</v>
      </c>
      <c r="Z201" s="48">
        <v>24</v>
      </c>
      <c r="AA201" s="49">
        <v>25</v>
      </c>
      <c r="AB201" s="30" t="s">
        <v>1</v>
      </c>
    </row>
    <row r="202" spans="1:32" ht="15.75" customHeight="1" x14ac:dyDescent="0.25">
      <c r="A202" s="136">
        <f>ESCUADRAS!B46</f>
        <v>40</v>
      </c>
      <c r="B202" s="136">
        <f>ESCUADRAS!C46</f>
        <v>0</v>
      </c>
      <c r="C202" s="129"/>
      <c r="D202" s="114"/>
      <c r="E202" s="114"/>
      <c r="F202" s="114"/>
      <c r="G202" s="117"/>
      <c r="H202" s="111"/>
      <c r="I202" s="105"/>
      <c r="J202" s="105"/>
      <c r="K202" s="105"/>
      <c r="L202" s="108"/>
      <c r="M202" s="111"/>
      <c r="N202" s="105"/>
      <c r="O202" s="105"/>
      <c r="P202" s="105"/>
      <c r="Q202" s="108"/>
      <c r="R202" s="111"/>
      <c r="S202" s="105"/>
      <c r="T202" s="105"/>
      <c r="U202" s="105"/>
      <c r="V202" s="108"/>
      <c r="W202" s="111"/>
      <c r="X202" s="105"/>
      <c r="Y202" s="105"/>
      <c r="Z202" s="105"/>
      <c r="AA202" s="108"/>
      <c r="AB202" s="133"/>
    </row>
    <row r="203" spans="1:32" ht="15.75" customHeight="1" x14ac:dyDescent="0.25">
      <c r="A203" s="137"/>
      <c r="B203" s="137"/>
      <c r="C203" s="130"/>
      <c r="D203" s="115"/>
      <c r="E203" s="115"/>
      <c r="F203" s="115"/>
      <c r="G203" s="118"/>
      <c r="H203" s="112"/>
      <c r="I203" s="106"/>
      <c r="J203" s="106"/>
      <c r="K203" s="106"/>
      <c r="L203" s="109"/>
      <c r="M203" s="112"/>
      <c r="N203" s="106"/>
      <c r="O203" s="106"/>
      <c r="P203" s="106"/>
      <c r="Q203" s="109"/>
      <c r="R203" s="112"/>
      <c r="S203" s="106"/>
      <c r="T203" s="106"/>
      <c r="U203" s="106"/>
      <c r="V203" s="109"/>
      <c r="W203" s="112"/>
      <c r="X203" s="106"/>
      <c r="Y203" s="106"/>
      <c r="Z203" s="106"/>
      <c r="AA203" s="109"/>
      <c r="AB203" s="134"/>
    </row>
    <row r="204" spans="1:32" ht="15.75" customHeight="1" thickBot="1" x14ac:dyDescent="0.3">
      <c r="A204" s="138"/>
      <c r="B204" s="138"/>
      <c r="C204" s="131"/>
      <c r="D204" s="116"/>
      <c r="E204" s="116"/>
      <c r="F204" s="116"/>
      <c r="G204" s="119"/>
      <c r="H204" s="113"/>
      <c r="I204" s="107"/>
      <c r="J204" s="107"/>
      <c r="K204" s="107"/>
      <c r="L204" s="110"/>
      <c r="M204" s="113"/>
      <c r="N204" s="107"/>
      <c r="O204" s="107"/>
      <c r="P204" s="107"/>
      <c r="Q204" s="110"/>
      <c r="R204" s="113"/>
      <c r="S204" s="107"/>
      <c r="T204" s="107"/>
      <c r="U204" s="107"/>
      <c r="V204" s="110"/>
      <c r="W204" s="113"/>
      <c r="X204" s="107"/>
      <c r="Y204" s="107"/>
      <c r="Z204" s="107"/>
      <c r="AA204" s="110"/>
      <c r="AB204" s="135"/>
    </row>
    <row r="205" spans="1:32" ht="15.75" customHeight="1" x14ac:dyDescent="0.25">
      <c r="A205" s="136">
        <f>ESCUADRAS!B47</f>
        <v>41</v>
      </c>
      <c r="B205" s="136">
        <f>ESCUADRAS!C47</f>
        <v>0</v>
      </c>
      <c r="C205" s="93"/>
      <c r="D205" s="123"/>
      <c r="E205" s="123"/>
      <c r="F205" s="123"/>
      <c r="G205" s="126"/>
      <c r="H205" s="102"/>
      <c r="I205" s="96"/>
      <c r="J205" s="96"/>
      <c r="K205" s="96"/>
      <c r="L205" s="99"/>
      <c r="M205" s="102"/>
      <c r="N205" s="96"/>
      <c r="O205" s="96"/>
      <c r="P205" s="96"/>
      <c r="Q205" s="99"/>
      <c r="R205" s="102"/>
      <c r="S205" s="96"/>
      <c r="T205" s="96"/>
      <c r="U205" s="96"/>
      <c r="V205" s="99"/>
      <c r="W205" s="111"/>
      <c r="X205" s="105"/>
      <c r="Y205" s="105"/>
      <c r="Z205" s="105"/>
      <c r="AA205" s="108"/>
      <c r="AB205" s="133"/>
    </row>
    <row r="206" spans="1:32" ht="15.75" customHeight="1" x14ac:dyDescent="0.25">
      <c r="A206" s="137"/>
      <c r="B206" s="137"/>
      <c r="C206" s="94"/>
      <c r="D206" s="124"/>
      <c r="E206" s="124"/>
      <c r="F206" s="124"/>
      <c r="G206" s="127"/>
      <c r="H206" s="103"/>
      <c r="I206" s="97"/>
      <c r="J206" s="97"/>
      <c r="K206" s="97"/>
      <c r="L206" s="100"/>
      <c r="M206" s="103"/>
      <c r="N206" s="97"/>
      <c r="O206" s="97"/>
      <c r="P206" s="97"/>
      <c r="Q206" s="100"/>
      <c r="R206" s="103"/>
      <c r="S206" s="97"/>
      <c r="T206" s="97"/>
      <c r="U206" s="97"/>
      <c r="V206" s="100"/>
      <c r="W206" s="112"/>
      <c r="X206" s="106"/>
      <c r="Y206" s="106"/>
      <c r="Z206" s="106"/>
      <c r="AA206" s="109"/>
      <c r="AB206" s="134"/>
    </row>
    <row r="207" spans="1:32" ht="15.75" customHeight="1" thickBot="1" x14ac:dyDescent="0.3">
      <c r="A207" s="138"/>
      <c r="B207" s="138"/>
      <c r="C207" s="95"/>
      <c r="D207" s="125"/>
      <c r="E207" s="125"/>
      <c r="F207" s="125"/>
      <c r="G207" s="128"/>
      <c r="H207" s="104"/>
      <c r="I207" s="98"/>
      <c r="J207" s="98"/>
      <c r="K207" s="98"/>
      <c r="L207" s="101"/>
      <c r="M207" s="104"/>
      <c r="N207" s="98"/>
      <c r="O207" s="98"/>
      <c r="P207" s="98"/>
      <c r="Q207" s="101"/>
      <c r="R207" s="104"/>
      <c r="S207" s="98"/>
      <c r="T207" s="98"/>
      <c r="U207" s="98"/>
      <c r="V207" s="101"/>
      <c r="W207" s="113"/>
      <c r="X207" s="107"/>
      <c r="Y207" s="107"/>
      <c r="Z207" s="107"/>
      <c r="AA207" s="110"/>
      <c r="AB207" s="135"/>
    </row>
    <row r="208" spans="1:32" ht="15.75" customHeight="1" x14ac:dyDescent="0.25">
      <c r="A208" s="136">
        <f>ESCUADRAS!B48</f>
        <v>42</v>
      </c>
      <c r="B208" s="136">
        <f>ESCUADRAS!C48</f>
        <v>0</v>
      </c>
      <c r="C208" s="93"/>
      <c r="D208" s="123"/>
      <c r="E208" s="123"/>
      <c r="F208" s="123"/>
      <c r="G208" s="126"/>
      <c r="H208" s="102"/>
      <c r="I208" s="96"/>
      <c r="J208" s="96"/>
      <c r="K208" s="96"/>
      <c r="L208" s="99"/>
      <c r="M208" s="102"/>
      <c r="N208" s="96"/>
      <c r="O208" s="96"/>
      <c r="P208" s="96"/>
      <c r="Q208" s="99"/>
      <c r="R208" s="111"/>
      <c r="S208" s="105"/>
      <c r="T208" s="105"/>
      <c r="U208" s="105"/>
      <c r="V208" s="108"/>
      <c r="W208" s="102"/>
      <c r="X208" s="96"/>
      <c r="Y208" s="96"/>
      <c r="Z208" s="96"/>
      <c r="AA208" s="99"/>
      <c r="AB208" s="133"/>
    </row>
    <row r="209" spans="1:28" ht="15.75" customHeight="1" x14ac:dyDescent="0.25">
      <c r="A209" s="137"/>
      <c r="B209" s="137"/>
      <c r="C209" s="94"/>
      <c r="D209" s="124"/>
      <c r="E209" s="124"/>
      <c r="F209" s="124"/>
      <c r="G209" s="127"/>
      <c r="H209" s="103"/>
      <c r="I209" s="97"/>
      <c r="J209" s="97"/>
      <c r="K209" s="97"/>
      <c r="L209" s="100"/>
      <c r="M209" s="103"/>
      <c r="N209" s="97"/>
      <c r="O209" s="97"/>
      <c r="P209" s="97"/>
      <c r="Q209" s="100"/>
      <c r="R209" s="112"/>
      <c r="S209" s="106"/>
      <c r="T209" s="106"/>
      <c r="U209" s="106"/>
      <c r="V209" s="109"/>
      <c r="W209" s="103"/>
      <c r="X209" s="97"/>
      <c r="Y209" s="97"/>
      <c r="Z209" s="97"/>
      <c r="AA209" s="100"/>
      <c r="AB209" s="134"/>
    </row>
    <row r="210" spans="1:28" ht="15.75" customHeight="1" thickBot="1" x14ac:dyDescent="0.3">
      <c r="A210" s="138"/>
      <c r="B210" s="138"/>
      <c r="C210" s="95"/>
      <c r="D210" s="125"/>
      <c r="E210" s="125"/>
      <c r="F210" s="125"/>
      <c r="G210" s="128"/>
      <c r="H210" s="104"/>
      <c r="I210" s="98"/>
      <c r="J210" s="98"/>
      <c r="K210" s="98"/>
      <c r="L210" s="101"/>
      <c r="M210" s="104"/>
      <c r="N210" s="98"/>
      <c r="O210" s="98"/>
      <c r="P210" s="98"/>
      <c r="Q210" s="101"/>
      <c r="R210" s="113"/>
      <c r="S210" s="107"/>
      <c r="T210" s="107"/>
      <c r="U210" s="107"/>
      <c r="V210" s="110"/>
      <c r="W210" s="104"/>
      <c r="X210" s="98"/>
      <c r="Y210" s="98"/>
      <c r="Z210" s="98"/>
      <c r="AA210" s="101"/>
      <c r="AB210" s="135"/>
    </row>
    <row r="211" spans="1:28" ht="15.75" customHeight="1" x14ac:dyDescent="0.25">
      <c r="A211" s="136">
        <f>ESCUADRAS!B43</f>
        <v>37</v>
      </c>
      <c r="B211" s="136">
        <f>ESCUADRAS!C43</f>
        <v>0</v>
      </c>
      <c r="C211" s="93"/>
      <c r="D211" s="123"/>
      <c r="E211" s="123"/>
      <c r="F211" s="123"/>
      <c r="G211" s="126"/>
      <c r="H211" s="102"/>
      <c r="I211" s="96"/>
      <c r="J211" s="96"/>
      <c r="K211" s="96"/>
      <c r="L211" s="99"/>
      <c r="M211" s="111"/>
      <c r="N211" s="105"/>
      <c r="O211" s="105"/>
      <c r="P211" s="105"/>
      <c r="Q211" s="108"/>
      <c r="R211" s="102"/>
      <c r="S211" s="96"/>
      <c r="T211" s="96"/>
      <c r="U211" s="96"/>
      <c r="V211" s="99"/>
      <c r="W211" s="102"/>
      <c r="X211" s="96"/>
      <c r="Y211" s="96"/>
      <c r="Z211" s="96"/>
      <c r="AA211" s="99"/>
      <c r="AB211" s="133"/>
    </row>
    <row r="212" spans="1:28" ht="15.75" customHeight="1" x14ac:dyDescent="0.25">
      <c r="A212" s="137"/>
      <c r="B212" s="137"/>
      <c r="C212" s="94"/>
      <c r="D212" s="124"/>
      <c r="E212" s="124"/>
      <c r="F212" s="124"/>
      <c r="G212" s="127"/>
      <c r="H212" s="103"/>
      <c r="I212" s="97"/>
      <c r="J212" s="97"/>
      <c r="K212" s="97"/>
      <c r="L212" s="100"/>
      <c r="M212" s="112"/>
      <c r="N212" s="106"/>
      <c r="O212" s="106"/>
      <c r="P212" s="106"/>
      <c r="Q212" s="109"/>
      <c r="R212" s="103"/>
      <c r="S212" s="97"/>
      <c r="T212" s="97"/>
      <c r="U212" s="97"/>
      <c r="V212" s="100"/>
      <c r="W212" s="103"/>
      <c r="X212" s="97"/>
      <c r="Y212" s="97"/>
      <c r="Z212" s="97"/>
      <c r="AA212" s="100"/>
      <c r="AB212" s="134"/>
    </row>
    <row r="213" spans="1:28" ht="15.75" customHeight="1" thickBot="1" x14ac:dyDescent="0.3">
      <c r="A213" s="138"/>
      <c r="B213" s="138"/>
      <c r="C213" s="95"/>
      <c r="D213" s="125"/>
      <c r="E213" s="125"/>
      <c r="F213" s="125"/>
      <c r="G213" s="128"/>
      <c r="H213" s="104"/>
      <c r="I213" s="98"/>
      <c r="J213" s="98"/>
      <c r="K213" s="98"/>
      <c r="L213" s="101"/>
      <c r="M213" s="113"/>
      <c r="N213" s="107"/>
      <c r="O213" s="107"/>
      <c r="P213" s="107"/>
      <c r="Q213" s="110"/>
      <c r="R213" s="104"/>
      <c r="S213" s="98"/>
      <c r="T213" s="98"/>
      <c r="U213" s="98"/>
      <c r="V213" s="101"/>
      <c r="W213" s="104"/>
      <c r="X213" s="98"/>
      <c r="Y213" s="98"/>
      <c r="Z213" s="98"/>
      <c r="AA213" s="101"/>
      <c r="AB213" s="135"/>
    </row>
    <row r="214" spans="1:28" ht="15.75" customHeight="1" x14ac:dyDescent="0.25">
      <c r="A214" s="136">
        <f>ESCUADRAS!B46</f>
        <v>40</v>
      </c>
      <c r="B214" s="136">
        <f>ESCUADRAS!C46</f>
        <v>0</v>
      </c>
      <c r="C214" s="93"/>
      <c r="D214" s="123"/>
      <c r="E214" s="123"/>
      <c r="F214" s="123"/>
      <c r="G214" s="126"/>
      <c r="H214" s="111"/>
      <c r="I214" s="105"/>
      <c r="J214" s="105"/>
      <c r="K214" s="105"/>
      <c r="L214" s="108"/>
      <c r="M214" s="102"/>
      <c r="N214" s="96"/>
      <c r="O214" s="96"/>
      <c r="P214" s="96"/>
      <c r="Q214" s="99"/>
      <c r="R214" s="102"/>
      <c r="S214" s="96"/>
      <c r="T214" s="96"/>
      <c r="U214" s="96"/>
      <c r="V214" s="99"/>
      <c r="W214" s="102"/>
      <c r="X214" s="96"/>
      <c r="Y214" s="96"/>
      <c r="Z214" s="96"/>
      <c r="AA214" s="99"/>
      <c r="AB214" s="133"/>
    </row>
    <row r="215" spans="1:28" ht="15.75" customHeight="1" x14ac:dyDescent="0.25">
      <c r="A215" s="137"/>
      <c r="B215" s="137"/>
      <c r="C215" s="94"/>
      <c r="D215" s="124"/>
      <c r="E215" s="124"/>
      <c r="F215" s="124"/>
      <c r="G215" s="127"/>
      <c r="H215" s="112"/>
      <c r="I215" s="106"/>
      <c r="J215" s="106"/>
      <c r="K215" s="106"/>
      <c r="L215" s="109"/>
      <c r="M215" s="103"/>
      <c r="N215" s="97"/>
      <c r="O215" s="97"/>
      <c r="P215" s="97"/>
      <c r="Q215" s="100"/>
      <c r="R215" s="103"/>
      <c r="S215" s="97"/>
      <c r="T215" s="97"/>
      <c r="U215" s="97"/>
      <c r="V215" s="100"/>
      <c r="W215" s="103"/>
      <c r="X215" s="97"/>
      <c r="Y215" s="97"/>
      <c r="Z215" s="97"/>
      <c r="AA215" s="100"/>
      <c r="AB215" s="134"/>
    </row>
    <row r="216" spans="1:28" ht="15.75" customHeight="1" thickBot="1" x14ac:dyDescent="0.3">
      <c r="A216" s="138"/>
      <c r="B216" s="138"/>
      <c r="C216" s="95"/>
      <c r="D216" s="125"/>
      <c r="E216" s="125"/>
      <c r="F216" s="125"/>
      <c r="G216" s="128"/>
      <c r="H216" s="113"/>
      <c r="I216" s="107"/>
      <c r="J216" s="107"/>
      <c r="K216" s="107"/>
      <c r="L216" s="110"/>
      <c r="M216" s="104"/>
      <c r="N216" s="98"/>
      <c r="O216" s="98"/>
      <c r="P216" s="98"/>
      <c r="Q216" s="101"/>
      <c r="R216" s="104"/>
      <c r="S216" s="98"/>
      <c r="T216" s="98"/>
      <c r="U216" s="98"/>
      <c r="V216" s="101"/>
      <c r="W216" s="104"/>
      <c r="X216" s="98"/>
      <c r="Y216" s="98"/>
      <c r="Z216" s="98"/>
      <c r="AA216" s="101"/>
      <c r="AB216" s="135"/>
    </row>
    <row r="217" spans="1:28" ht="15.75" customHeight="1" x14ac:dyDescent="0.25">
      <c r="A217" s="136">
        <f>ESCUADRAS!B45</f>
        <v>39</v>
      </c>
      <c r="B217" s="136">
        <f>ESCUADRAS!C45</f>
        <v>0</v>
      </c>
      <c r="C217" s="111"/>
      <c r="D217" s="105"/>
      <c r="E217" s="105"/>
      <c r="F217" s="105"/>
      <c r="G217" s="108"/>
      <c r="H217" s="122"/>
      <c r="I217" s="120"/>
      <c r="J217" s="120"/>
      <c r="K217" s="120"/>
      <c r="L217" s="121"/>
      <c r="M217" s="122"/>
      <c r="N217" s="120"/>
      <c r="O217" s="120"/>
      <c r="P217" s="120"/>
      <c r="Q217" s="121"/>
      <c r="R217" s="122"/>
      <c r="S217" s="120"/>
      <c r="T217" s="120"/>
      <c r="U217" s="120"/>
      <c r="V217" s="121"/>
      <c r="W217" s="122"/>
      <c r="X217" s="120"/>
      <c r="Y217" s="120"/>
      <c r="Z217" s="120"/>
      <c r="AA217" s="121"/>
      <c r="AB217" s="133"/>
    </row>
    <row r="218" spans="1:28" ht="15.75" customHeight="1" x14ac:dyDescent="0.25">
      <c r="A218" s="137"/>
      <c r="B218" s="137"/>
      <c r="C218" s="112"/>
      <c r="D218" s="106"/>
      <c r="E218" s="106"/>
      <c r="F218" s="106"/>
      <c r="G218" s="109"/>
      <c r="H218" s="103"/>
      <c r="I218" s="97"/>
      <c r="J218" s="97"/>
      <c r="K218" s="97"/>
      <c r="L218" s="100"/>
      <c r="M218" s="103"/>
      <c r="N218" s="97"/>
      <c r="O218" s="97"/>
      <c r="P218" s="97"/>
      <c r="Q218" s="100"/>
      <c r="R218" s="103"/>
      <c r="S218" s="97"/>
      <c r="T218" s="97"/>
      <c r="U218" s="97"/>
      <c r="V218" s="100"/>
      <c r="W218" s="103"/>
      <c r="X218" s="97"/>
      <c r="Y218" s="97"/>
      <c r="Z218" s="97"/>
      <c r="AA218" s="100"/>
      <c r="AB218" s="134"/>
    </row>
    <row r="219" spans="1:28" ht="15.75" customHeight="1" thickBot="1" x14ac:dyDescent="0.3">
      <c r="A219" s="138"/>
      <c r="B219" s="138"/>
      <c r="C219" s="113"/>
      <c r="D219" s="107"/>
      <c r="E219" s="107"/>
      <c r="F219" s="107"/>
      <c r="G219" s="110"/>
      <c r="H219" s="104"/>
      <c r="I219" s="98"/>
      <c r="J219" s="98"/>
      <c r="K219" s="98"/>
      <c r="L219" s="101"/>
      <c r="M219" s="104"/>
      <c r="N219" s="98"/>
      <c r="O219" s="98"/>
      <c r="P219" s="98"/>
      <c r="Q219" s="101"/>
      <c r="R219" s="104"/>
      <c r="S219" s="98"/>
      <c r="T219" s="98"/>
      <c r="U219" s="98"/>
      <c r="V219" s="101"/>
      <c r="W219" s="104"/>
      <c r="X219" s="98"/>
      <c r="Y219" s="98"/>
      <c r="Z219" s="98"/>
      <c r="AA219" s="101"/>
      <c r="AB219" s="135"/>
    </row>
    <row r="220" spans="1:28" ht="15" x14ac:dyDescent="0.25">
      <c r="A220" s="28"/>
    </row>
    <row r="221" spans="1:28" ht="15" x14ac:dyDescent="0.25">
      <c r="A221" s="28"/>
      <c r="B221" s="26" t="s">
        <v>35</v>
      </c>
      <c r="E221" s="21" t="s">
        <v>41</v>
      </c>
      <c r="I221" s="21" t="s">
        <v>42</v>
      </c>
      <c r="M221" s="21" t="s">
        <v>43</v>
      </c>
      <c r="Q221" s="21" t="s">
        <v>44</v>
      </c>
      <c r="U221" s="21" t="s">
        <v>45</v>
      </c>
      <c r="Y221" s="21" t="s">
        <v>46</v>
      </c>
    </row>
    <row r="222" spans="1:28" ht="15" x14ac:dyDescent="0.25">
      <c r="A222" s="28"/>
    </row>
    <row r="226" spans="1:32" ht="24.6" x14ac:dyDescent="0.25">
      <c r="A226" s="144" t="str">
        <f>'INSCRIPCION '!A$1</f>
        <v>TIRADA</v>
      </c>
      <c r="B226" s="144"/>
      <c r="C226" s="144"/>
      <c r="D226" s="144"/>
      <c r="E226" s="144"/>
      <c r="F226" s="144"/>
      <c r="G226" s="144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  <c r="AF226" s="144"/>
    </row>
    <row r="227" spans="1:32" ht="19.5" customHeight="1" x14ac:dyDescent="0.4">
      <c r="A227" s="23"/>
      <c r="B227" s="23"/>
    </row>
    <row r="228" spans="1:32" ht="21.75" customHeight="1" x14ac:dyDescent="0.25">
      <c r="A228" s="132" t="str">
        <f>'INSCRIPCION '!A$2</f>
        <v>CAMPO DE TIRO LA ISLA</v>
      </c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</row>
    <row r="229" spans="1:32" ht="19.5" customHeight="1" x14ac:dyDescent="0.25">
      <c r="A229" s="143" t="str">
        <f>'INSCRIPCION '!A$3</f>
        <v>XXX PLATOS</v>
      </c>
      <c r="B229" s="143"/>
      <c r="C229" s="143"/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</row>
    <row r="230" spans="1:32" ht="22.8" x14ac:dyDescent="0.4">
      <c r="A230" s="24"/>
      <c r="B230" s="24"/>
    </row>
    <row r="231" spans="1:32" ht="17.399999999999999" x14ac:dyDescent="0.3">
      <c r="A231" s="25" t="s">
        <v>16</v>
      </c>
      <c r="B231" s="25"/>
      <c r="J231" s="9" t="s">
        <v>6</v>
      </c>
      <c r="K231" s="9"/>
      <c r="L231" s="9"/>
      <c r="M231" s="9"/>
      <c r="N231" s="9"/>
      <c r="O231" s="22">
        <v>3</v>
      </c>
      <c r="P231" s="22"/>
      <c r="Q231" s="8"/>
      <c r="R231" s="8"/>
      <c r="S231" s="7"/>
      <c r="T231" s="8"/>
      <c r="U231" s="8"/>
      <c r="V231" s="9" t="s">
        <v>7</v>
      </c>
      <c r="W231" s="9"/>
      <c r="X231" s="9"/>
      <c r="Y231" s="9"/>
      <c r="Z231" s="22">
        <v>4</v>
      </c>
      <c r="AA231" s="22"/>
    </row>
    <row r="232" spans="1:32" ht="13.8" thickBot="1" x14ac:dyDescent="0.3"/>
    <row r="233" spans="1:32" ht="15.6" thickBot="1" x14ac:dyDescent="0.3">
      <c r="A233" s="27" t="s">
        <v>0</v>
      </c>
      <c r="B233" s="27" t="s">
        <v>8</v>
      </c>
      <c r="C233" s="47">
        <v>1</v>
      </c>
      <c r="D233" s="48">
        <v>2</v>
      </c>
      <c r="E233" s="48">
        <v>3</v>
      </c>
      <c r="F233" s="48">
        <v>4</v>
      </c>
      <c r="G233" s="49">
        <v>5</v>
      </c>
      <c r="H233" s="47">
        <v>6</v>
      </c>
      <c r="I233" s="48">
        <v>7</v>
      </c>
      <c r="J233" s="48">
        <v>8</v>
      </c>
      <c r="K233" s="48">
        <v>9</v>
      </c>
      <c r="L233" s="49">
        <v>10</v>
      </c>
      <c r="M233" s="47">
        <v>11</v>
      </c>
      <c r="N233" s="48">
        <v>12</v>
      </c>
      <c r="O233" s="48">
        <v>13</v>
      </c>
      <c r="P233" s="48">
        <v>14</v>
      </c>
      <c r="Q233" s="49">
        <v>15</v>
      </c>
      <c r="R233" s="47">
        <v>16</v>
      </c>
      <c r="S233" s="48">
        <v>17</v>
      </c>
      <c r="T233" s="48">
        <v>18</v>
      </c>
      <c r="U233" s="48">
        <v>19</v>
      </c>
      <c r="V233" s="49">
        <v>20</v>
      </c>
      <c r="W233" s="47">
        <v>21</v>
      </c>
      <c r="X233" s="48">
        <v>22</v>
      </c>
      <c r="Y233" s="48">
        <v>23</v>
      </c>
      <c r="Z233" s="48">
        <v>24</v>
      </c>
      <c r="AA233" s="49">
        <v>25</v>
      </c>
      <c r="AB233" s="30" t="s">
        <v>1</v>
      </c>
    </row>
    <row r="234" spans="1:32" ht="15.75" customHeight="1" x14ac:dyDescent="0.25">
      <c r="A234" s="136">
        <f>ESCUADRAS!B52</f>
        <v>46</v>
      </c>
      <c r="B234" s="136">
        <f>ESCUADRAS!C52</f>
        <v>0</v>
      </c>
      <c r="C234" s="129"/>
      <c r="D234" s="114"/>
      <c r="E234" s="114"/>
      <c r="F234" s="114"/>
      <c r="G234" s="117"/>
      <c r="H234" s="111"/>
      <c r="I234" s="105"/>
      <c r="J234" s="105"/>
      <c r="K234" s="105"/>
      <c r="L234" s="108"/>
      <c r="M234" s="111"/>
      <c r="N234" s="105"/>
      <c r="O234" s="105"/>
      <c r="P234" s="105"/>
      <c r="Q234" s="108"/>
      <c r="R234" s="111"/>
      <c r="S234" s="105"/>
      <c r="T234" s="105"/>
      <c r="U234" s="105"/>
      <c r="V234" s="108"/>
      <c r="W234" s="111"/>
      <c r="X234" s="105"/>
      <c r="Y234" s="105"/>
      <c r="Z234" s="105"/>
      <c r="AA234" s="108"/>
      <c r="AB234" s="133"/>
    </row>
    <row r="235" spans="1:32" ht="15.75" customHeight="1" x14ac:dyDescent="0.25">
      <c r="A235" s="137"/>
      <c r="B235" s="137"/>
      <c r="C235" s="130"/>
      <c r="D235" s="115"/>
      <c r="E235" s="115"/>
      <c r="F235" s="115"/>
      <c r="G235" s="118"/>
      <c r="H235" s="112"/>
      <c r="I235" s="106"/>
      <c r="J235" s="106"/>
      <c r="K235" s="106"/>
      <c r="L235" s="109"/>
      <c r="M235" s="112"/>
      <c r="N235" s="106"/>
      <c r="O235" s="106"/>
      <c r="P235" s="106"/>
      <c r="Q235" s="109"/>
      <c r="R235" s="112"/>
      <c r="S235" s="106"/>
      <c r="T235" s="106"/>
      <c r="U235" s="106"/>
      <c r="V235" s="109"/>
      <c r="W235" s="112"/>
      <c r="X235" s="106"/>
      <c r="Y235" s="106"/>
      <c r="Z235" s="106"/>
      <c r="AA235" s="109"/>
      <c r="AB235" s="134"/>
    </row>
    <row r="236" spans="1:32" ht="15.75" customHeight="1" thickBot="1" x14ac:dyDescent="0.3">
      <c r="A236" s="138"/>
      <c r="B236" s="138"/>
      <c r="C236" s="131"/>
      <c r="D236" s="116"/>
      <c r="E236" s="116"/>
      <c r="F236" s="116"/>
      <c r="G236" s="119"/>
      <c r="H236" s="113"/>
      <c r="I236" s="107"/>
      <c r="J236" s="107"/>
      <c r="K236" s="107"/>
      <c r="L236" s="110"/>
      <c r="M236" s="113"/>
      <c r="N236" s="107"/>
      <c r="O236" s="107"/>
      <c r="P236" s="107"/>
      <c r="Q236" s="110"/>
      <c r="R236" s="113"/>
      <c r="S236" s="107"/>
      <c r="T236" s="107"/>
      <c r="U236" s="107"/>
      <c r="V236" s="110"/>
      <c r="W236" s="113"/>
      <c r="X236" s="107"/>
      <c r="Y236" s="107"/>
      <c r="Z236" s="107"/>
      <c r="AA236" s="110"/>
      <c r="AB236" s="135"/>
    </row>
    <row r="237" spans="1:32" ht="15.75" customHeight="1" x14ac:dyDescent="0.25">
      <c r="A237" s="136">
        <f>ESCUADRAS!B53</f>
        <v>47</v>
      </c>
      <c r="B237" s="136">
        <f>ESCUADRAS!C53</f>
        <v>0</v>
      </c>
      <c r="C237" s="93"/>
      <c r="D237" s="123"/>
      <c r="E237" s="123"/>
      <c r="F237" s="123"/>
      <c r="G237" s="126"/>
      <c r="H237" s="102"/>
      <c r="I237" s="96"/>
      <c r="J237" s="96"/>
      <c r="K237" s="96"/>
      <c r="L237" s="99"/>
      <c r="M237" s="102"/>
      <c r="N237" s="96"/>
      <c r="O237" s="96"/>
      <c r="P237" s="96"/>
      <c r="Q237" s="99"/>
      <c r="R237" s="102"/>
      <c r="S237" s="96"/>
      <c r="T237" s="96"/>
      <c r="U237" s="96"/>
      <c r="V237" s="99"/>
      <c r="W237" s="111"/>
      <c r="X237" s="105"/>
      <c r="Y237" s="105"/>
      <c r="Z237" s="105"/>
      <c r="AA237" s="108"/>
      <c r="AB237" s="133"/>
    </row>
    <row r="238" spans="1:32" ht="15.75" customHeight="1" x14ac:dyDescent="0.25">
      <c r="A238" s="137"/>
      <c r="B238" s="137"/>
      <c r="C238" s="94"/>
      <c r="D238" s="124"/>
      <c r="E238" s="124"/>
      <c r="F238" s="124"/>
      <c r="G238" s="127"/>
      <c r="H238" s="103"/>
      <c r="I238" s="97"/>
      <c r="J238" s="97"/>
      <c r="K238" s="97"/>
      <c r="L238" s="100"/>
      <c r="M238" s="103"/>
      <c r="N238" s="97"/>
      <c r="O238" s="97"/>
      <c r="P238" s="97"/>
      <c r="Q238" s="100"/>
      <c r="R238" s="103"/>
      <c r="S238" s="97"/>
      <c r="T238" s="97"/>
      <c r="U238" s="97"/>
      <c r="V238" s="100"/>
      <c r="W238" s="112"/>
      <c r="X238" s="106"/>
      <c r="Y238" s="106"/>
      <c r="Z238" s="106"/>
      <c r="AA238" s="109"/>
      <c r="AB238" s="134"/>
    </row>
    <row r="239" spans="1:32" ht="15.75" customHeight="1" thickBot="1" x14ac:dyDescent="0.3">
      <c r="A239" s="138"/>
      <c r="B239" s="138"/>
      <c r="C239" s="95"/>
      <c r="D239" s="125"/>
      <c r="E239" s="125"/>
      <c r="F239" s="125"/>
      <c r="G239" s="128"/>
      <c r="H239" s="104"/>
      <c r="I239" s="98"/>
      <c r="J239" s="98"/>
      <c r="K239" s="98"/>
      <c r="L239" s="101"/>
      <c r="M239" s="104"/>
      <c r="N239" s="98"/>
      <c r="O239" s="98"/>
      <c r="P239" s="98"/>
      <c r="Q239" s="101"/>
      <c r="R239" s="104"/>
      <c r="S239" s="98"/>
      <c r="T239" s="98"/>
      <c r="U239" s="98"/>
      <c r="V239" s="101"/>
      <c r="W239" s="113"/>
      <c r="X239" s="107"/>
      <c r="Y239" s="107"/>
      <c r="Z239" s="107"/>
      <c r="AA239" s="110"/>
      <c r="AB239" s="135"/>
    </row>
    <row r="240" spans="1:32" ht="15.75" customHeight="1" x14ac:dyDescent="0.25">
      <c r="A240" s="136">
        <f>ESCUADRAS!B54</f>
        <v>48</v>
      </c>
      <c r="B240" s="136">
        <f>ESCUADRAS!C54</f>
        <v>0</v>
      </c>
      <c r="C240" s="93"/>
      <c r="D240" s="123"/>
      <c r="E240" s="123"/>
      <c r="F240" s="123"/>
      <c r="G240" s="126"/>
      <c r="H240" s="102"/>
      <c r="I240" s="96"/>
      <c r="J240" s="96"/>
      <c r="K240" s="96"/>
      <c r="L240" s="99"/>
      <c r="M240" s="102"/>
      <c r="N240" s="96"/>
      <c r="O240" s="96"/>
      <c r="P240" s="96"/>
      <c r="Q240" s="99"/>
      <c r="R240" s="111"/>
      <c r="S240" s="105"/>
      <c r="T240" s="105"/>
      <c r="U240" s="105"/>
      <c r="V240" s="108"/>
      <c r="W240" s="102"/>
      <c r="X240" s="96"/>
      <c r="Y240" s="96"/>
      <c r="Z240" s="96"/>
      <c r="AA240" s="99"/>
      <c r="AB240" s="133"/>
    </row>
    <row r="241" spans="1:28" ht="15.75" customHeight="1" x14ac:dyDescent="0.25">
      <c r="A241" s="137"/>
      <c r="B241" s="137"/>
      <c r="C241" s="94"/>
      <c r="D241" s="124"/>
      <c r="E241" s="124"/>
      <c r="F241" s="124"/>
      <c r="G241" s="127"/>
      <c r="H241" s="103"/>
      <c r="I241" s="97"/>
      <c r="J241" s="97"/>
      <c r="K241" s="97"/>
      <c r="L241" s="100"/>
      <c r="M241" s="103"/>
      <c r="N241" s="97"/>
      <c r="O241" s="97"/>
      <c r="P241" s="97"/>
      <c r="Q241" s="100"/>
      <c r="R241" s="112"/>
      <c r="S241" s="106"/>
      <c r="T241" s="106"/>
      <c r="U241" s="106"/>
      <c r="V241" s="109"/>
      <c r="W241" s="103"/>
      <c r="X241" s="97"/>
      <c r="Y241" s="97"/>
      <c r="Z241" s="97"/>
      <c r="AA241" s="100"/>
      <c r="AB241" s="134"/>
    </row>
    <row r="242" spans="1:28" ht="15.75" customHeight="1" thickBot="1" x14ac:dyDescent="0.3">
      <c r="A242" s="138"/>
      <c r="B242" s="138"/>
      <c r="C242" s="95"/>
      <c r="D242" s="125"/>
      <c r="E242" s="125"/>
      <c r="F242" s="125"/>
      <c r="G242" s="128"/>
      <c r="H242" s="104"/>
      <c r="I242" s="98"/>
      <c r="J242" s="98"/>
      <c r="K242" s="98"/>
      <c r="L242" s="101"/>
      <c r="M242" s="104"/>
      <c r="N242" s="98"/>
      <c r="O242" s="98"/>
      <c r="P242" s="98"/>
      <c r="Q242" s="101"/>
      <c r="R242" s="113"/>
      <c r="S242" s="107"/>
      <c r="T242" s="107"/>
      <c r="U242" s="107"/>
      <c r="V242" s="110"/>
      <c r="W242" s="104"/>
      <c r="X242" s="98"/>
      <c r="Y242" s="98"/>
      <c r="Z242" s="98"/>
      <c r="AA242" s="101"/>
      <c r="AB242" s="135"/>
    </row>
    <row r="243" spans="1:28" ht="15.75" customHeight="1" x14ac:dyDescent="0.25">
      <c r="A243" s="136">
        <f>ESCUADRAS!B49</f>
        <v>43</v>
      </c>
      <c r="B243" s="136">
        <f>ESCUADRAS!C49</f>
        <v>0</v>
      </c>
      <c r="C243" s="93"/>
      <c r="D243" s="123"/>
      <c r="E243" s="123"/>
      <c r="F243" s="123"/>
      <c r="G243" s="126"/>
      <c r="H243" s="102"/>
      <c r="I243" s="96"/>
      <c r="J243" s="96"/>
      <c r="K243" s="96"/>
      <c r="L243" s="99"/>
      <c r="M243" s="111"/>
      <c r="N243" s="105"/>
      <c r="O243" s="105"/>
      <c r="P243" s="105"/>
      <c r="Q243" s="108"/>
      <c r="R243" s="102"/>
      <c r="S243" s="96"/>
      <c r="T243" s="96"/>
      <c r="U243" s="96"/>
      <c r="V243" s="99"/>
      <c r="W243" s="102"/>
      <c r="X243" s="96"/>
      <c r="Y243" s="96"/>
      <c r="Z243" s="96"/>
      <c r="AA243" s="99"/>
      <c r="AB243" s="133"/>
    </row>
    <row r="244" spans="1:28" ht="15.75" customHeight="1" x14ac:dyDescent="0.25">
      <c r="A244" s="137"/>
      <c r="B244" s="137"/>
      <c r="C244" s="94"/>
      <c r="D244" s="124"/>
      <c r="E244" s="124"/>
      <c r="F244" s="124"/>
      <c r="G244" s="127"/>
      <c r="H244" s="103"/>
      <c r="I244" s="97"/>
      <c r="J244" s="97"/>
      <c r="K244" s="97"/>
      <c r="L244" s="100"/>
      <c r="M244" s="112"/>
      <c r="N244" s="106"/>
      <c r="O244" s="106"/>
      <c r="P244" s="106"/>
      <c r="Q244" s="109"/>
      <c r="R244" s="103"/>
      <c r="S244" s="97"/>
      <c r="T244" s="97"/>
      <c r="U244" s="97"/>
      <c r="V244" s="100"/>
      <c r="W244" s="103"/>
      <c r="X244" s="97"/>
      <c r="Y244" s="97"/>
      <c r="Z244" s="97"/>
      <c r="AA244" s="100"/>
      <c r="AB244" s="134"/>
    </row>
    <row r="245" spans="1:28" ht="15.75" customHeight="1" thickBot="1" x14ac:dyDescent="0.3">
      <c r="A245" s="138"/>
      <c r="B245" s="138"/>
      <c r="C245" s="95"/>
      <c r="D245" s="125"/>
      <c r="E245" s="125"/>
      <c r="F245" s="125"/>
      <c r="G245" s="128"/>
      <c r="H245" s="104"/>
      <c r="I245" s="98"/>
      <c r="J245" s="98"/>
      <c r="K245" s="98"/>
      <c r="L245" s="101"/>
      <c r="M245" s="113"/>
      <c r="N245" s="107"/>
      <c r="O245" s="107"/>
      <c r="P245" s="107"/>
      <c r="Q245" s="110"/>
      <c r="R245" s="104"/>
      <c r="S245" s="98"/>
      <c r="T245" s="98"/>
      <c r="U245" s="98"/>
      <c r="V245" s="101"/>
      <c r="W245" s="104"/>
      <c r="X245" s="98"/>
      <c r="Y245" s="98"/>
      <c r="Z245" s="98"/>
      <c r="AA245" s="101"/>
      <c r="AB245" s="135"/>
    </row>
    <row r="246" spans="1:28" ht="15.75" customHeight="1" x14ac:dyDescent="0.25">
      <c r="A246" s="136">
        <f>ESCUADRAS!B50</f>
        <v>44</v>
      </c>
      <c r="B246" s="136">
        <f>ESCUADRAS!C50</f>
        <v>0</v>
      </c>
      <c r="C246" s="93"/>
      <c r="D246" s="123"/>
      <c r="E246" s="123"/>
      <c r="F246" s="123"/>
      <c r="G246" s="126"/>
      <c r="H246" s="111"/>
      <c r="I246" s="105"/>
      <c r="J246" s="105"/>
      <c r="K246" s="105"/>
      <c r="L246" s="108"/>
      <c r="M246" s="102"/>
      <c r="N246" s="96"/>
      <c r="O246" s="96"/>
      <c r="P246" s="96"/>
      <c r="Q246" s="99"/>
      <c r="R246" s="102"/>
      <c r="S246" s="96"/>
      <c r="T246" s="96"/>
      <c r="U246" s="96"/>
      <c r="V246" s="99"/>
      <c r="W246" s="102"/>
      <c r="X246" s="96"/>
      <c r="Y246" s="96"/>
      <c r="Z246" s="96"/>
      <c r="AA246" s="99"/>
      <c r="AB246" s="133"/>
    </row>
    <row r="247" spans="1:28" ht="15.75" customHeight="1" x14ac:dyDescent="0.25">
      <c r="A247" s="137"/>
      <c r="B247" s="137"/>
      <c r="C247" s="94"/>
      <c r="D247" s="124"/>
      <c r="E247" s="124"/>
      <c r="F247" s="124"/>
      <c r="G247" s="127"/>
      <c r="H247" s="112"/>
      <c r="I247" s="106"/>
      <c r="J247" s="106"/>
      <c r="K247" s="106"/>
      <c r="L247" s="109"/>
      <c r="M247" s="103"/>
      <c r="N247" s="97"/>
      <c r="O247" s="97"/>
      <c r="P247" s="97"/>
      <c r="Q247" s="100"/>
      <c r="R247" s="103"/>
      <c r="S247" s="97"/>
      <c r="T247" s="97"/>
      <c r="U247" s="97"/>
      <c r="V247" s="100"/>
      <c r="W247" s="103"/>
      <c r="X247" s="97"/>
      <c r="Y247" s="97"/>
      <c r="Z247" s="97"/>
      <c r="AA247" s="100"/>
      <c r="AB247" s="134"/>
    </row>
    <row r="248" spans="1:28" ht="15.75" customHeight="1" thickBot="1" x14ac:dyDescent="0.3">
      <c r="A248" s="138"/>
      <c r="B248" s="138"/>
      <c r="C248" s="95"/>
      <c r="D248" s="125"/>
      <c r="E248" s="125"/>
      <c r="F248" s="125"/>
      <c r="G248" s="128"/>
      <c r="H248" s="113"/>
      <c r="I248" s="107"/>
      <c r="J248" s="107"/>
      <c r="K248" s="107"/>
      <c r="L248" s="110"/>
      <c r="M248" s="104"/>
      <c r="N248" s="98"/>
      <c r="O248" s="98"/>
      <c r="P248" s="98"/>
      <c r="Q248" s="101"/>
      <c r="R248" s="104"/>
      <c r="S248" s="98"/>
      <c r="T248" s="98"/>
      <c r="U248" s="98"/>
      <c r="V248" s="101"/>
      <c r="W248" s="104"/>
      <c r="X248" s="98"/>
      <c r="Y248" s="98"/>
      <c r="Z248" s="98"/>
      <c r="AA248" s="101"/>
      <c r="AB248" s="135"/>
    </row>
    <row r="249" spans="1:28" ht="15.75" customHeight="1" x14ac:dyDescent="0.25">
      <c r="A249" s="136">
        <f>ESCUADRAS!B51</f>
        <v>45</v>
      </c>
      <c r="B249" s="136">
        <f>ESCUADRAS!C51</f>
        <v>0</v>
      </c>
      <c r="C249" s="111"/>
      <c r="D249" s="105"/>
      <c r="E249" s="105"/>
      <c r="F249" s="105"/>
      <c r="G249" s="108"/>
      <c r="H249" s="122"/>
      <c r="I249" s="120"/>
      <c r="J249" s="120"/>
      <c r="K249" s="120"/>
      <c r="L249" s="121"/>
      <c r="M249" s="122"/>
      <c r="N249" s="120"/>
      <c r="O249" s="120"/>
      <c r="P249" s="120"/>
      <c r="Q249" s="121"/>
      <c r="R249" s="122"/>
      <c r="S249" s="120"/>
      <c r="T249" s="120"/>
      <c r="U249" s="120"/>
      <c r="V249" s="121"/>
      <c r="W249" s="122"/>
      <c r="X249" s="120"/>
      <c r="Y249" s="120"/>
      <c r="Z249" s="120"/>
      <c r="AA249" s="121"/>
      <c r="AB249" s="133"/>
    </row>
    <row r="250" spans="1:28" ht="15.75" customHeight="1" x14ac:dyDescent="0.25">
      <c r="A250" s="137"/>
      <c r="B250" s="137"/>
      <c r="C250" s="112"/>
      <c r="D250" s="106"/>
      <c r="E250" s="106"/>
      <c r="F250" s="106"/>
      <c r="G250" s="109"/>
      <c r="H250" s="103"/>
      <c r="I250" s="97"/>
      <c r="J250" s="97"/>
      <c r="K250" s="97"/>
      <c r="L250" s="100"/>
      <c r="M250" s="103"/>
      <c r="N250" s="97"/>
      <c r="O250" s="97"/>
      <c r="P250" s="97"/>
      <c r="Q250" s="100"/>
      <c r="R250" s="103"/>
      <c r="S250" s="97"/>
      <c r="T250" s="97"/>
      <c r="U250" s="97"/>
      <c r="V250" s="100"/>
      <c r="W250" s="103"/>
      <c r="X250" s="97"/>
      <c r="Y250" s="97"/>
      <c r="Z250" s="97"/>
      <c r="AA250" s="100"/>
      <c r="AB250" s="134"/>
    </row>
    <row r="251" spans="1:28" ht="15.75" customHeight="1" thickBot="1" x14ac:dyDescent="0.3">
      <c r="A251" s="138"/>
      <c r="B251" s="138"/>
      <c r="C251" s="113"/>
      <c r="D251" s="107"/>
      <c r="E251" s="107"/>
      <c r="F251" s="107"/>
      <c r="G251" s="110"/>
      <c r="H251" s="104"/>
      <c r="I251" s="98"/>
      <c r="J251" s="98"/>
      <c r="K251" s="98"/>
      <c r="L251" s="101"/>
      <c r="M251" s="104"/>
      <c r="N251" s="98"/>
      <c r="O251" s="98"/>
      <c r="P251" s="98"/>
      <c r="Q251" s="101"/>
      <c r="R251" s="104"/>
      <c r="S251" s="98"/>
      <c r="T251" s="98"/>
      <c r="U251" s="98"/>
      <c r="V251" s="101"/>
      <c r="W251" s="104"/>
      <c r="X251" s="98"/>
      <c r="Y251" s="98"/>
      <c r="Z251" s="98"/>
      <c r="AA251" s="101"/>
      <c r="AB251" s="135"/>
    </row>
    <row r="252" spans="1:28" ht="15" x14ac:dyDescent="0.25">
      <c r="A252" s="28"/>
    </row>
    <row r="253" spans="1:28" ht="15" x14ac:dyDescent="0.25">
      <c r="A253" s="28"/>
      <c r="B253" s="26" t="s">
        <v>35</v>
      </c>
      <c r="E253" s="21" t="s">
        <v>41</v>
      </c>
      <c r="I253" s="21" t="s">
        <v>42</v>
      </c>
      <c r="M253" s="21" t="s">
        <v>43</v>
      </c>
      <c r="Q253" s="21" t="s">
        <v>44</v>
      </c>
      <c r="U253" s="21" t="s">
        <v>45</v>
      </c>
      <c r="Y253" s="21" t="s">
        <v>46</v>
      </c>
    </row>
    <row r="254" spans="1:28" ht="15" x14ac:dyDescent="0.25">
      <c r="A254" s="28"/>
    </row>
    <row r="258" spans="1:32" ht="24.6" x14ac:dyDescent="0.25">
      <c r="A258" s="144" t="str">
        <f>'INSCRIPCION '!A$1</f>
        <v>TIRADA</v>
      </c>
      <c r="B258" s="144"/>
      <c r="C258" s="144"/>
      <c r="D258" s="144"/>
      <c r="E258" s="144"/>
      <c r="F258" s="144"/>
      <c r="G258" s="144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  <c r="AF258" s="144"/>
    </row>
    <row r="259" spans="1:32" ht="19.5" customHeight="1" x14ac:dyDescent="0.4">
      <c r="A259" s="23"/>
      <c r="B259" s="23"/>
    </row>
    <row r="260" spans="1:32" ht="22.5" customHeight="1" x14ac:dyDescent="0.25">
      <c r="A260" s="132" t="str">
        <f>'INSCRIPCION '!A$2</f>
        <v>CAMPO DE TIRO LA ISLA</v>
      </c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L260" s="132"/>
      <c r="M260" s="132"/>
      <c r="N260" s="132"/>
      <c r="O260" s="132"/>
      <c r="P260" s="132"/>
      <c r="Q260" s="132"/>
      <c r="R260" s="132"/>
      <c r="S260" s="132"/>
      <c r="T260" s="132"/>
      <c r="U260" s="132"/>
      <c r="V260" s="132"/>
      <c r="W260" s="132"/>
      <c r="X260" s="132"/>
      <c r="Y260" s="132"/>
      <c r="Z260" s="132"/>
      <c r="AA260" s="132"/>
      <c r="AB260" s="132"/>
      <c r="AC260" s="132"/>
      <c r="AD260" s="132"/>
      <c r="AE260" s="132"/>
      <c r="AF260" s="132"/>
    </row>
    <row r="261" spans="1:32" ht="19.5" customHeight="1" x14ac:dyDescent="0.25">
      <c r="A261" s="143" t="str">
        <f>'INSCRIPCION '!A$3</f>
        <v>XXX PLATOS</v>
      </c>
      <c r="B261" s="143"/>
      <c r="C261" s="143"/>
      <c r="D261" s="143"/>
      <c r="E261" s="143"/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</row>
    <row r="262" spans="1:32" ht="22.8" x14ac:dyDescent="0.4">
      <c r="A262" s="24"/>
      <c r="B262" s="24"/>
    </row>
    <row r="263" spans="1:32" ht="17.399999999999999" x14ac:dyDescent="0.3">
      <c r="A263" s="25" t="s">
        <v>17</v>
      </c>
      <c r="B263" s="25"/>
      <c r="J263" s="9" t="s">
        <v>6</v>
      </c>
      <c r="K263" s="9"/>
      <c r="L263" s="9"/>
      <c r="M263" s="9"/>
      <c r="N263" s="9"/>
      <c r="O263" s="22">
        <v>4</v>
      </c>
      <c r="P263" s="22"/>
      <c r="Q263" s="8"/>
      <c r="R263" s="8"/>
      <c r="S263" s="7"/>
      <c r="T263" s="8"/>
      <c r="U263" s="8"/>
      <c r="V263" s="9" t="s">
        <v>7</v>
      </c>
      <c r="W263" s="9"/>
      <c r="X263" s="9"/>
      <c r="Y263" s="9"/>
      <c r="Z263" s="22">
        <v>4</v>
      </c>
      <c r="AA263" s="22"/>
    </row>
    <row r="264" spans="1:32" ht="13.8" thickBot="1" x14ac:dyDescent="0.3"/>
    <row r="265" spans="1:32" ht="15.6" thickBot="1" x14ac:dyDescent="0.3">
      <c r="A265" s="27" t="s">
        <v>0</v>
      </c>
      <c r="B265" s="27" t="s">
        <v>8</v>
      </c>
      <c r="C265" s="47">
        <v>1</v>
      </c>
      <c r="D265" s="48">
        <v>2</v>
      </c>
      <c r="E265" s="48">
        <v>3</v>
      </c>
      <c r="F265" s="48">
        <v>4</v>
      </c>
      <c r="G265" s="49">
        <v>5</v>
      </c>
      <c r="H265" s="47">
        <v>6</v>
      </c>
      <c r="I265" s="48">
        <v>7</v>
      </c>
      <c r="J265" s="48">
        <v>8</v>
      </c>
      <c r="K265" s="48">
        <v>9</v>
      </c>
      <c r="L265" s="49">
        <v>10</v>
      </c>
      <c r="M265" s="47">
        <v>11</v>
      </c>
      <c r="N265" s="48">
        <v>12</v>
      </c>
      <c r="O265" s="48">
        <v>13</v>
      </c>
      <c r="P265" s="48">
        <v>14</v>
      </c>
      <c r="Q265" s="49">
        <v>15</v>
      </c>
      <c r="R265" s="47">
        <v>16</v>
      </c>
      <c r="S265" s="48">
        <v>17</v>
      </c>
      <c r="T265" s="48">
        <v>18</v>
      </c>
      <c r="U265" s="48">
        <v>19</v>
      </c>
      <c r="V265" s="49">
        <v>20</v>
      </c>
      <c r="W265" s="47">
        <v>21</v>
      </c>
      <c r="X265" s="48">
        <v>22</v>
      </c>
      <c r="Y265" s="48">
        <v>23</v>
      </c>
      <c r="Z265" s="48">
        <v>24</v>
      </c>
      <c r="AA265" s="49">
        <v>25</v>
      </c>
      <c r="AB265" s="30" t="s">
        <v>1</v>
      </c>
    </row>
    <row r="266" spans="1:32" ht="15.75" customHeight="1" x14ac:dyDescent="0.25">
      <c r="A266" s="136">
        <f>ESCUADRAS!B58</f>
        <v>52</v>
      </c>
      <c r="B266" s="136">
        <f>ESCUADRAS!C58</f>
        <v>0</v>
      </c>
      <c r="C266" s="129"/>
      <c r="D266" s="114"/>
      <c r="E266" s="114"/>
      <c r="F266" s="114"/>
      <c r="G266" s="117"/>
      <c r="H266" s="111"/>
      <c r="I266" s="105"/>
      <c r="J266" s="105"/>
      <c r="K266" s="105"/>
      <c r="L266" s="108"/>
      <c r="M266" s="111"/>
      <c r="N266" s="105"/>
      <c r="O266" s="105"/>
      <c r="P266" s="105"/>
      <c r="Q266" s="108"/>
      <c r="R266" s="111"/>
      <c r="S266" s="105"/>
      <c r="T266" s="105"/>
      <c r="U266" s="105"/>
      <c r="V266" s="108"/>
      <c r="W266" s="111"/>
      <c r="X266" s="105"/>
      <c r="Y266" s="105"/>
      <c r="Z266" s="105"/>
      <c r="AA266" s="108"/>
      <c r="AB266" s="133"/>
    </row>
    <row r="267" spans="1:32" ht="15.75" customHeight="1" x14ac:dyDescent="0.25">
      <c r="A267" s="137"/>
      <c r="B267" s="137"/>
      <c r="C267" s="130"/>
      <c r="D267" s="115"/>
      <c r="E267" s="115"/>
      <c r="F267" s="115"/>
      <c r="G267" s="118"/>
      <c r="H267" s="112"/>
      <c r="I267" s="106"/>
      <c r="J267" s="106"/>
      <c r="K267" s="106"/>
      <c r="L267" s="109"/>
      <c r="M267" s="112"/>
      <c r="N267" s="106"/>
      <c r="O267" s="106"/>
      <c r="P267" s="106"/>
      <c r="Q267" s="109"/>
      <c r="R267" s="112"/>
      <c r="S267" s="106"/>
      <c r="T267" s="106"/>
      <c r="U267" s="106"/>
      <c r="V267" s="109"/>
      <c r="W267" s="112"/>
      <c r="X267" s="106"/>
      <c r="Y267" s="106"/>
      <c r="Z267" s="106"/>
      <c r="AA267" s="109"/>
      <c r="AB267" s="134"/>
    </row>
    <row r="268" spans="1:32" ht="15.75" customHeight="1" thickBot="1" x14ac:dyDescent="0.3">
      <c r="A268" s="138"/>
      <c r="B268" s="138"/>
      <c r="C268" s="131"/>
      <c r="D268" s="116"/>
      <c r="E268" s="116"/>
      <c r="F268" s="116"/>
      <c r="G268" s="119"/>
      <c r="H268" s="113"/>
      <c r="I268" s="107"/>
      <c r="J268" s="107"/>
      <c r="K268" s="107"/>
      <c r="L268" s="110"/>
      <c r="M268" s="113"/>
      <c r="N268" s="107"/>
      <c r="O268" s="107"/>
      <c r="P268" s="107"/>
      <c r="Q268" s="110"/>
      <c r="R268" s="113"/>
      <c r="S268" s="107"/>
      <c r="T268" s="107"/>
      <c r="U268" s="107"/>
      <c r="V268" s="110"/>
      <c r="W268" s="113"/>
      <c r="X268" s="107"/>
      <c r="Y268" s="107"/>
      <c r="Z268" s="107"/>
      <c r="AA268" s="110"/>
      <c r="AB268" s="135"/>
    </row>
    <row r="269" spans="1:32" ht="15.75" customHeight="1" x14ac:dyDescent="0.25">
      <c r="A269" s="136">
        <f>ESCUADRAS!B59</f>
        <v>53</v>
      </c>
      <c r="B269" s="136">
        <f>ESCUADRAS!C59</f>
        <v>0</v>
      </c>
      <c r="C269" s="93"/>
      <c r="D269" s="123"/>
      <c r="E269" s="123"/>
      <c r="F269" s="123"/>
      <c r="G269" s="126"/>
      <c r="H269" s="102"/>
      <c r="I269" s="96"/>
      <c r="J269" s="96"/>
      <c r="K269" s="96"/>
      <c r="L269" s="99"/>
      <c r="M269" s="102"/>
      <c r="N269" s="96"/>
      <c r="O269" s="96"/>
      <c r="P269" s="96"/>
      <c r="Q269" s="99"/>
      <c r="R269" s="102"/>
      <c r="S269" s="96"/>
      <c r="T269" s="96"/>
      <c r="U269" s="96"/>
      <c r="V269" s="99"/>
      <c r="W269" s="111"/>
      <c r="X269" s="105"/>
      <c r="Y269" s="105"/>
      <c r="Z269" s="105"/>
      <c r="AA269" s="108"/>
      <c r="AB269" s="133"/>
    </row>
    <row r="270" spans="1:32" ht="15.75" customHeight="1" x14ac:dyDescent="0.25">
      <c r="A270" s="137"/>
      <c r="B270" s="137"/>
      <c r="C270" s="94"/>
      <c r="D270" s="124"/>
      <c r="E270" s="124"/>
      <c r="F270" s="124"/>
      <c r="G270" s="127"/>
      <c r="H270" s="103"/>
      <c r="I270" s="97"/>
      <c r="J270" s="97"/>
      <c r="K270" s="97"/>
      <c r="L270" s="100"/>
      <c r="M270" s="103"/>
      <c r="N270" s="97"/>
      <c r="O270" s="97"/>
      <c r="P270" s="97"/>
      <c r="Q270" s="100"/>
      <c r="R270" s="103"/>
      <c r="S270" s="97"/>
      <c r="T270" s="97"/>
      <c r="U270" s="97"/>
      <c r="V270" s="100"/>
      <c r="W270" s="112"/>
      <c r="X270" s="106"/>
      <c r="Y270" s="106"/>
      <c r="Z270" s="106"/>
      <c r="AA270" s="109"/>
      <c r="AB270" s="134"/>
    </row>
    <row r="271" spans="1:32" ht="15.75" customHeight="1" thickBot="1" x14ac:dyDescent="0.3">
      <c r="A271" s="138"/>
      <c r="B271" s="138"/>
      <c r="C271" s="95"/>
      <c r="D271" s="125"/>
      <c r="E271" s="125"/>
      <c r="F271" s="125"/>
      <c r="G271" s="128"/>
      <c r="H271" s="104"/>
      <c r="I271" s="98"/>
      <c r="J271" s="98"/>
      <c r="K271" s="98"/>
      <c r="L271" s="101"/>
      <c r="M271" s="104"/>
      <c r="N271" s="98"/>
      <c r="O271" s="98"/>
      <c r="P271" s="98"/>
      <c r="Q271" s="101"/>
      <c r="R271" s="104"/>
      <c r="S271" s="98"/>
      <c r="T271" s="98"/>
      <c r="U271" s="98"/>
      <c r="V271" s="101"/>
      <c r="W271" s="113"/>
      <c r="X271" s="107"/>
      <c r="Y271" s="107"/>
      <c r="Z271" s="107"/>
      <c r="AA271" s="110"/>
      <c r="AB271" s="135"/>
    </row>
    <row r="272" spans="1:32" ht="15.75" customHeight="1" x14ac:dyDescent="0.25">
      <c r="A272" s="136">
        <f>ESCUADRAS!B60</f>
        <v>54</v>
      </c>
      <c r="B272" s="136">
        <f>ESCUADRAS!C60</f>
        <v>0</v>
      </c>
      <c r="C272" s="93"/>
      <c r="D272" s="123"/>
      <c r="E272" s="123"/>
      <c r="F272" s="123"/>
      <c r="G272" s="126"/>
      <c r="H272" s="102"/>
      <c r="I272" s="96"/>
      <c r="J272" s="96"/>
      <c r="K272" s="96"/>
      <c r="L272" s="99"/>
      <c r="M272" s="102"/>
      <c r="N272" s="96"/>
      <c r="O272" s="96"/>
      <c r="P272" s="96"/>
      <c r="Q272" s="99"/>
      <c r="R272" s="111"/>
      <c r="S272" s="105"/>
      <c r="T272" s="105"/>
      <c r="U272" s="105"/>
      <c r="V272" s="108"/>
      <c r="W272" s="102"/>
      <c r="X272" s="96"/>
      <c r="Y272" s="96"/>
      <c r="Z272" s="96"/>
      <c r="AA272" s="99"/>
      <c r="AB272" s="133"/>
    </row>
    <row r="273" spans="1:28" ht="15.75" customHeight="1" x14ac:dyDescent="0.25">
      <c r="A273" s="137"/>
      <c r="B273" s="137"/>
      <c r="C273" s="94"/>
      <c r="D273" s="124"/>
      <c r="E273" s="124"/>
      <c r="F273" s="124"/>
      <c r="G273" s="127"/>
      <c r="H273" s="103"/>
      <c r="I273" s="97"/>
      <c r="J273" s="97"/>
      <c r="K273" s="97"/>
      <c r="L273" s="100"/>
      <c r="M273" s="103"/>
      <c r="N273" s="97"/>
      <c r="O273" s="97"/>
      <c r="P273" s="97"/>
      <c r="Q273" s="100"/>
      <c r="R273" s="112"/>
      <c r="S273" s="106"/>
      <c r="T273" s="106"/>
      <c r="U273" s="106"/>
      <c r="V273" s="109"/>
      <c r="W273" s="103"/>
      <c r="X273" s="97"/>
      <c r="Y273" s="97"/>
      <c r="Z273" s="97"/>
      <c r="AA273" s="100"/>
      <c r="AB273" s="134"/>
    </row>
    <row r="274" spans="1:28" ht="15.75" customHeight="1" thickBot="1" x14ac:dyDescent="0.3">
      <c r="A274" s="138"/>
      <c r="B274" s="138"/>
      <c r="C274" s="95"/>
      <c r="D274" s="125"/>
      <c r="E274" s="125"/>
      <c r="F274" s="125"/>
      <c r="G274" s="128"/>
      <c r="H274" s="104"/>
      <c r="I274" s="98"/>
      <c r="J274" s="98"/>
      <c r="K274" s="98"/>
      <c r="L274" s="101"/>
      <c r="M274" s="104"/>
      <c r="N274" s="98"/>
      <c r="O274" s="98"/>
      <c r="P274" s="98"/>
      <c r="Q274" s="101"/>
      <c r="R274" s="113"/>
      <c r="S274" s="107"/>
      <c r="T274" s="107"/>
      <c r="U274" s="107"/>
      <c r="V274" s="110"/>
      <c r="W274" s="104"/>
      <c r="X274" s="98"/>
      <c r="Y274" s="98"/>
      <c r="Z274" s="98"/>
      <c r="AA274" s="101"/>
      <c r="AB274" s="135"/>
    </row>
    <row r="275" spans="1:28" ht="15.75" customHeight="1" x14ac:dyDescent="0.25">
      <c r="A275" s="136">
        <f>ESCUADRAS!B55</f>
        <v>49</v>
      </c>
      <c r="B275" s="136">
        <f>ESCUADRAS!C55</f>
        <v>0</v>
      </c>
      <c r="C275" s="93"/>
      <c r="D275" s="123"/>
      <c r="E275" s="123"/>
      <c r="F275" s="123"/>
      <c r="G275" s="126"/>
      <c r="H275" s="102"/>
      <c r="I275" s="96"/>
      <c r="J275" s="96"/>
      <c r="K275" s="96"/>
      <c r="L275" s="99"/>
      <c r="M275" s="111"/>
      <c r="N275" s="105"/>
      <c r="O275" s="105"/>
      <c r="P275" s="105"/>
      <c r="Q275" s="108"/>
      <c r="R275" s="102"/>
      <c r="S275" s="96"/>
      <c r="T275" s="96"/>
      <c r="U275" s="96"/>
      <c r="V275" s="99"/>
      <c r="W275" s="102"/>
      <c r="X275" s="96"/>
      <c r="Y275" s="96"/>
      <c r="Z275" s="96"/>
      <c r="AA275" s="99"/>
      <c r="AB275" s="133"/>
    </row>
    <row r="276" spans="1:28" ht="15.75" customHeight="1" x14ac:dyDescent="0.25">
      <c r="A276" s="137"/>
      <c r="B276" s="137"/>
      <c r="C276" s="94"/>
      <c r="D276" s="124"/>
      <c r="E276" s="124"/>
      <c r="F276" s="124"/>
      <c r="G276" s="127"/>
      <c r="H276" s="103"/>
      <c r="I276" s="97"/>
      <c r="J276" s="97"/>
      <c r="K276" s="97"/>
      <c r="L276" s="100"/>
      <c r="M276" s="112"/>
      <c r="N276" s="106"/>
      <c r="O276" s="106"/>
      <c r="P276" s="106"/>
      <c r="Q276" s="109"/>
      <c r="R276" s="103"/>
      <c r="S276" s="97"/>
      <c r="T276" s="97"/>
      <c r="U276" s="97"/>
      <c r="V276" s="100"/>
      <c r="W276" s="103"/>
      <c r="X276" s="97"/>
      <c r="Y276" s="97"/>
      <c r="Z276" s="97"/>
      <c r="AA276" s="100"/>
      <c r="AB276" s="134"/>
    </row>
    <row r="277" spans="1:28" ht="15.75" customHeight="1" thickBot="1" x14ac:dyDescent="0.3">
      <c r="A277" s="138"/>
      <c r="B277" s="138"/>
      <c r="C277" s="95"/>
      <c r="D277" s="125"/>
      <c r="E277" s="125"/>
      <c r="F277" s="125"/>
      <c r="G277" s="128"/>
      <c r="H277" s="104"/>
      <c r="I277" s="98"/>
      <c r="J277" s="98"/>
      <c r="K277" s="98"/>
      <c r="L277" s="101"/>
      <c r="M277" s="113"/>
      <c r="N277" s="107"/>
      <c r="O277" s="107"/>
      <c r="P277" s="107"/>
      <c r="Q277" s="110"/>
      <c r="R277" s="104"/>
      <c r="S277" s="98"/>
      <c r="T277" s="98"/>
      <c r="U277" s="98"/>
      <c r="V277" s="101"/>
      <c r="W277" s="104"/>
      <c r="X277" s="98"/>
      <c r="Y277" s="98"/>
      <c r="Z277" s="98"/>
      <c r="AA277" s="101"/>
      <c r="AB277" s="135"/>
    </row>
    <row r="278" spans="1:28" ht="15.75" customHeight="1" x14ac:dyDescent="0.25">
      <c r="A278" s="136">
        <f>ESCUADRAS!B56</f>
        <v>50</v>
      </c>
      <c r="B278" s="136">
        <f>ESCUADRAS!C56</f>
        <v>0</v>
      </c>
      <c r="C278" s="93"/>
      <c r="D278" s="123"/>
      <c r="E278" s="123"/>
      <c r="F278" s="123"/>
      <c r="G278" s="126"/>
      <c r="H278" s="111"/>
      <c r="I278" s="105"/>
      <c r="J278" s="105"/>
      <c r="K278" s="105"/>
      <c r="L278" s="108"/>
      <c r="M278" s="102"/>
      <c r="N278" s="96"/>
      <c r="O278" s="96"/>
      <c r="P278" s="96"/>
      <c r="Q278" s="99"/>
      <c r="R278" s="102"/>
      <c r="S278" s="96"/>
      <c r="T278" s="96"/>
      <c r="U278" s="96"/>
      <c r="V278" s="99"/>
      <c r="W278" s="102"/>
      <c r="X278" s="96"/>
      <c r="Y278" s="96"/>
      <c r="Z278" s="96"/>
      <c r="AA278" s="99"/>
      <c r="AB278" s="133"/>
    </row>
    <row r="279" spans="1:28" ht="15.75" customHeight="1" x14ac:dyDescent="0.25">
      <c r="A279" s="137"/>
      <c r="B279" s="137"/>
      <c r="C279" s="94"/>
      <c r="D279" s="124"/>
      <c r="E279" s="124"/>
      <c r="F279" s="124"/>
      <c r="G279" s="127"/>
      <c r="H279" s="112"/>
      <c r="I279" s="106"/>
      <c r="J279" s="106"/>
      <c r="K279" s="106"/>
      <c r="L279" s="109"/>
      <c r="M279" s="103"/>
      <c r="N279" s="97"/>
      <c r="O279" s="97"/>
      <c r="P279" s="97"/>
      <c r="Q279" s="100"/>
      <c r="R279" s="103"/>
      <c r="S279" s="97"/>
      <c r="T279" s="97"/>
      <c r="U279" s="97"/>
      <c r="V279" s="100"/>
      <c r="W279" s="103"/>
      <c r="X279" s="97"/>
      <c r="Y279" s="97"/>
      <c r="Z279" s="97"/>
      <c r="AA279" s="100"/>
      <c r="AB279" s="134"/>
    </row>
    <row r="280" spans="1:28" ht="15.75" customHeight="1" thickBot="1" x14ac:dyDescent="0.3">
      <c r="A280" s="138"/>
      <c r="B280" s="138"/>
      <c r="C280" s="95"/>
      <c r="D280" s="125"/>
      <c r="E280" s="125"/>
      <c r="F280" s="125"/>
      <c r="G280" s="128"/>
      <c r="H280" s="113"/>
      <c r="I280" s="107"/>
      <c r="J280" s="107"/>
      <c r="K280" s="107"/>
      <c r="L280" s="110"/>
      <c r="M280" s="104"/>
      <c r="N280" s="98"/>
      <c r="O280" s="98"/>
      <c r="P280" s="98"/>
      <c r="Q280" s="101"/>
      <c r="R280" s="104"/>
      <c r="S280" s="98"/>
      <c r="T280" s="98"/>
      <c r="U280" s="98"/>
      <c r="V280" s="101"/>
      <c r="W280" s="104"/>
      <c r="X280" s="98"/>
      <c r="Y280" s="98"/>
      <c r="Z280" s="98"/>
      <c r="AA280" s="101"/>
      <c r="AB280" s="135"/>
    </row>
    <row r="281" spans="1:28" ht="15.75" customHeight="1" x14ac:dyDescent="0.25">
      <c r="A281" s="136">
        <f>ESCUADRAS!B57</f>
        <v>51</v>
      </c>
      <c r="B281" s="136">
        <f>ESCUADRAS!C57</f>
        <v>0</v>
      </c>
      <c r="C281" s="111"/>
      <c r="D281" s="105"/>
      <c r="E281" s="105"/>
      <c r="F281" s="105"/>
      <c r="G281" s="108"/>
      <c r="H281" s="122"/>
      <c r="I281" s="120"/>
      <c r="J281" s="120"/>
      <c r="K281" s="120"/>
      <c r="L281" s="121"/>
      <c r="M281" s="122"/>
      <c r="N281" s="120"/>
      <c r="O281" s="120"/>
      <c r="P281" s="120"/>
      <c r="Q281" s="121"/>
      <c r="R281" s="122"/>
      <c r="S281" s="120"/>
      <c r="T281" s="120"/>
      <c r="U281" s="120"/>
      <c r="V281" s="121"/>
      <c r="W281" s="122"/>
      <c r="X281" s="120"/>
      <c r="Y281" s="120"/>
      <c r="Z281" s="120"/>
      <c r="AA281" s="121"/>
      <c r="AB281" s="133"/>
    </row>
    <row r="282" spans="1:28" ht="15.75" customHeight="1" x14ac:dyDescent="0.25">
      <c r="A282" s="137"/>
      <c r="B282" s="137"/>
      <c r="C282" s="112"/>
      <c r="D282" s="106"/>
      <c r="E282" s="106"/>
      <c r="F282" s="106"/>
      <c r="G282" s="109"/>
      <c r="H282" s="103"/>
      <c r="I282" s="97"/>
      <c r="J282" s="97"/>
      <c r="K282" s="97"/>
      <c r="L282" s="100"/>
      <c r="M282" s="103"/>
      <c r="N282" s="97"/>
      <c r="O282" s="97"/>
      <c r="P282" s="97"/>
      <c r="Q282" s="100"/>
      <c r="R282" s="103"/>
      <c r="S282" s="97"/>
      <c r="T282" s="97"/>
      <c r="U282" s="97"/>
      <c r="V282" s="100"/>
      <c r="W282" s="103"/>
      <c r="X282" s="97"/>
      <c r="Y282" s="97"/>
      <c r="Z282" s="97"/>
      <c r="AA282" s="100"/>
      <c r="AB282" s="134"/>
    </row>
    <row r="283" spans="1:28" ht="15.75" customHeight="1" thickBot="1" x14ac:dyDescent="0.3">
      <c r="A283" s="138"/>
      <c r="B283" s="138"/>
      <c r="C283" s="113"/>
      <c r="D283" s="107"/>
      <c r="E283" s="107"/>
      <c r="F283" s="107"/>
      <c r="G283" s="110"/>
      <c r="H283" s="104"/>
      <c r="I283" s="98"/>
      <c r="J283" s="98"/>
      <c r="K283" s="98"/>
      <c r="L283" s="101"/>
      <c r="M283" s="104"/>
      <c r="N283" s="98"/>
      <c r="O283" s="98"/>
      <c r="P283" s="98"/>
      <c r="Q283" s="101"/>
      <c r="R283" s="104"/>
      <c r="S283" s="98"/>
      <c r="T283" s="98"/>
      <c r="U283" s="98"/>
      <c r="V283" s="101"/>
      <c r="W283" s="104"/>
      <c r="X283" s="98"/>
      <c r="Y283" s="98"/>
      <c r="Z283" s="98"/>
      <c r="AA283" s="101"/>
      <c r="AB283" s="135"/>
    </row>
    <row r="284" spans="1:28" ht="15" x14ac:dyDescent="0.25">
      <c r="A284" s="28"/>
    </row>
    <row r="285" spans="1:28" ht="15" x14ac:dyDescent="0.25">
      <c r="A285" s="28"/>
      <c r="B285" s="26" t="s">
        <v>35</v>
      </c>
      <c r="E285" s="21" t="s">
        <v>41</v>
      </c>
      <c r="I285" s="21" t="s">
        <v>42</v>
      </c>
      <c r="M285" s="21" t="s">
        <v>43</v>
      </c>
      <c r="Q285" s="21" t="s">
        <v>44</v>
      </c>
      <c r="U285" s="21" t="s">
        <v>45</v>
      </c>
      <c r="Y285" s="21" t="s">
        <v>46</v>
      </c>
    </row>
    <row r="286" spans="1:28" ht="15" x14ac:dyDescent="0.25">
      <c r="A286" s="28"/>
    </row>
    <row r="290" spans="1:32" ht="24.6" x14ac:dyDescent="0.25">
      <c r="A290" s="144" t="str">
        <f>'INSCRIPCION '!A$1</f>
        <v>TIRADA</v>
      </c>
      <c r="B290" s="144"/>
      <c r="C290" s="144"/>
      <c r="D290" s="144"/>
      <c r="E290" s="144"/>
      <c r="F290" s="144"/>
      <c r="G290" s="144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  <c r="AF290" s="144"/>
    </row>
    <row r="291" spans="1:32" ht="19.5" customHeight="1" x14ac:dyDescent="0.4">
      <c r="A291" s="23"/>
      <c r="B291" s="23"/>
    </row>
    <row r="292" spans="1:32" ht="22.5" customHeight="1" x14ac:dyDescent="0.25">
      <c r="A292" s="132" t="str">
        <f>'INSCRIPCION '!A$2</f>
        <v>CAMPO DE TIRO LA ISLA</v>
      </c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32"/>
      <c r="N292" s="132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32"/>
      <c r="AF292" s="132"/>
    </row>
    <row r="293" spans="1:32" ht="19.5" customHeight="1" x14ac:dyDescent="0.25">
      <c r="A293" s="143" t="str">
        <f>'INSCRIPCION '!A$3</f>
        <v>XXX PLATOS</v>
      </c>
      <c r="B293" s="143"/>
      <c r="C293" s="143"/>
      <c r="D293" s="143"/>
      <c r="E293" s="143"/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</row>
    <row r="294" spans="1:32" ht="22.8" x14ac:dyDescent="0.4">
      <c r="A294" s="24"/>
      <c r="B294" s="24"/>
    </row>
    <row r="295" spans="1:32" ht="17.399999999999999" x14ac:dyDescent="0.3">
      <c r="A295" s="25" t="s">
        <v>18</v>
      </c>
      <c r="B295" s="25"/>
      <c r="J295" s="9" t="s">
        <v>6</v>
      </c>
      <c r="K295" s="9"/>
      <c r="L295" s="9"/>
      <c r="M295" s="9"/>
      <c r="N295" s="9"/>
      <c r="O295" s="22">
        <v>1</v>
      </c>
      <c r="P295" s="22"/>
      <c r="Q295" s="8"/>
      <c r="R295" s="8"/>
      <c r="S295" s="7"/>
      <c r="T295" s="8"/>
      <c r="U295" s="8"/>
      <c r="V295" s="9" t="s">
        <v>7</v>
      </c>
      <c r="W295" s="9"/>
      <c r="X295" s="9"/>
      <c r="Y295" s="9"/>
      <c r="Z295" s="22">
        <v>4</v>
      </c>
      <c r="AA295" s="22"/>
    </row>
    <row r="296" spans="1:32" ht="13.8" thickBot="1" x14ac:dyDescent="0.3"/>
    <row r="297" spans="1:32" ht="15.6" thickBot="1" x14ac:dyDescent="0.3">
      <c r="A297" s="27" t="s">
        <v>0</v>
      </c>
      <c r="B297" s="27" t="s">
        <v>8</v>
      </c>
      <c r="C297" s="47">
        <v>1</v>
      </c>
      <c r="D297" s="48">
        <v>2</v>
      </c>
      <c r="E297" s="48">
        <v>3</v>
      </c>
      <c r="F297" s="48">
        <v>4</v>
      </c>
      <c r="G297" s="49">
        <v>5</v>
      </c>
      <c r="H297" s="47">
        <v>6</v>
      </c>
      <c r="I297" s="48">
        <v>7</v>
      </c>
      <c r="J297" s="48">
        <v>8</v>
      </c>
      <c r="K297" s="48">
        <v>9</v>
      </c>
      <c r="L297" s="49">
        <v>10</v>
      </c>
      <c r="M297" s="47">
        <v>11</v>
      </c>
      <c r="N297" s="48">
        <v>12</v>
      </c>
      <c r="O297" s="48">
        <v>13</v>
      </c>
      <c r="P297" s="48">
        <v>14</v>
      </c>
      <c r="Q297" s="49">
        <v>15</v>
      </c>
      <c r="R297" s="47">
        <v>16</v>
      </c>
      <c r="S297" s="48">
        <v>17</v>
      </c>
      <c r="T297" s="48">
        <v>18</v>
      </c>
      <c r="U297" s="48">
        <v>19</v>
      </c>
      <c r="V297" s="49">
        <v>20</v>
      </c>
      <c r="W297" s="47">
        <v>21</v>
      </c>
      <c r="X297" s="48">
        <v>22</v>
      </c>
      <c r="Y297" s="48">
        <v>23</v>
      </c>
      <c r="Z297" s="48">
        <v>24</v>
      </c>
      <c r="AA297" s="49">
        <v>25</v>
      </c>
      <c r="AB297" s="30" t="s">
        <v>1</v>
      </c>
    </row>
    <row r="298" spans="1:32" ht="15.75" customHeight="1" x14ac:dyDescent="0.25">
      <c r="A298" s="136">
        <f>ESCUADRAS!B64</f>
        <v>58</v>
      </c>
      <c r="B298" s="136">
        <f>ESCUADRAS!C64</f>
        <v>0</v>
      </c>
      <c r="C298" s="129"/>
      <c r="D298" s="114"/>
      <c r="E298" s="114"/>
      <c r="F298" s="114"/>
      <c r="G298" s="117"/>
      <c r="H298" s="111"/>
      <c r="I298" s="105"/>
      <c r="J298" s="105"/>
      <c r="K298" s="105"/>
      <c r="L298" s="108"/>
      <c r="M298" s="111"/>
      <c r="N298" s="105"/>
      <c r="O298" s="105"/>
      <c r="P298" s="105"/>
      <c r="Q298" s="108"/>
      <c r="R298" s="111"/>
      <c r="S298" s="105"/>
      <c r="T298" s="105"/>
      <c r="U298" s="105"/>
      <c r="V298" s="108"/>
      <c r="W298" s="111"/>
      <c r="X298" s="105"/>
      <c r="Y298" s="105"/>
      <c r="Z298" s="105"/>
      <c r="AA298" s="108"/>
      <c r="AB298" s="133"/>
    </row>
    <row r="299" spans="1:32" ht="15.75" customHeight="1" x14ac:dyDescent="0.25">
      <c r="A299" s="137"/>
      <c r="B299" s="137"/>
      <c r="C299" s="130"/>
      <c r="D299" s="115"/>
      <c r="E299" s="115"/>
      <c r="F299" s="115"/>
      <c r="G299" s="118"/>
      <c r="H299" s="112"/>
      <c r="I299" s="106"/>
      <c r="J299" s="106"/>
      <c r="K299" s="106"/>
      <c r="L299" s="109"/>
      <c r="M299" s="112"/>
      <c r="N299" s="106"/>
      <c r="O299" s="106"/>
      <c r="P299" s="106"/>
      <c r="Q299" s="109"/>
      <c r="R299" s="112"/>
      <c r="S299" s="106"/>
      <c r="T299" s="106"/>
      <c r="U299" s="106"/>
      <c r="V299" s="109"/>
      <c r="W299" s="112"/>
      <c r="X299" s="106"/>
      <c r="Y299" s="106"/>
      <c r="Z299" s="106"/>
      <c r="AA299" s="109"/>
      <c r="AB299" s="134"/>
    </row>
    <row r="300" spans="1:32" ht="15.75" customHeight="1" thickBot="1" x14ac:dyDescent="0.3">
      <c r="A300" s="138"/>
      <c r="B300" s="138"/>
      <c r="C300" s="131"/>
      <c r="D300" s="116"/>
      <c r="E300" s="116"/>
      <c r="F300" s="116"/>
      <c r="G300" s="119"/>
      <c r="H300" s="113"/>
      <c r="I300" s="107"/>
      <c r="J300" s="107"/>
      <c r="K300" s="107"/>
      <c r="L300" s="110"/>
      <c r="M300" s="113"/>
      <c r="N300" s="107"/>
      <c r="O300" s="107"/>
      <c r="P300" s="107"/>
      <c r="Q300" s="110"/>
      <c r="R300" s="113"/>
      <c r="S300" s="107"/>
      <c r="T300" s="107"/>
      <c r="U300" s="107"/>
      <c r="V300" s="110"/>
      <c r="W300" s="113"/>
      <c r="X300" s="107"/>
      <c r="Y300" s="107"/>
      <c r="Z300" s="107"/>
      <c r="AA300" s="110"/>
      <c r="AB300" s="135"/>
    </row>
    <row r="301" spans="1:32" ht="15.75" customHeight="1" x14ac:dyDescent="0.25">
      <c r="A301" s="136">
        <f>ESCUADRAS!B65</f>
        <v>59</v>
      </c>
      <c r="B301" s="136">
        <f>ESCUADRAS!C65</f>
        <v>0</v>
      </c>
      <c r="C301" s="93"/>
      <c r="D301" s="123"/>
      <c r="E301" s="123"/>
      <c r="F301" s="123"/>
      <c r="G301" s="126"/>
      <c r="H301" s="102"/>
      <c r="I301" s="96"/>
      <c r="J301" s="96"/>
      <c r="K301" s="96"/>
      <c r="L301" s="99"/>
      <c r="M301" s="102"/>
      <c r="N301" s="96"/>
      <c r="O301" s="96"/>
      <c r="P301" s="96"/>
      <c r="Q301" s="99"/>
      <c r="R301" s="102"/>
      <c r="S301" s="96"/>
      <c r="T301" s="96"/>
      <c r="U301" s="96"/>
      <c r="V301" s="99"/>
      <c r="W301" s="111"/>
      <c r="X301" s="105"/>
      <c r="Y301" s="105"/>
      <c r="Z301" s="105"/>
      <c r="AA301" s="108"/>
      <c r="AB301" s="133"/>
    </row>
    <row r="302" spans="1:32" ht="15.75" customHeight="1" x14ac:dyDescent="0.25">
      <c r="A302" s="137"/>
      <c r="B302" s="137"/>
      <c r="C302" s="94"/>
      <c r="D302" s="124"/>
      <c r="E302" s="124"/>
      <c r="F302" s="124"/>
      <c r="G302" s="127"/>
      <c r="H302" s="103"/>
      <c r="I302" s="97"/>
      <c r="J302" s="97"/>
      <c r="K302" s="97"/>
      <c r="L302" s="100"/>
      <c r="M302" s="103"/>
      <c r="N302" s="97"/>
      <c r="O302" s="97"/>
      <c r="P302" s="97"/>
      <c r="Q302" s="100"/>
      <c r="R302" s="103"/>
      <c r="S302" s="97"/>
      <c r="T302" s="97"/>
      <c r="U302" s="97"/>
      <c r="V302" s="100"/>
      <c r="W302" s="112"/>
      <c r="X302" s="106"/>
      <c r="Y302" s="106"/>
      <c r="Z302" s="106"/>
      <c r="AA302" s="109"/>
      <c r="AB302" s="134"/>
    </row>
    <row r="303" spans="1:32" ht="15.75" customHeight="1" thickBot="1" x14ac:dyDescent="0.3">
      <c r="A303" s="138"/>
      <c r="B303" s="138"/>
      <c r="C303" s="95"/>
      <c r="D303" s="125"/>
      <c r="E303" s="125"/>
      <c r="F303" s="125"/>
      <c r="G303" s="128"/>
      <c r="H303" s="104"/>
      <c r="I303" s="98"/>
      <c r="J303" s="98"/>
      <c r="K303" s="98"/>
      <c r="L303" s="101"/>
      <c r="M303" s="104"/>
      <c r="N303" s="98"/>
      <c r="O303" s="98"/>
      <c r="P303" s="98"/>
      <c r="Q303" s="101"/>
      <c r="R303" s="104"/>
      <c r="S303" s="98"/>
      <c r="T303" s="98"/>
      <c r="U303" s="98"/>
      <c r="V303" s="101"/>
      <c r="W303" s="113"/>
      <c r="X303" s="107"/>
      <c r="Y303" s="107"/>
      <c r="Z303" s="107"/>
      <c r="AA303" s="110"/>
      <c r="AB303" s="135"/>
    </row>
    <row r="304" spans="1:32" ht="15.75" customHeight="1" x14ac:dyDescent="0.25">
      <c r="A304" s="136">
        <f>ESCUADRAS!B66</f>
        <v>60</v>
      </c>
      <c r="B304" s="136">
        <f>ESCUADRAS!C66</f>
        <v>0</v>
      </c>
      <c r="C304" s="93"/>
      <c r="D304" s="123"/>
      <c r="E304" s="123"/>
      <c r="F304" s="123"/>
      <c r="G304" s="126"/>
      <c r="H304" s="102"/>
      <c r="I304" s="96"/>
      <c r="J304" s="96"/>
      <c r="K304" s="96"/>
      <c r="L304" s="99"/>
      <c r="M304" s="102"/>
      <c r="N304" s="96"/>
      <c r="O304" s="96"/>
      <c r="P304" s="96"/>
      <c r="Q304" s="99"/>
      <c r="R304" s="111"/>
      <c r="S304" s="105"/>
      <c r="T304" s="105"/>
      <c r="U304" s="105"/>
      <c r="V304" s="108"/>
      <c r="W304" s="102"/>
      <c r="X304" s="96"/>
      <c r="Y304" s="96"/>
      <c r="Z304" s="96"/>
      <c r="AA304" s="99"/>
      <c r="AB304" s="133"/>
    </row>
    <row r="305" spans="1:28" ht="15.75" customHeight="1" x14ac:dyDescent="0.25">
      <c r="A305" s="137"/>
      <c r="B305" s="137"/>
      <c r="C305" s="94"/>
      <c r="D305" s="124"/>
      <c r="E305" s="124"/>
      <c r="F305" s="124"/>
      <c r="G305" s="127"/>
      <c r="H305" s="103"/>
      <c r="I305" s="97"/>
      <c r="J305" s="97"/>
      <c r="K305" s="97"/>
      <c r="L305" s="100"/>
      <c r="M305" s="103"/>
      <c r="N305" s="97"/>
      <c r="O305" s="97"/>
      <c r="P305" s="97"/>
      <c r="Q305" s="100"/>
      <c r="R305" s="112"/>
      <c r="S305" s="106"/>
      <c r="T305" s="106"/>
      <c r="U305" s="106"/>
      <c r="V305" s="109"/>
      <c r="W305" s="103"/>
      <c r="X305" s="97"/>
      <c r="Y305" s="97"/>
      <c r="Z305" s="97"/>
      <c r="AA305" s="100"/>
      <c r="AB305" s="134"/>
    </row>
    <row r="306" spans="1:28" ht="15.75" customHeight="1" thickBot="1" x14ac:dyDescent="0.3">
      <c r="A306" s="138"/>
      <c r="B306" s="138"/>
      <c r="C306" s="95"/>
      <c r="D306" s="125"/>
      <c r="E306" s="125"/>
      <c r="F306" s="125"/>
      <c r="G306" s="128"/>
      <c r="H306" s="104"/>
      <c r="I306" s="98"/>
      <c r="J306" s="98"/>
      <c r="K306" s="98"/>
      <c r="L306" s="101"/>
      <c r="M306" s="104"/>
      <c r="N306" s="98"/>
      <c r="O306" s="98"/>
      <c r="P306" s="98"/>
      <c r="Q306" s="101"/>
      <c r="R306" s="113"/>
      <c r="S306" s="107"/>
      <c r="T306" s="107"/>
      <c r="U306" s="107"/>
      <c r="V306" s="110"/>
      <c r="W306" s="104"/>
      <c r="X306" s="98"/>
      <c r="Y306" s="98"/>
      <c r="Z306" s="98"/>
      <c r="AA306" s="101"/>
      <c r="AB306" s="135"/>
    </row>
    <row r="307" spans="1:28" ht="15.75" customHeight="1" x14ac:dyDescent="0.25">
      <c r="A307" s="136">
        <f>ESCUADRAS!B61</f>
        <v>55</v>
      </c>
      <c r="B307" s="136">
        <f>ESCUADRAS!C61</f>
        <v>0</v>
      </c>
      <c r="C307" s="93"/>
      <c r="D307" s="123"/>
      <c r="E307" s="123"/>
      <c r="F307" s="123"/>
      <c r="G307" s="126"/>
      <c r="H307" s="102"/>
      <c r="I307" s="96"/>
      <c r="J307" s="96"/>
      <c r="K307" s="96"/>
      <c r="L307" s="99"/>
      <c r="M307" s="111"/>
      <c r="N307" s="105"/>
      <c r="O307" s="105"/>
      <c r="P307" s="105"/>
      <c r="Q307" s="108"/>
      <c r="R307" s="102"/>
      <c r="S307" s="96"/>
      <c r="T307" s="96"/>
      <c r="U307" s="96"/>
      <c r="V307" s="99"/>
      <c r="W307" s="102"/>
      <c r="X307" s="96"/>
      <c r="Y307" s="96"/>
      <c r="Z307" s="96"/>
      <c r="AA307" s="99"/>
      <c r="AB307" s="133"/>
    </row>
    <row r="308" spans="1:28" ht="15.75" customHeight="1" x14ac:dyDescent="0.25">
      <c r="A308" s="137"/>
      <c r="B308" s="137"/>
      <c r="C308" s="94"/>
      <c r="D308" s="124"/>
      <c r="E308" s="124"/>
      <c r="F308" s="124"/>
      <c r="G308" s="127"/>
      <c r="H308" s="103"/>
      <c r="I308" s="97"/>
      <c r="J308" s="97"/>
      <c r="K308" s="97"/>
      <c r="L308" s="100"/>
      <c r="M308" s="112"/>
      <c r="N308" s="106"/>
      <c r="O308" s="106"/>
      <c r="P308" s="106"/>
      <c r="Q308" s="109"/>
      <c r="R308" s="103"/>
      <c r="S308" s="97"/>
      <c r="T308" s="97"/>
      <c r="U308" s="97"/>
      <c r="V308" s="100"/>
      <c r="W308" s="103"/>
      <c r="X308" s="97"/>
      <c r="Y308" s="97"/>
      <c r="Z308" s="97"/>
      <c r="AA308" s="100"/>
      <c r="AB308" s="134"/>
    </row>
    <row r="309" spans="1:28" ht="15.75" customHeight="1" thickBot="1" x14ac:dyDescent="0.3">
      <c r="A309" s="138"/>
      <c r="B309" s="138"/>
      <c r="C309" s="95"/>
      <c r="D309" s="125"/>
      <c r="E309" s="125"/>
      <c r="F309" s="125"/>
      <c r="G309" s="128"/>
      <c r="H309" s="104"/>
      <c r="I309" s="98"/>
      <c r="J309" s="98"/>
      <c r="K309" s="98"/>
      <c r="L309" s="101"/>
      <c r="M309" s="113"/>
      <c r="N309" s="107"/>
      <c r="O309" s="107"/>
      <c r="P309" s="107"/>
      <c r="Q309" s="110"/>
      <c r="R309" s="104"/>
      <c r="S309" s="98"/>
      <c r="T309" s="98"/>
      <c r="U309" s="98"/>
      <c r="V309" s="101"/>
      <c r="W309" s="104"/>
      <c r="X309" s="98"/>
      <c r="Y309" s="98"/>
      <c r="Z309" s="98"/>
      <c r="AA309" s="101"/>
      <c r="AB309" s="135"/>
    </row>
    <row r="310" spans="1:28" ht="15.75" customHeight="1" x14ac:dyDescent="0.25">
      <c r="A310" s="136">
        <f>ESCUADRAS!B62</f>
        <v>56</v>
      </c>
      <c r="B310" s="136">
        <f>ESCUADRAS!C62</f>
        <v>0</v>
      </c>
      <c r="C310" s="93"/>
      <c r="D310" s="123"/>
      <c r="E310" s="123"/>
      <c r="F310" s="123"/>
      <c r="G310" s="126"/>
      <c r="H310" s="111"/>
      <c r="I310" s="105"/>
      <c r="J310" s="105"/>
      <c r="K310" s="105"/>
      <c r="L310" s="108"/>
      <c r="M310" s="102"/>
      <c r="N310" s="96"/>
      <c r="O310" s="96"/>
      <c r="P310" s="96"/>
      <c r="Q310" s="99"/>
      <c r="R310" s="102"/>
      <c r="S310" s="96"/>
      <c r="T310" s="96"/>
      <c r="U310" s="96"/>
      <c r="V310" s="99"/>
      <c r="W310" s="102"/>
      <c r="X310" s="96"/>
      <c r="Y310" s="96"/>
      <c r="Z310" s="96"/>
      <c r="AA310" s="99"/>
      <c r="AB310" s="133"/>
    </row>
    <row r="311" spans="1:28" ht="15.75" customHeight="1" x14ac:dyDescent="0.25">
      <c r="A311" s="137"/>
      <c r="B311" s="137"/>
      <c r="C311" s="94"/>
      <c r="D311" s="124"/>
      <c r="E311" s="124"/>
      <c r="F311" s="124"/>
      <c r="G311" s="127"/>
      <c r="H311" s="112"/>
      <c r="I311" s="106"/>
      <c r="J311" s="106"/>
      <c r="K311" s="106"/>
      <c r="L311" s="109"/>
      <c r="M311" s="103"/>
      <c r="N311" s="97"/>
      <c r="O311" s="97"/>
      <c r="P311" s="97"/>
      <c r="Q311" s="100"/>
      <c r="R311" s="103"/>
      <c r="S311" s="97"/>
      <c r="T311" s="97"/>
      <c r="U311" s="97"/>
      <c r="V311" s="100"/>
      <c r="W311" s="103"/>
      <c r="X311" s="97"/>
      <c r="Y311" s="97"/>
      <c r="Z311" s="97"/>
      <c r="AA311" s="100"/>
      <c r="AB311" s="134"/>
    </row>
    <row r="312" spans="1:28" ht="15.75" customHeight="1" thickBot="1" x14ac:dyDescent="0.3">
      <c r="A312" s="138"/>
      <c r="B312" s="138"/>
      <c r="C312" s="95"/>
      <c r="D312" s="125"/>
      <c r="E312" s="125"/>
      <c r="F312" s="125"/>
      <c r="G312" s="128"/>
      <c r="H312" s="113"/>
      <c r="I312" s="107"/>
      <c r="J312" s="107"/>
      <c r="K312" s="107"/>
      <c r="L312" s="110"/>
      <c r="M312" s="104"/>
      <c r="N312" s="98"/>
      <c r="O312" s="98"/>
      <c r="P312" s="98"/>
      <c r="Q312" s="101"/>
      <c r="R312" s="104"/>
      <c r="S312" s="98"/>
      <c r="T312" s="98"/>
      <c r="U312" s="98"/>
      <c r="V312" s="101"/>
      <c r="W312" s="104"/>
      <c r="X312" s="98"/>
      <c r="Y312" s="98"/>
      <c r="Z312" s="98"/>
      <c r="AA312" s="101"/>
      <c r="AB312" s="135"/>
    </row>
    <row r="313" spans="1:28" ht="15.75" customHeight="1" x14ac:dyDescent="0.25">
      <c r="A313" s="136">
        <f>ESCUADRAS!B63</f>
        <v>57</v>
      </c>
      <c r="B313" s="136">
        <f>ESCUADRAS!C63</f>
        <v>0</v>
      </c>
      <c r="C313" s="111"/>
      <c r="D313" s="105"/>
      <c r="E313" s="105"/>
      <c r="F313" s="105"/>
      <c r="G313" s="108"/>
      <c r="H313" s="122"/>
      <c r="I313" s="120"/>
      <c r="J313" s="120"/>
      <c r="K313" s="120"/>
      <c r="L313" s="121"/>
      <c r="M313" s="122"/>
      <c r="N313" s="120"/>
      <c r="O313" s="120"/>
      <c r="P313" s="120"/>
      <c r="Q313" s="121"/>
      <c r="R313" s="122"/>
      <c r="S313" s="120"/>
      <c r="T313" s="120"/>
      <c r="U313" s="120"/>
      <c r="V313" s="121"/>
      <c r="W313" s="122"/>
      <c r="X313" s="120"/>
      <c r="Y313" s="120"/>
      <c r="Z313" s="120"/>
      <c r="AA313" s="121"/>
      <c r="AB313" s="133"/>
    </row>
    <row r="314" spans="1:28" ht="15.75" customHeight="1" x14ac:dyDescent="0.25">
      <c r="A314" s="137"/>
      <c r="B314" s="137"/>
      <c r="C314" s="112"/>
      <c r="D314" s="106"/>
      <c r="E314" s="106"/>
      <c r="F314" s="106"/>
      <c r="G314" s="109"/>
      <c r="H314" s="103"/>
      <c r="I314" s="97"/>
      <c r="J314" s="97"/>
      <c r="K314" s="97"/>
      <c r="L314" s="100"/>
      <c r="M314" s="103"/>
      <c r="N314" s="97"/>
      <c r="O314" s="97"/>
      <c r="P314" s="97"/>
      <c r="Q314" s="100"/>
      <c r="R314" s="103"/>
      <c r="S314" s="97"/>
      <c r="T314" s="97"/>
      <c r="U314" s="97"/>
      <c r="V314" s="100"/>
      <c r="W314" s="103"/>
      <c r="X314" s="97"/>
      <c r="Y314" s="97"/>
      <c r="Z314" s="97"/>
      <c r="AA314" s="100"/>
      <c r="AB314" s="134"/>
    </row>
    <row r="315" spans="1:28" ht="15.75" customHeight="1" thickBot="1" x14ac:dyDescent="0.3">
      <c r="A315" s="138"/>
      <c r="B315" s="138"/>
      <c r="C315" s="113"/>
      <c r="D315" s="107"/>
      <c r="E315" s="107"/>
      <c r="F315" s="107"/>
      <c r="G315" s="110"/>
      <c r="H315" s="104"/>
      <c r="I315" s="98"/>
      <c r="J315" s="98"/>
      <c r="K315" s="98"/>
      <c r="L315" s="101"/>
      <c r="M315" s="104"/>
      <c r="N315" s="98"/>
      <c r="O315" s="98"/>
      <c r="P315" s="98"/>
      <c r="Q315" s="101"/>
      <c r="R315" s="104"/>
      <c r="S315" s="98"/>
      <c r="T315" s="98"/>
      <c r="U315" s="98"/>
      <c r="V315" s="101"/>
      <c r="W315" s="104"/>
      <c r="X315" s="98"/>
      <c r="Y315" s="98"/>
      <c r="Z315" s="98"/>
      <c r="AA315" s="101"/>
      <c r="AB315" s="135"/>
    </row>
    <row r="316" spans="1:28" ht="15" x14ac:dyDescent="0.25">
      <c r="A316" s="28"/>
    </row>
    <row r="317" spans="1:28" ht="15" x14ac:dyDescent="0.25">
      <c r="A317" s="28"/>
      <c r="B317" s="26" t="s">
        <v>35</v>
      </c>
      <c r="E317" s="21" t="s">
        <v>41</v>
      </c>
      <c r="I317" s="21" t="s">
        <v>42</v>
      </c>
      <c r="M317" s="21" t="s">
        <v>43</v>
      </c>
      <c r="Q317" s="21" t="s">
        <v>44</v>
      </c>
      <c r="U317" s="21" t="s">
        <v>45</v>
      </c>
      <c r="Y317" s="21" t="s">
        <v>46</v>
      </c>
    </row>
    <row r="318" spans="1:28" ht="15" x14ac:dyDescent="0.25">
      <c r="A318" s="28"/>
    </row>
    <row r="322" spans="1:32" ht="24.6" x14ac:dyDescent="0.25">
      <c r="A322" s="144" t="str">
        <f>'INSCRIPCION '!A$1</f>
        <v>TIRADA</v>
      </c>
      <c r="B322" s="144"/>
      <c r="C322" s="144"/>
      <c r="D322" s="144"/>
      <c r="E322" s="144"/>
      <c r="F322" s="144"/>
      <c r="G322" s="144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  <c r="AF322" s="144"/>
    </row>
    <row r="323" spans="1:32" ht="19.5" customHeight="1" x14ac:dyDescent="0.4">
      <c r="A323" s="23"/>
      <c r="B323" s="23"/>
    </row>
    <row r="324" spans="1:32" ht="22.5" customHeight="1" x14ac:dyDescent="0.25">
      <c r="A324" s="132" t="str">
        <f>'INSCRIPCION '!A$2</f>
        <v>CAMPO DE TIRO LA ISLA</v>
      </c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32"/>
      <c r="N324" s="132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32"/>
      <c r="AF324" s="132"/>
    </row>
    <row r="325" spans="1:32" ht="19.5" customHeight="1" x14ac:dyDescent="0.25">
      <c r="A325" s="143" t="str">
        <f>'INSCRIPCION '!A$3</f>
        <v>XXX PLATOS</v>
      </c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</row>
    <row r="326" spans="1:32" ht="22.8" x14ac:dyDescent="0.4">
      <c r="A326" s="24"/>
      <c r="B326" s="24"/>
    </row>
    <row r="327" spans="1:32" ht="17.399999999999999" x14ac:dyDescent="0.3">
      <c r="A327" s="25" t="s">
        <v>19</v>
      </c>
      <c r="B327" s="25"/>
      <c r="J327" s="9" t="s">
        <v>6</v>
      </c>
      <c r="K327" s="9"/>
      <c r="L327" s="9"/>
      <c r="M327" s="9"/>
      <c r="N327" s="9"/>
      <c r="O327" s="22">
        <v>2</v>
      </c>
      <c r="P327" s="22"/>
      <c r="Q327" s="8"/>
      <c r="R327" s="8"/>
      <c r="S327" s="7"/>
      <c r="T327" s="8"/>
      <c r="U327" s="8"/>
      <c r="V327" s="9" t="s">
        <v>7</v>
      </c>
      <c r="W327" s="9"/>
      <c r="X327" s="9"/>
      <c r="Y327" s="9"/>
      <c r="Z327" s="22">
        <v>4</v>
      </c>
      <c r="AA327" s="22"/>
    </row>
    <row r="328" spans="1:32" ht="13.8" thickBot="1" x14ac:dyDescent="0.3"/>
    <row r="329" spans="1:32" ht="15.6" thickBot="1" x14ac:dyDescent="0.3">
      <c r="A329" s="27" t="s">
        <v>0</v>
      </c>
      <c r="B329" s="27" t="s">
        <v>8</v>
      </c>
      <c r="C329" s="47">
        <v>1</v>
      </c>
      <c r="D329" s="48">
        <v>2</v>
      </c>
      <c r="E329" s="48">
        <v>3</v>
      </c>
      <c r="F329" s="48">
        <v>4</v>
      </c>
      <c r="G329" s="49">
        <v>5</v>
      </c>
      <c r="H329" s="47">
        <v>6</v>
      </c>
      <c r="I329" s="48">
        <v>7</v>
      </c>
      <c r="J329" s="48">
        <v>8</v>
      </c>
      <c r="K329" s="48">
        <v>9</v>
      </c>
      <c r="L329" s="49">
        <v>10</v>
      </c>
      <c r="M329" s="47">
        <v>11</v>
      </c>
      <c r="N329" s="48">
        <v>12</v>
      </c>
      <c r="O329" s="48">
        <v>13</v>
      </c>
      <c r="P329" s="48">
        <v>14</v>
      </c>
      <c r="Q329" s="49">
        <v>15</v>
      </c>
      <c r="R329" s="47">
        <v>16</v>
      </c>
      <c r="S329" s="48">
        <v>17</v>
      </c>
      <c r="T329" s="48">
        <v>18</v>
      </c>
      <c r="U329" s="48">
        <v>19</v>
      </c>
      <c r="V329" s="49">
        <v>20</v>
      </c>
      <c r="W329" s="47">
        <v>21</v>
      </c>
      <c r="X329" s="48">
        <v>22</v>
      </c>
      <c r="Y329" s="48">
        <v>23</v>
      </c>
      <c r="Z329" s="48">
        <v>24</v>
      </c>
      <c r="AA329" s="49">
        <v>25</v>
      </c>
      <c r="AB329" s="30" t="s">
        <v>1</v>
      </c>
    </row>
    <row r="330" spans="1:32" ht="15.75" customHeight="1" x14ac:dyDescent="0.25">
      <c r="A330" s="136">
        <f>ESCUADRAS!B70</f>
        <v>64</v>
      </c>
      <c r="B330" s="136">
        <f>ESCUADRAS!C70</f>
        <v>0</v>
      </c>
      <c r="C330" s="129"/>
      <c r="D330" s="114"/>
      <c r="E330" s="114"/>
      <c r="F330" s="114"/>
      <c r="G330" s="117"/>
      <c r="H330" s="111"/>
      <c r="I330" s="105"/>
      <c r="J330" s="105"/>
      <c r="K330" s="105"/>
      <c r="L330" s="108"/>
      <c r="M330" s="111"/>
      <c r="N330" s="105"/>
      <c r="O330" s="105"/>
      <c r="P330" s="105"/>
      <c r="Q330" s="108"/>
      <c r="R330" s="111"/>
      <c r="S330" s="105"/>
      <c r="T330" s="105"/>
      <c r="U330" s="105"/>
      <c r="V330" s="108"/>
      <c r="W330" s="111"/>
      <c r="X330" s="105"/>
      <c r="Y330" s="105"/>
      <c r="Z330" s="105"/>
      <c r="AA330" s="108"/>
      <c r="AB330" s="133"/>
    </row>
    <row r="331" spans="1:32" ht="15.75" customHeight="1" x14ac:dyDescent="0.25">
      <c r="A331" s="137"/>
      <c r="B331" s="137"/>
      <c r="C331" s="130"/>
      <c r="D331" s="115"/>
      <c r="E331" s="115"/>
      <c r="F331" s="115"/>
      <c r="G331" s="118"/>
      <c r="H331" s="112"/>
      <c r="I331" s="106"/>
      <c r="J331" s="106"/>
      <c r="K331" s="106"/>
      <c r="L331" s="109"/>
      <c r="M331" s="112"/>
      <c r="N331" s="106"/>
      <c r="O331" s="106"/>
      <c r="P331" s="106"/>
      <c r="Q331" s="109"/>
      <c r="R331" s="112"/>
      <c r="S331" s="106"/>
      <c r="T331" s="106"/>
      <c r="U331" s="106"/>
      <c r="V331" s="109"/>
      <c r="W331" s="112"/>
      <c r="X331" s="106"/>
      <c r="Y331" s="106"/>
      <c r="Z331" s="106"/>
      <c r="AA331" s="109"/>
      <c r="AB331" s="134"/>
    </row>
    <row r="332" spans="1:32" ht="15.75" customHeight="1" thickBot="1" x14ac:dyDescent="0.3">
      <c r="A332" s="138"/>
      <c r="B332" s="138"/>
      <c r="C332" s="131"/>
      <c r="D332" s="116"/>
      <c r="E332" s="116"/>
      <c r="F332" s="116"/>
      <c r="G332" s="119"/>
      <c r="H332" s="113"/>
      <c r="I332" s="107"/>
      <c r="J332" s="107"/>
      <c r="K332" s="107"/>
      <c r="L332" s="110"/>
      <c r="M332" s="113"/>
      <c r="N332" s="107"/>
      <c r="O332" s="107"/>
      <c r="P332" s="107"/>
      <c r="Q332" s="110"/>
      <c r="R332" s="113"/>
      <c r="S332" s="107"/>
      <c r="T332" s="107"/>
      <c r="U332" s="107"/>
      <c r="V332" s="110"/>
      <c r="W332" s="113"/>
      <c r="X332" s="107"/>
      <c r="Y332" s="107"/>
      <c r="Z332" s="107"/>
      <c r="AA332" s="110"/>
      <c r="AB332" s="135"/>
    </row>
    <row r="333" spans="1:32" ht="15.75" customHeight="1" x14ac:dyDescent="0.25">
      <c r="A333" s="136">
        <f>ESCUADRAS!B71</f>
        <v>65</v>
      </c>
      <c r="B333" s="136">
        <f>ESCUADRAS!C71</f>
        <v>0</v>
      </c>
      <c r="C333" s="93"/>
      <c r="D333" s="123"/>
      <c r="E333" s="123"/>
      <c r="F333" s="123"/>
      <c r="G333" s="126"/>
      <c r="H333" s="102"/>
      <c r="I333" s="96"/>
      <c r="J333" s="96"/>
      <c r="K333" s="96"/>
      <c r="L333" s="99"/>
      <c r="M333" s="102"/>
      <c r="N333" s="96"/>
      <c r="O333" s="96"/>
      <c r="P333" s="96"/>
      <c r="Q333" s="99"/>
      <c r="R333" s="102"/>
      <c r="S333" s="96"/>
      <c r="T333" s="96"/>
      <c r="U333" s="96"/>
      <c r="V333" s="99"/>
      <c r="W333" s="111"/>
      <c r="X333" s="105"/>
      <c r="Y333" s="105"/>
      <c r="Z333" s="105"/>
      <c r="AA333" s="108"/>
      <c r="AB333" s="133"/>
    </row>
    <row r="334" spans="1:32" ht="15.75" customHeight="1" x14ac:dyDescent="0.25">
      <c r="A334" s="137"/>
      <c r="B334" s="137"/>
      <c r="C334" s="94"/>
      <c r="D334" s="124"/>
      <c r="E334" s="124"/>
      <c r="F334" s="124"/>
      <c r="G334" s="127"/>
      <c r="H334" s="103"/>
      <c r="I334" s="97"/>
      <c r="J334" s="97"/>
      <c r="K334" s="97"/>
      <c r="L334" s="100"/>
      <c r="M334" s="103"/>
      <c r="N334" s="97"/>
      <c r="O334" s="97"/>
      <c r="P334" s="97"/>
      <c r="Q334" s="100"/>
      <c r="R334" s="103"/>
      <c r="S334" s="97"/>
      <c r="T334" s="97"/>
      <c r="U334" s="97"/>
      <c r="V334" s="100"/>
      <c r="W334" s="112"/>
      <c r="X334" s="106"/>
      <c r="Y334" s="106"/>
      <c r="Z334" s="106"/>
      <c r="AA334" s="109"/>
      <c r="AB334" s="134"/>
    </row>
    <row r="335" spans="1:32" ht="15.75" customHeight="1" thickBot="1" x14ac:dyDescent="0.3">
      <c r="A335" s="138"/>
      <c r="B335" s="138"/>
      <c r="C335" s="95"/>
      <c r="D335" s="125"/>
      <c r="E335" s="125"/>
      <c r="F335" s="125"/>
      <c r="G335" s="128"/>
      <c r="H335" s="104"/>
      <c r="I335" s="98"/>
      <c r="J335" s="98"/>
      <c r="K335" s="98"/>
      <c r="L335" s="101"/>
      <c r="M335" s="104"/>
      <c r="N335" s="98"/>
      <c r="O335" s="98"/>
      <c r="P335" s="98"/>
      <c r="Q335" s="101"/>
      <c r="R335" s="104"/>
      <c r="S335" s="98"/>
      <c r="T335" s="98"/>
      <c r="U335" s="98"/>
      <c r="V335" s="101"/>
      <c r="W335" s="113"/>
      <c r="X335" s="107"/>
      <c r="Y335" s="107"/>
      <c r="Z335" s="107"/>
      <c r="AA335" s="110"/>
      <c r="AB335" s="135"/>
    </row>
    <row r="336" spans="1:32" ht="15.75" customHeight="1" x14ac:dyDescent="0.25">
      <c r="A336" s="136">
        <f>ESCUADRAS!B72</f>
        <v>66</v>
      </c>
      <c r="B336" s="136">
        <f>ESCUADRAS!C72</f>
        <v>0</v>
      </c>
      <c r="C336" s="93"/>
      <c r="D336" s="123"/>
      <c r="E336" s="123"/>
      <c r="F336" s="123"/>
      <c r="G336" s="126"/>
      <c r="H336" s="102"/>
      <c r="I336" s="96"/>
      <c r="J336" s="96"/>
      <c r="K336" s="96"/>
      <c r="L336" s="99"/>
      <c r="M336" s="102"/>
      <c r="N336" s="96"/>
      <c r="O336" s="96"/>
      <c r="P336" s="96"/>
      <c r="Q336" s="99"/>
      <c r="R336" s="111"/>
      <c r="S336" s="105"/>
      <c r="T336" s="105"/>
      <c r="U336" s="105"/>
      <c r="V336" s="108"/>
      <c r="W336" s="102"/>
      <c r="X336" s="96"/>
      <c r="Y336" s="96"/>
      <c r="Z336" s="96"/>
      <c r="AA336" s="99"/>
      <c r="AB336" s="133"/>
    </row>
    <row r="337" spans="1:28" ht="15.75" customHeight="1" x14ac:dyDescent="0.25">
      <c r="A337" s="137"/>
      <c r="B337" s="137"/>
      <c r="C337" s="94"/>
      <c r="D337" s="124"/>
      <c r="E337" s="124"/>
      <c r="F337" s="124"/>
      <c r="G337" s="127"/>
      <c r="H337" s="103"/>
      <c r="I337" s="97"/>
      <c r="J337" s="97"/>
      <c r="K337" s="97"/>
      <c r="L337" s="100"/>
      <c r="M337" s="103"/>
      <c r="N337" s="97"/>
      <c r="O337" s="97"/>
      <c r="P337" s="97"/>
      <c r="Q337" s="100"/>
      <c r="R337" s="112"/>
      <c r="S337" s="106"/>
      <c r="T337" s="106"/>
      <c r="U337" s="106"/>
      <c r="V337" s="109"/>
      <c r="W337" s="103"/>
      <c r="X337" s="97"/>
      <c r="Y337" s="97"/>
      <c r="Z337" s="97"/>
      <c r="AA337" s="100"/>
      <c r="AB337" s="134"/>
    </row>
    <row r="338" spans="1:28" ht="15.75" customHeight="1" thickBot="1" x14ac:dyDescent="0.3">
      <c r="A338" s="138"/>
      <c r="B338" s="138"/>
      <c r="C338" s="95"/>
      <c r="D338" s="125"/>
      <c r="E338" s="125"/>
      <c r="F338" s="125"/>
      <c r="G338" s="128"/>
      <c r="H338" s="104"/>
      <c r="I338" s="98"/>
      <c r="J338" s="98"/>
      <c r="K338" s="98"/>
      <c r="L338" s="101"/>
      <c r="M338" s="104"/>
      <c r="N338" s="98"/>
      <c r="O338" s="98"/>
      <c r="P338" s="98"/>
      <c r="Q338" s="101"/>
      <c r="R338" s="113"/>
      <c r="S338" s="107"/>
      <c r="T338" s="107"/>
      <c r="U338" s="107"/>
      <c r="V338" s="110"/>
      <c r="W338" s="104"/>
      <c r="X338" s="98"/>
      <c r="Y338" s="98"/>
      <c r="Z338" s="98"/>
      <c r="AA338" s="101"/>
      <c r="AB338" s="135"/>
    </row>
    <row r="339" spans="1:28" ht="15.75" customHeight="1" x14ac:dyDescent="0.25">
      <c r="A339" s="136">
        <f>ESCUADRAS!B67</f>
        <v>61</v>
      </c>
      <c r="B339" s="136">
        <f>ESCUADRAS!C67</f>
        <v>0</v>
      </c>
      <c r="C339" s="93"/>
      <c r="D339" s="123"/>
      <c r="E339" s="123"/>
      <c r="F339" s="123"/>
      <c r="G339" s="126"/>
      <c r="H339" s="102"/>
      <c r="I339" s="96"/>
      <c r="J339" s="96"/>
      <c r="K339" s="96"/>
      <c r="L339" s="99"/>
      <c r="M339" s="111"/>
      <c r="N339" s="105"/>
      <c r="O339" s="105"/>
      <c r="P339" s="105"/>
      <c r="Q339" s="108"/>
      <c r="R339" s="102"/>
      <c r="S339" s="96"/>
      <c r="T339" s="96"/>
      <c r="U339" s="96"/>
      <c r="V339" s="99"/>
      <c r="W339" s="102"/>
      <c r="X339" s="96"/>
      <c r="Y339" s="96"/>
      <c r="Z339" s="96"/>
      <c r="AA339" s="99"/>
      <c r="AB339" s="133"/>
    </row>
    <row r="340" spans="1:28" ht="15.75" customHeight="1" x14ac:dyDescent="0.25">
      <c r="A340" s="137"/>
      <c r="B340" s="137"/>
      <c r="C340" s="94"/>
      <c r="D340" s="124"/>
      <c r="E340" s="124"/>
      <c r="F340" s="124"/>
      <c r="G340" s="127"/>
      <c r="H340" s="103"/>
      <c r="I340" s="97"/>
      <c r="J340" s="97"/>
      <c r="K340" s="97"/>
      <c r="L340" s="100"/>
      <c r="M340" s="112"/>
      <c r="N340" s="106"/>
      <c r="O340" s="106"/>
      <c r="P340" s="106"/>
      <c r="Q340" s="109"/>
      <c r="R340" s="103"/>
      <c r="S340" s="97"/>
      <c r="T340" s="97"/>
      <c r="U340" s="97"/>
      <c r="V340" s="100"/>
      <c r="W340" s="103"/>
      <c r="X340" s="97"/>
      <c r="Y340" s="97"/>
      <c r="Z340" s="97"/>
      <c r="AA340" s="100"/>
      <c r="AB340" s="134"/>
    </row>
    <row r="341" spans="1:28" ht="15.75" customHeight="1" thickBot="1" x14ac:dyDescent="0.3">
      <c r="A341" s="138"/>
      <c r="B341" s="138"/>
      <c r="C341" s="95"/>
      <c r="D341" s="125"/>
      <c r="E341" s="125"/>
      <c r="F341" s="125"/>
      <c r="G341" s="128"/>
      <c r="H341" s="104"/>
      <c r="I341" s="98"/>
      <c r="J341" s="98"/>
      <c r="K341" s="98"/>
      <c r="L341" s="101"/>
      <c r="M341" s="113"/>
      <c r="N341" s="107"/>
      <c r="O341" s="107"/>
      <c r="P341" s="107"/>
      <c r="Q341" s="110"/>
      <c r="R341" s="104"/>
      <c r="S341" s="98"/>
      <c r="T341" s="98"/>
      <c r="U341" s="98"/>
      <c r="V341" s="101"/>
      <c r="W341" s="104"/>
      <c r="X341" s="98"/>
      <c r="Y341" s="98"/>
      <c r="Z341" s="98"/>
      <c r="AA341" s="101"/>
      <c r="AB341" s="135"/>
    </row>
    <row r="342" spans="1:28" ht="15.75" customHeight="1" x14ac:dyDescent="0.25">
      <c r="A342" s="136">
        <f>ESCUADRAS!B68</f>
        <v>62</v>
      </c>
      <c r="B342" s="136">
        <f>ESCUADRAS!C68</f>
        <v>0</v>
      </c>
      <c r="C342" s="93"/>
      <c r="D342" s="123"/>
      <c r="E342" s="123"/>
      <c r="F342" s="123"/>
      <c r="G342" s="126"/>
      <c r="H342" s="111"/>
      <c r="I342" s="105"/>
      <c r="J342" s="105"/>
      <c r="K342" s="105"/>
      <c r="L342" s="108"/>
      <c r="M342" s="102"/>
      <c r="N342" s="96"/>
      <c r="O342" s="96"/>
      <c r="P342" s="96"/>
      <c r="Q342" s="99"/>
      <c r="R342" s="102"/>
      <c r="S342" s="96"/>
      <c r="T342" s="96"/>
      <c r="U342" s="96"/>
      <c r="V342" s="99"/>
      <c r="W342" s="102"/>
      <c r="X342" s="96"/>
      <c r="Y342" s="96"/>
      <c r="Z342" s="96"/>
      <c r="AA342" s="99"/>
      <c r="AB342" s="133"/>
    </row>
    <row r="343" spans="1:28" ht="15.75" customHeight="1" x14ac:dyDescent="0.25">
      <c r="A343" s="137"/>
      <c r="B343" s="137"/>
      <c r="C343" s="94"/>
      <c r="D343" s="124"/>
      <c r="E343" s="124"/>
      <c r="F343" s="124"/>
      <c r="G343" s="127"/>
      <c r="H343" s="112"/>
      <c r="I343" s="106"/>
      <c r="J343" s="106"/>
      <c r="K343" s="106"/>
      <c r="L343" s="109"/>
      <c r="M343" s="103"/>
      <c r="N343" s="97"/>
      <c r="O343" s="97"/>
      <c r="P343" s="97"/>
      <c r="Q343" s="100"/>
      <c r="R343" s="103"/>
      <c r="S343" s="97"/>
      <c r="T343" s="97"/>
      <c r="U343" s="97"/>
      <c r="V343" s="100"/>
      <c r="W343" s="103"/>
      <c r="X343" s="97"/>
      <c r="Y343" s="97"/>
      <c r="Z343" s="97"/>
      <c r="AA343" s="100"/>
      <c r="AB343" s="134"/>
    </row>
    <row r="344" spans="1:28" ht="15.75" customHeight="1" thickBot="1" x14ac:dyDescent="0.3">
      <c r="A344" s="138"/>
      <c r="B344" s="138"/>
      <c r="C344" s="95"/>
      <c r="D344" s="125"/>
      <c r="E344" s="125"/>
      <c r="F344" s="125"/>
      <c r="G344" s="128"/>
      <c r="H344" s="113"/>
      <c r="I344" s="107"/>
      <c r="J344" s="107"/>
      <c r="K344" s="107"/>
      <c r="L344" s="110"/>
      <c r="M344" s="104"/>
      <c r="N344" s="98"/>
      <c r="O344" s="98"/>
      <c r="P344" s="98"/>
      <c r="Q344" s="101"/>
      <c r="R344" s="104"/>
      <c r="S344" s="98"/>
      <c r="T344" s="98"/>
      <c r="U344" s="98"/>
      <c r="V344" s="101"/>
      <c r="W344" s="104"/>
      <c r="X344" s="98"/>
      <c r="Y344" s="98"/>
      <c r="Z344" s="98"/>
      <c r="AA344" s="101"/>
      <c r="AB344" s="135"/>
    </row>
    <row r="345" spans="1:28" ht="15.75" customHeight="1" x14ac:dyDescent="0.25">
      <c r="A345" s="136">
        <f>ESCUADRAS!B69</f>
        <v>63</v>
      </c>
      <c r="B345" s="136">
        <f>ESCUADRAS!C69</f>
        <v>0</v>
      </c>
      <c r="C345" s="111"/>
      <c r="D345" s="105"/>
      <c r="E345" s="105"/>
      <c r="F345" s="105"/>
      <c r="G345" s="108"/>
      <c r="H345" s="122"/>
      <c r="I345" s="120"/>
      <c r="J345" s="120"/>
      <c r="K345" s="120"/>
      <c r="L345" s="121"/>
      <c r="M345" s="122"/>
      <c r="N345" s="120"/>
      <c r="O345" s="120"/>
      <c r="P345" s="120"/>
      <c r="Q345" s="121"/>
      <c r="R345" s="122"/>
      <c r="S345" s="120"/>
      <c r="T345" s="120"/>
      <c r="U345" s="120"/>
      <c r="V345" s="121"/>
      <c r="W345" s="122"/>
      <c r="X345" s="120"/>
      <c r="Y345" s="120"/>
      <c r="Z345" s="120"/>
      <c r="AA345" s="121"/>
      <c r="AB345" s="133"/>
    </row>
    <row r="346" spans="1:28" ht="15.75" customHeight="1" x14ac:dyDescent="0.25">
      <c r="A346" s="137"/>
      <c r="B346" s="137"/>
      <c r="C346" s="112"/>
      <c r="D346" s="106"/>
      <c r="E346" s="106"/>
      <c r="F346" s="106"/>
      <c r="G346" s="109"/>
      <c r="H346" s="103"/>
      <c r="I346" s="97"/>
      <c r="J346" s="97"/>
      <c r="K346" s="97"/>
      <c r="L346" s="100"/>
      <c r="M346" s="103"/>
      <c r="N346" s="97"/>
      <c r="O346" s="97"/>
      <c r="P346" s="97"/>
      <c r="Q346" s="100"/>
      <c r="R346" s="103"/>
      <c r="S346" s="97"/>
      <c r="T346" s="97"/>
      <c r="U346" s="97"/>
      <c r="V346" s="100"/>
      <c r="W346" s="103"/>
      <c r="X346" s="97"/>
      <c r="Y346" s="97"/>
      <c r="Z346" s="97"/>
      <c r="AA346" s="100"/>
      <c r="AB346" s="134"/>
    </row>
    <row r="347" spans="1:28" ht="15.75" customHeight="1" thickBot="1" x14ac:dyDescent="0.3">
      <c r="A347" s="138"/>
      <c r="B347" s="138"/>
      <c r="C347" s="113"/>
      <c r="D347" s="107"/>
      <c r="E347" s="107"/>
      <c r="F347" s="107"/>
      <c r="G347" s="110"/>
      <c r="H347" s="104"/>
      <c r="I347" s="98"/>
      <c r="J347" s="98"/>
      <c r="K347" s="98"/>
      <c r="L347" s="101"/>
      <c r="M347" s="104"/>
      <c r="N347" s="98"/>
      <c r="O347" s="98"/>
      <c r="P347" s="98"/>
      <c r="Q347" s="101"/>
      <c r="R347" s="104"/>
      <c r="S347" s="98"/>
      <c r="T347" s="98"/>
      <c r="U347" s="98"/>
      <c r="V347" s="101"/>
      <c r="W347" s="104"/>
      <c r="X347" s="98"/>
      <c r="Y347" s="98"/>
      <c r="Z347" s="98"/>
      <c r="AA347" s="101"/>
      <c r="AB347" s="135"/>
    </row>
    <row r="348" spans="1:28" ht="15" x14ac:dyDescent="0.25">
      <c r="A348" s="28"/>
    </row>
    <row r="349" spans="1:28" ht="15" x14ac:dyDescent="0.25">
      <c r="A349" s="28"/>
      <c r="B349" s="26" t="s">
        <v>35</v>
      </c>
      <c r="E349" s="21" t="s">
        <v>41</v>
      </c>
      <c r="I349" s="21" t="s">
        <v>42</v>
      </c>
      <c r="M349" s="21" t="s">
        <v>43</v>
      </c>
      <c r="Q349" s="21" t="s">
        <v>44</v>
      </c>
      <c r="U349" s="21" t="s">
        <v>45</v>
      </c>
      <c r="Y349" s="21" t="s">
        <v>46</v>
      </c>
    </row>
    <row r="350" spans="1:28" ht="15" x14ac:dyDescent="0.25">
      <c r="A350" s="28"/>
    </row>
    <row r="354" spans="1:32" ht="24.6" x14ac:dyDescent="0.25">
      <c r="A354" s="144" t="str">
        <f>'INSCRIPCION '!A$1</f>
        <v>TIRADA</v>
      </c>
      <c r="B354" s="144"/>
      <c r="C354" s="144"/>
      <c r="D354" s="144"/>
      <c r="E354" s="144"/>
      <c r="F354" s="144"/>
      <c r="G354" s="144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  <c r="AF354" s="144"/>
    </row>
    <row r="355" spans="1:32" ht="19.5" customHeight="1" x14ac:dyDescent="0.4">
      <c r="A355" s="23"/>
      <c r="B355" s="23"/>
    </row>
    <row r="356" spans="1:32" ht="21.75" customHeight="1" x14ac:dyDescent="0.25">
      <c r="A356" s="132" t="str">
        <f>'INSCRIPCION '!A$2</f>
        <v>CAMPO DE TIRO LA ISLA</v>
      </c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L356" s="132"/>
      <c r="M356" s="13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  <c r="Y356" s="132"/>
      <c r="Z356" s="132"/>
      <c r="AA356" s="132"/>
      <c r="AB356" s="132"/>
      <c r="AC356" s="132"/>
      <c r="AD356" s="132"/>
      <c r="AE356" s="132"/>
      <c r="AF356" s="132"/>
    </row>
    <row r="357" spans="1:32" ht="19.5" customHeight="1" x14ac:dyDescent="0.25">
      <c r="A357" s="143" t="str">
        <f>'INSCRIPCION '!A$3</f>
        <v>XXX PLATOS</v>
      </c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</row>
    <row r="358" spans="1:32" ht="22.8" x14ac:dyDescent="0.4">
      <c r="A358" s="24"/>
      <c r="B358" s="24"/>
    </row>
    <row r="359" spans="1:32" ht="17.399999999999999" x14ac:dyDescent="0.3">
      <c r="A359" s="25" t="s">
        <v>20</v>
      </c>
      <c r="B359" s="25"/>
      <c r="J359" s="9" t="s">
        <v>6</v>
      </c>
      <c r="K359" s="9"/>
      <c r="L359" s="9"/>
      <c r="M359" s="9"/>
      <c r="N359" s="9"/>
      <c r="O359" s="22">
        <v>3</v>
      </c>
      <c r="P359" s="22"/>
      <c r="Q359" s="8"/>
      <c r="R359" s="8"/>
      <c r="S359" s="7"/>
      <c r="T359" s="8"/>
      <c r="U359" s="8"/>
      <c r="V359" s="9" t="s">
        <v>7</v>
      </c>
      <c r="W359" s="9"/>
      <c r="X359" s="9"/>
      <c r="Y359" s="9"/>
      <c r="Z359" s="22">
        <v>4</v>
      </c>
      <c r="AA359" s="22"/>
    </row>
    <row r="360" spans="1:32" ht="13.8" thickBot="1" x14ac:dyDescent="0.3"/>
    <row r="361" spans="1:32" ht="15.6" thickBot="1" x14ac:dyDescent="0.3">
      <c r="A361" s="27" t="s">
        <v>0</v>
      </c>
      <c r="B361" s="27" t="s">
        <v>8</v>
      </c>
      <c r="C361" s="47">
        <v>1</v>
      </c>
      <c r="D361" s="48">
        <v>2</v>
      </c>
      <c r="E361" s="48">
        <v>3</v>
      </c>
      <c r="F361" s="48">
        <v>4</v>
      </c>
      <c r="G361" s="49">
        <v>5</v>
      </c>
      <c r="H361" s="47">
        <v>6</v>
      </c>
      <c r="I361" s="48">
        <v>7</v>
      </c>
      <c r="J361" s="48">
        <v>8</v>
      </c>
      <c r="K361" s="48">
        <v>9</v>
      </c>
      <c r="L361" s="49">
        <v>10</v>
      </c>
      <c r="M361" s="47">
        <v>11</v>
      </c>
      <c r="N361" s="48">
        <v>12</v>
      </c>
      <c r="O361" s="48">
        <v>13</v>
      </c>
      <c r="P361" s="48">
        <v>14</v>
      </c>
      <c r="Q361" s="49">
        <v>15</v>
      </c>
      <c r="R361" s="47">
        <v>16</v>
      </c>
      <c r="S361" s="48">
        <v>17</v>
      </c>
      <c r="T361" s="48">
        <v>18</v>
      </c>
      <c r="U361" s="48">
        <v>19</v>
      </c>
      <c r="V361" s="49">
        <v>20</v>
      </c>
      <c r="W361" s="47">
        <v>21</v>
      </c>
      <c r="X361" s="48">
        <v>22</v>
      </c>
      <c r="Y361" s="48">
        <v>23</v>
      </c>
      <c r="Z361" s="48">
        <v>24</v>
      </c>
      <c r="AA361" s="49">
        <v>25</v>
      </c>
      <c r="AB361" s="30" t="s">
        <v>1</v>
      </c>
    </row>
    <row r="362" spans="1:32" ht="15.75" customHeight="1" x14ac:dyDescent="0.25">
      <c r="A362" s="136">
        <f>ESCUADRAS!B76</f>
        <v>70</v>
      </c>
      <c r="B362" s="136">
        <f>ESCUADRAS!C76</f>
        <v>0</v>
      </c>
      <c r="C362" s="129"/>
      <c r="D362" s="114"/>
      <c r="E362" s="114"/>
      <c r="F362" s="114"/>
      <c r="G362" s="117"/>
      <c r="H362" s="111"/>
      <c r="I362" s="105"/>
      <c r="J362" s="105"/>
      <c r="K362" s="105"/>
      <c r="L362" s="108"/>
      <c r="M362" s="111"/>
      <c r="N362" s="105"/>
      <c r="O362" s="105"/>
      <c r="P362" s="105"/>
      <c r="Q362" s="108"/>
      <c r="R362" s="111"/>
      <c r="S362" s="105"/>
      <c r="T362" s="105"/>
      <c r="U362" s="105"/>
      <c r="V362" s="108"/>
      <c r="W362" s="111"/>
      <c r="X362" s="105"/>
      <c r="Y362" s="105"/>
      <c r="Z362" s="105"/>
      <c r="AA362" s="108"/>
      <c r="AB362" s="133"/>
    </row>
    <row r="363" spans="1:32" ht="15.75" customHeight="1" x14ac:dyDescent="0.25">
      <c r="A363" s="137"/>
      <c r="B363" s="137"/>
      <c r="C363" s="130"/>
      <c r="D363" s="115"/>
      <c r="E363" s="115"/>
      <c r="F363" s="115"/>
      <c r="G363" s="118"/>
      <c r="H363" s="112"/>
      <c r="I363" s="106"/>
      <c r="J363" s="106"/>
      <c r="K363" s="106"/>
      <c r="L363" s="109"/>
      <c r="M363" s="112"/>
      <c r="N363" s="106"/>
      <c r="O363" s="106"/>
      <c r="P363" s="106"/>
      <c r="Q363" s="109"/>
      <c r="R363" s="112"/>
      <c r="S363" s="106"/>
      <c r="T363" s="106"/>
      <c r="U363" s="106"/>
      <c r="V363" s="109"/>
      <c r="W363" s="112"/>
      <c r="X363" s="106"/>
      <c r="Y363" s="106"/>
      <c r="Z363" s="106"/>
      <c r="AA363" s="109"/>
      <c r="AB363" s="134"/>
    </row>
    <row r="364" spans="1:32" ht="15.75" customHeight="1" thickBot="1" x14ac:dyDescent="0.3">
      <c r="A364" s="138"/>
      <c r="B364" s="138"/>
      <c r="C364" s="131"/>
      <c r="D364" s="116"/>
      <c r="E364" s="116"/>
      <c r="F364" s="116"/>
      <c r="G364" s="119"/>
      <c r="H364" s="113"/>
      <c r="I364" s="107"/>
      <c r="J364" s="107"/>
      <c r="K364" s="107"/>
      <c r="L364" s="110"/>
      <c r="M364" s="113"/>
      <c r="N364" s="107"/>
      <c r="O364" s="107"/>
      <c r="P364" s="107"/>
      <c r="Q364" s="110"/>
      <c r="R364" s="113"/>
      <c r="S364" s="107"/>
      <c r="T364" s="107"/>
      <c r="U364" s="107"/>
      <c r="V364" s="110"/>
      <c r="W364" s="113"/>
      <c r="X364" s="107"/>
      <c r="Y364" s="107"/>
      <c r="Z364" s="107"/>
      <c r="AA364" s="110"/>
      <c r="AB364" s="135"/>
    </row>
    <row r="365" spans="1:32" ht="15.75" customHeight="1" x14ac:dyDescent="0.25">
      <c r="A365" s="136">
        <f>ESCUADRAS!B77</f>
        <v>71</v>
      </c>
      <c r="B365" s="136">
        <f>ESCUADRAS!C77</f>
        <v>0</v>
      </c>
      <c r="C365" s="93"/>
      <c r="D365" s="123"/>
      <c r="E365" s="123"/>
      <c r="F365" s="123"/>
      <c r="G365" s="126"/>
      <c r="H365" s="102"/>
      <c r="I365" s="96"/>
      <c r="J365" s="96"/>
      <c r="K365" s="96"/>
      <c r="L365" s="99"/>
      <c r="M365" s="102"/>
      <c r="N365" s="96"/>
      <c r="O365" s="96"/>
      <c r="P365" s="96"/>
      <c r="Q365" s="99"/>
      <c r="R365" s="102"/>
      <c r="S365" s="96"/>
      <c r="T365" s="96"/>
      <c r="U365" s="96"/>
      <c r="V365" s="99"/>
      <c r="W365" s="111"/>
      <c r="X365" s="105"/>
      <c r="Y365" s="105"/>
      <c r="Z365" s="105"/>
      <c r="AA365" s="108"/>
      <c r="AB365" s="133"/>
    </row>
    <row r="366" spans="1:32" ht="15.75" customHeight="1" x14ac:dyDescent="0.25">
      <c r="A366" s="137"/>
      <c r="B366" s="137"/>
      <c r="C366" s="94"/>
      <c r="D366" s="124"/>
      <c r="E366" s="124"/>
      <c r="F366" s="124"/>
      <c r="G366" s="127"/>
      <c r="H366" s="103"/>
      <c r="I366" s="97"/>
      <c r="J366" s="97"/>
      <c r="K366" s="97"/>
      <c r="L366" s="100"/>
      <c r="M366" s="103"/>
      <c r="N366" s="97"/>
      <c r="O366" s="97"/>
      <c r="P366" s="97"/>
      <c r="Q366" s="100"/>
      <c r="R366" s="103"/>
      <c r="S366" s="97"/>
      <c r="T366" s="97"/>
      <c r="U366" s="97"/>
      <c r="V366" s="100"/>
      <c r="W366" s="112"/>
      <c r="X366" s="106"/>
      <c r="Y366" s="106"/>
      <c r="Z366" s="106"/>
      <c r="AA366" s="109"/>
      <c r="AB366" s="134"/>
    </row>
    <row r="367" spans="1:32" ht="15.75" customHeight="1" thickBot="1" x14ac:dyDescent="0.3">
      <c r="A367" s="138"/>
      <c r="B367" s="138"/>
      <c r="C367" s="95"/>
      <c r="D367" s="125"/>
      <c r="E367" s="125"/>
      <c r="F367" s="125"/>
      <c r="G367" s="128"/>
      <c r="H367" s="104"/>
      <c r="I367" s="98"/>
      <c r="J367" s="98"/>
      <c r="K367" s="98"/>
      <c r="L367" s="101"/>
      <c r="M367" s="104"/>
      <c r="N367" s="98"/>
      <c r="O367" s="98"/>
      <c r="P367" s="98"/>
      <c r="Q367" s="101"/>
      <c r="R367" s="104"/>
      <c r="S367" s="98"/>
      <c r="T367" s="98"/>
      <c r="U367" s="98"/>
      <c r="V367" s="101"/>
      <c r="W367" s="113"/>
      <c r="X367" s="107"/>
      <c r="Y367" s="107"/>
      <c r="Z367" s="107"/>
      <c r="AA367" s="110"/>
      <c r="AB367" s="135"/>
    </row>
    <row r="368" spans="1:32" ht="15.75" customHeight="1" x14ac:dyDescent="0.25">
      <c r="A368" s="136">
        <f>ESCUADRAS!B78</f>
        <v>72</v>
      </c>
      <c r="B368" s="136">
        <f>ESCUADRAS!C78</f>
        <v>0</v>
      </c>
      <c r="C368" s="93"/>
      <c r="D368" s="123"/>
      <c r="E368" s="123"/>
      <c r="F368" s="123"/>
      <c r="G368" s="126"/>
      <c r="H368" s="102"/>
      <c r="I368" s="96"/>
      <c r="J368" s="96"/>
      <c r="K368" s="96"/>
      <c r="L368" s="99"/>
      <c r="M368" s="102"/>
      <c r="N368" s="96"/>
      <c r="O368" s="96"/>
      <c r="P368" s="96"/>
      <c r="Q368" s="99"/>
      <c r="R368" s="111"/>
      <c r="S368" s="105"/>
      <c r="T368" s="105"/>
      <c r="U368" s="105"/>
      <c r="V368" s="108"/>
      <c r="W368" s="102"/>
      <c r="X368" s="96"/>
      <c r="Y368" s="96"/>
      <c r="Z368" s="96"/>
      <c r="AA368" s="99"/>
      <c r="AB368" s="133"/>
    </row>
    <row r="369" spans="1:28" ht="15.75" customHeight="1" x14ac:dyDescent="0.25">
      <c r="A369" s="137"/>
      <c r="B369" s="137"/>
      <c r="C369" s="94"/>
      <c r="D369" s="124"/>
      <c r="E369" s="124"/>
      <c r="F369" s="124"/>
      <c r="G369" s="127"/>
      <c r="H369" s="103"/>
      <c r="I369" s="97"/>
      <c r="J369" s="97"/>
      <c r="K369" s="97"/>
      <c r="L369" s="100"/>
      <c r="M369" s="103"/>
      <c r="N369" s="97"/>
      <c r="O369" s="97"/>
      <c r="P369" s="97"/>
      <c r="Q369" s="100"/>
      <c r="R369" s="112"/>
      <c r="S369" s="106"/>
      <c r="T369" s="106"/>
      <c r="U369" s="106"/>
      <c r="V369" s="109"/>
      <c r="W369" s="103"/>
      <c r="X369" s="97"/>
      <c r="Y369" s="97"/>
      <c r="Z369" s="97"/>
      <c r="AA369" s="100"/>
      <c r="AB369" s="134"/>
    </row>
    <row r="370" spans="1:28" ht="15.75" customHeight="1" thickBot="1" x14ac:dyDescent="0.3">
      <c r="A370" s="138"/>
      <c r="B370" s="138"/>
      <c r="C370" s="95"/>
      <c r="D370" s="125"/>
      <c r="E370" s="125"/>
      <c r="F370" s="125"/>
      <c r="G370" s="128"/>
      <c r="H370" s="104"/>
      <c r="I370" s="98"/>
      <c r="J370" s="98"/>
      <c r="K370" s="98"/>
      <c r="L370" s="101"/>
      <c r="M370" s="104"/>
      <c r="N370" s="98"/>
      <c r="O370" s="98"/>
      <c r="P370" s="98"/>
      <c r="Q370" s="101"/>
      <c r="R370" s="113"/>
      <c r="S370" s="107"/>
      <c r="T370" s="107"/>
      <c r="U370" s="107"/>
      <c r="V370" s="110"/>
      <c r="W370" s="104"/>
      <c r="X370" s="98"/>
      <c r="Y370" s="98"/>
      <c r="Z370" s="98"/>
      <c r="AA370" s="101"/>
      <c r="AB370" s="135"/>
    </row>
    <row r="371" spans="1:28" ht="15.75" customHeight="1" x14ac:dyDescent="0.25">
      <c r="A371" s="136">
        <f>ESCUADRAS!B73</f>
        <v>67</v>
      </c>
      <c r="B371" s="136">
        <f>ESCUADRAS!C73</f>
        <v>0</v>
      </c>
      <c r="C371" s="93"/>
      <c r="D371" s="123"/>
      <c r="E371" s="123"/>
      <c r="F371" s="123"/>
      <c r="G371" s="126"/>
      <c r="H371" s="102"/>
      <c r="I371" s="96"/>
      <c r="J371" s="96"/>
      <c r="K371" s="96"/>
      <c r="L371" s="99"/>
      <c r="M371" s="111"/>
      <c r="N371" s="105"/>
      <c r="O371" s="105"/>
      <c r="P371" s="105"/>
      <c r="Q371" s="108"/>
      <c r="R371" s="102"/>
      <c r="S371" s="96"/>
      <c r="T371" s="96"/>
      <c r="U371" s="96"/>
      <c r="V371" s="99"/>
      <c r="W371" s="102"/>
      <c r="X371" s="96"/>
      <c r="Y371" s="96"/>
      <c r="Z371" s="96"/>
      <c r="AA371" s="99"/>
      <c r="AB371" s="133"/>
    </row>
    <row r="372" spans="1:28" ht="15.75" customHeight="1" x14ac:dyDescent="0.25">
      <c r="A372" s="137"/>
      <c r="B372" s="137"/>
      <c r="C372" s="94"/>
      <c r="D372" s="124"/>
      <c r="E372" s="124"/>
      <c r="F372" s="124"/>
      <c r="G372" s="127"/>
      <c r="H372" s="103"/>
      <c r="I372" s="97"/>
      <c r="J372" s="97"/>
      <c r="K372" s="97"/>
      <c r="L372" s="100"/>
      <c r="M372" s="112"/>
      <c r="N372" s="106"/>
      <c r="O372" s="106"/>
      <c r="P372" s="106"/>
      <c r="Q372" s="109"/>
      <c r="R372" s="103"/>
      <c r="S372" s="97"/>
      <c r="T372" s="97"/>
      <c r="U372" s="97"/>
      <c r="V372" s="100"/>
      <c r="W372" s="103"/>
      <c r="X372" s="97"/>
      <c r="Y372" s="97"/>
      <c r="Z372" s="97"/>
      <c r="AA372" s="100"/>
      <c r="AB372" s="134"/>
    </row>
    <row r="373" spans="1:28" ht="15.75" customHeight="1" thickBot="1" x14ac:dyDescent="0.3">
      <c r="A373" s="138"/>
      <c r="B373" s="138"/>
      <c r="C373" s="95"/>
      <c r="D373" s="125"/>
      <c r="E373" s="125"/>
      <c r="F373" s="125"/>
      <c r="G373" s="128"/>
      <c r="H373" s="104"/>
      <c r="I373" s="98"/>
      <c r="J373" s="98"/>
      <c r="K373" s="98"/>
      <c r="L373" s="101"/>
      <c r="M373" s="113"/>
      <c r="N373" s="107"/>
      <c r="O373" s="107"/>
      <c r="P373" s="107"/>
      <c r="Q373" s="110"/>
      <c r="R373" s="104"/>
      <c r="S373" s="98"/>
      <c r="T373" s="98"/>
      <c r="U373" s="98"/>
      <c r="V373" s="101"/>
      <c r="W373" s="104"/>
      <c r="X373" s="98"/>
      <c r="Y373" s="98"/>
      <c r="Z373" s="98"/>
      <c r="AA373" s="101"/>
      <c r="AB373" s="135"/>
    </row>
    <row r="374" spans="1:28" ht="15.75" customHeight="1" x14ac:dyDescent="0.25">
      <c r="A374" s="136">
        <f>ESCUADRAS!B74</f>
        <v>68</v>
      </c>
      <c r="B374" s="136">
        <f>ESCUADRAS!C74</f>
        <v>0</v>
      </c>
      <c r="C374" s="93"/>
      <c r="D374" s="123"/>
      <c r="E374" s="123"/>
      <c r="F374" s="123"/>
      <c r="G374" s="126"/>
      <c r="H374" s="111"/>
      <c r="I374" s="105"/>
      <c r="J374" s="105"/>
      <c r="K374" s="105"/>
      <c r="L374" s="108"/>
      <c r="M374" s="102"/>
      <c r="N374" s="96"/>
      <c r="O374" s="96"/>
      <c r="P374" s="96"/>
      <c r="Q374" s="99"/>
      <c r="R374" s="102"/>
      <c r="S374" s="96"/>
      <c r="T374" s="96"/>
      <c r="U374" s="96"/>
      <c r="V374" s="99"/>
      <c r="W374" s="102"/>
      <c r="X374" s="96"/>
      <c r="Y374" s="96"/>
      <c r="Z374" s="96"/>
      <c r="AA374" s="99"/>
      <c r="AB374" s="133"/>
    </row>
    <row r="375" spans="1:28" ht="15.75" customHeight="1" x14ac:dyDescent="0.25">
      <c r="A375" s="137"/>
      <c r="B375" s="137"/>
      <c r="C375" s="94"/>
      <c r="D375" s="124"/>
      <c r="E375" s="124"/>
      <c r="F375" s="124"/>
      <c r="G375" s="127"/>
      <c r="H375" s="112"/>
      <c r="I375" s="106"/>
      <c r="J375" s="106"/>
      <c r="K375" s="106"/>
      <c r="L375" s="109"/>
      <c r="M375" s="103"/>
      <c r="N375" s="97"/>
      <c r="O375" s="97"/>
      <c r="P375" s="97"/>
      <c r="Q375" s="100"/>
      <c r="R375" s="103"/>
      <c r="S375" s="97"/>
      <c r="T375" s="97"/>
      <c r="U375" s="97"/>
      <c r="V375" s="100"/>
      <c r="W375" s="103"/>
      <c r="X375" s="97"/>
      <c r="Y375" s="97"/>
      <c r="Z375" s="97"/>
      <c r="AA375" s="100"/>
      <c r="AB375" s="134"/>
    </row>
    <row r="376" spans="1:28" ht="15.75" customHeight="1" thickBot="1" x14ac:dyDescent="0.3">
      <c r="A376" s="138"/>
      <c r="B376" s="138"/>
      <c r="C376" s="95"/>
      <c r="D376" s="125"/>
      <c r="E376" s="125"/>
      <c r="F376" s="125"/>
      <c r="G376" s="128"/>
      <c r="H376" s="113"/>
      <c r="I376" s="107"/>
      <c r="J376" s="107"/>
      <c r="K376" s="107"/>
      <c r="L376" s="110"/>
      <c r="M376" s="104"/>
      <c r="N376" s="98"/>
      <c r="O376" s="98"/>
      <c r="P376" s="98"/>
      <c r="Q376" s="101"/>
      <c r="R376" s="104"/>
      <c r="S376" s="98"/>
      <c r="T376" s="98"/>
      <c r="U376" s="98"/>
      <c r="V376" s="101"/>
      <c r="W376" s="104"/>
      <c r="X376" s="98"/>
      <c r="Y376" s="98"/>
      <c r="Z376" s="98"/>
      <c r="AA376" s="101"/>
      <c r="AB376" s="135"/>
    </row>
    <row r="377" spans="1:28" ht="15.75" customHeight="1" x14ac:dyDescent="0.25">
      <c r="A377" s="136">
        <f>ESCUADRAS!B75</f>
        <v>69</v>
      </c>
      <c r="B377" s="136">
        <f>ESCUADRAS!C75</f>
        <v>0</v>
      </c>
      <c r="C377" s="111"/>
      <c r="D377" s="105"/>
      <c r="E377" s="105"/>
      <c r="F377" s="105"/>
      <c r="G377" s="108"/>
      <c r="H377" s="122"/>
      <c r="I377" s="120"/>
      <c r="J377" s="120"/>
      <c r="K377" s="120"/>
      <c r="L377" s="121"/>
      <c r="M377" s="122"/>
      <c r="N377" s="120"/>
      <c r="O377" s="120"/>
      <c r="P377" s="120"/>
      <c r="Q377" s="121"/>
      <c r="R377" s="122"/>
      <c r="S377" s="120"/>
      <c r="T377" s="120"/>
      <c r="U377" s="120"/>
      <c r="V377" s="121"/>
      <c r="W377" s="122"/>
      <c r="X377" s="120"/>
      <c r="Y377" s="120"/>
      <c r="Z377" s="120"/>
      <c r="AA377" s="121"/>
      <c r="AB377" s="133"/>
    </row>
    <row r="378" spans="1:28" ht="15.75" customHeight="1" x14ac:dyDescent="0.25">
      <c r="A378" s="137"/>
      <c r="B378" s="137"/>
      <c r="C378" s="112"/>
      <c r="D378" s="106"/>
      <c r="E378" s="106"/>
      <c r="F378" s="106"/>
      <c r="G378" s="109"/>
      <c r="H378" s="103"/>
      <c r="I378" s="97"/>
      <c r="J378" s="97"/>
      <c r="K378" s="97"/>
      <c r="L378" s="100"/>
      <c r="M378" s="103"/>
      <c r="N378" s="97"/>
      <c r="O378" s="97"/>
      <c r="P378" s="97"/>
      <c r="Q378" s="100"/>
      <c r="R378" s="103"/>
      <c r="S378" s="97"/>
      <c r="T378" s="97"/>
      <c r="U378" s="97"/>
      <c r="V378" s="100"/>
      <c r="W378" s="103"/>
      <c r="X378" s="97"/>
      <c r="Y378" s="97"/>
      <c r="Z378" s="97"/>
      <c r="AA378" s="100"/>
      <c r="AB378" s="134"/>
    </row>
    <row r="379" spans="1:28" ht="15.75" customHeight="1" thickBot="1" x14ac:dyDescent="0.3">
      <c r="A379" s="138"/>
      <c r="B379" s="138"/>
      <c r="C379" s="113"/>
      <c r="D379" s="107"/>
      <c r="E379" s="107"/>
      <c r="F379" s="107"/>
      <c r="G379" s="110"/>
      <c r="H379" s="104"/>
      <c r="I379" s="98"/>
      <c r="J379" s="98"/>
      <c r="K379" s="98"/>
      <c r="L379" s="101"/>
      <c r="M379" s="104"/>
      <c r="N379" s="98"/>
      <c r="O379" s="98"/>
      <c r="P379" s="98"/>
      <c r="Q379" s="101"/>
      <c r="R379" s="104"/>
      <c r="S379" s="98"/>
      <c r="T379" s="98"/>
      <c r="U379" s="98"/>
      <c r="V379" s="101"/>
      <c r="W379" s="104"/>
      <c r="X379" s="98"/>
      <c r="Y379" s="98"/>
      <c r="Z379" s="98"/>
      <c r="AA379" s="101"/>
      <c r="AB379" s="135"/>
    </row>
    <row r="380" spans="1:28" ht="15" x14ac:dyDescent="0.25">
      <c r="A380" s="28"/>
    </row>
    <row r="381" spans="1:28" ht="15" x14ac:dyDescent="0.25">
      <c r="A381" s="28"/>
      <c r="B381" s="26" t="s">
        <v>35</v>
      </c>
      <c r="E381" s="21" t="s">
        <v>41</v>
      </c>
      <c r="I381" s="21" t="s">
        <v>42</v>
      </c>
      <c r="M381" s="21" t="s">
        <v>43</v>
      </c>
      <c r="Q381" s="21" t="s">
        <v>44</v>
      </c>
      <c r="U381" s="21" t="s">
        <v>45</v>
      </c>
      <c r="Y381" s="21" t="s">
        <v>46</v>
      </c>
    </row>
    <row r="382" spans="1:28" ht="15" x14ac:dyDescent="0.25">
      <c r="A382" s="28"/>
    </row>
    <row r="386" spans="1:32" ht="24.6" x14ac:dyDescent="0.25">
      <c r="A386" s="144" t="str">
        <f>'INSCRIPCION '!A$1</f>
        <v>TIRADA</v>
      </c>
      <c r="B386" s="144"/>
      <c r="C386" s="144"/>
      <c r="D386" s="144"/>
      <c r="E386" s="144"/>
      <c r="F386" s="144"/>
      <c r="G386" s="144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  <c r="AF386" s="144"/>
    </row>
    <row r="387" spans="1:32" ht="19.5" customHeight="1" x14ac:dyDescent="0.4">
      <c r="A387" s="23"/>
      <c r="B387" s="23"/>
    </row>
    <row r="388" spans="1:32" ht="21.75" customHeight="1" x14ac:dyDescent="0.25">
      <c r="A388" s="132" t="str">
        <f>'INSCRIPCION '!A$2</f>
        <v>CAMPO DE TIRO LA ISLA</v>
      </c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3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32"/>
      <c r="AF388" s="132"/>
    </row>
    <row r="389" spans="1:32" ht="19.5" customHeight="1" x14ac:dyDescent="0.25">
      <c r="A389" s="143" t="str">
        <f>'INSCRIPCION '!A$3</f>
        <v>XXX PLATOS</v>
      </c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</row>
    <row r="390" spans="1:32" ht="22.8" x14ac:dyDescent="0.4">
      <c r="A390" s="24"/>
      <c r="B390" s="24"/>
    </row>
    <row r="391" spans="1:32" ht="17.399999999999999" x14ac:dyDescent="0.3">
      <c r="A391" s="25" t="s">
        <v>21</v>
      </c>
      <c r="B391" s="25"/>
      <c r="J391" s="9" t="s">
        <v>6</v>
      </c>
      <c r="K391" s="9"/>
      <c r="L391" s="9"/>
      <c r="M391" s="9"/>
      <c r="N391" s="9"/>
      <c r="O391" s="22">
        <v>4</v>
      </c>
      <c r="P391" s="22"/>
      <c r="Q391" s="8"/>
      <c r="R391" s="8"/>
      <c r="S391" s="7"/>
      <c r="T391" s="8"/>
      <c r="U391" s="8"/>
      <c r="V391" s="9" t="s">
        <v>7</v>
      </c>
      <c r="W391" s="9"/>
      <c r="X391" s="9"/>
      <c r="Y391" s="9"/>
      <c r="Z391" s="22">
        <v>4</v>
      </c>
      <c r="AA391" s="22"/>
    </row>
    <row r="392" spans="1:32" ht="13.8" thickBot="1" x14ac:dyDescent="0.3"/>
    <row r="393" spans="1:32" ht="15.6" thickBot="1" x14ac:dyDescent="0.3">
      <c r="A393" s="27" t="s">
        <v>0</v>
      </c>
      <c r="B393" s="27" t="s">
        <v>8</v>
      </c>
      <c r="C393" s="47">
        <v>1</v>
      </c>
      <c r="D393" s="48">
        <v>2</v>
      </c>
      <c r="E393" s="48">
        <v>3</v>
      </c>
      <c r="F393" s="48">
        <v>4</v>
      </c>
      <c r="G393" s="49">
        <v>5</v>
      </c>
      <c r="H393" s="47">
        <v>6</v>
      </c>
      <c r="I393" s="48">
        <v>7</v>
      </c>
      <c r="J393" s="48">
        <v>8</v>
      </c>
      <c r="K393" s="48">
        <v>9</v>
      </c>
      <c r="L393" s="49">
        <v>10</v>
      </c>
      <c r="M393" s="47">
        <v>11</v>
      </c>
      <c r="N393" s="48">
        <v>12</v>
      </c>
      <c r="O393" s="48">
        <v>13</v>
      </c>
      <c r="P393" s="48">
        <v>14</v>
      </c>
      <c r="Q393" s="49">
        <v>15</v>
      </c>
      <c r="R393" s="47">
        <v>16</v>
      </c>
      <c r="S393" s="48">
        <v>17</v>
      </c>
      <c r="T393" s="48">
        <v>18</v>
      </c>
      <c r="U393" s="48">
        <v>19</v>
      </c>
      <c r="V393" s="49">
        <v>20</v>
      </c>
      <c r="W393" s="47">
        <v>21</v>
      </c>
      <c r="X393" s="48">
        <v>22</v>
      </c>
      <c r="Y393" s="48">
        <v>23</v>
      </c>
      <c r="Z393" s="48">
        <v>24</v>
      </c>
      <c r="AA393" s="49">
        <v>25</v>
      </c>
      <c r="AB393" s="30" t="s">
        <v>1</v>
      </c>
    </row>
    <row r="394" spans="1:32" ht="15.75" customHeight="1" x14ac:dyDescent="0.25">
      <c r="A394" s="136">
        <f>ESCUADRAS!B82</f>
        <v>76</v>
      </c>
      <c r="B394" s="136">
        <f>ESCUADRAS!C82</f>
        <v>0</v>
      </c>
      <c r="C394" s="129"/>
      <c r="D394" s="114"/>
      <c r="E394" s="114"/>
      <c r="F394" s="114"/>
      <c r="G394" s="117"/>
      <c r="H394" s="111"/>
      <c r="I394" s="105"/>
      <c r="J394" s="105"/>
      <c r="K394" s="105"/>
      <c r="L394" s="108"/>
      <c r="M394" s="111"/>
      <c r="N394" s="105"/>
      <c r="O394" s="105"/>
      <c r="P394" s="105"/>
      <c r="Q394" s="108"/>
      <c r="R394" s="111"/>
      <c r="S394" s="105"/>
      <c r="T394" s="105"/>
      <c r="U394" s="105"/>
      <c r="V394" s="108"/>
      <c r="W394" s="111"/>
      <c r="X394" s="105"/>
      <c r="Y394" s="105"/>
      <c r="Z394" s="105"/>
      <c r="AA394" s="108"/>
      <c r="AB394" s="133"/>
    </row>
    <row r="395" spans="1:32" ht="15.75" customHeight="1" x14ac:dyDescent="0.25">
      <c r="A395" s="137"/>
      <c r="B395" s="137"/>
      <c r="C395" s="130"/>
      <c r="D395" s="115"/>
      <c r="E395" s="115"/>
      <c r="F395" s="115"/>
      <c r="G395" s="118"/>
      <c r="H395" s="112"/>
      <c r="I395" s="106"/>
      <c r="J395" s="106"/>
      <c r="K395" s="106"/>
      <c r="L395" s="109"/>
      <c r="M395" s="112"/>
      <c r="N395" s="106"/>
      <c r="O395" s="106"/>
      <c r="P395" s="106"/>
      <c r="Q395" s="109"/>
      <c r="R395" s="112"/>
      <c r="S395" s="106"/>
      <c r="T395" s="106"/>
      <c r="U395" s="106"/>
      <c r="V395" s="109"/>
      <c r="W395" s="112"/>
      <c r="X395" s="106"/>
      <c r="Y395" s="106"/>
      <c r="Z395" s="106"/>
      <c r="AA395" s="109"/>
      <c r="AB395" s="134"/>
    </row>
    <row r="396" spans="1:32" ht="15.75" customHeight="1" thickBot="1" x14ac:dyDescent="0.3">
      <c r="A396" s="138"/>
      <c r="B396" s="138"/>
      <c r="C396" s="131"/>
      <c r="D396" s="116"/>
      <c r="E396" s="116"/>
      <c r="F396" s="116"/>
      <c r="G396" s="119"/>
      <c r="H396" s="113"/>
      <c r="I396" s="107"/>
      <c r="J396" s="107"/>
      <c r="K396" s="107"/>
      <c r="L396" s="110"/>
      <c r="M396" s="113"/>
      <c r="N396" s="107"/>
      <c r="O396" s="107"/>
      <c r="P396" s="107"/>
      <c r="Q396" s="110"/>
      <c r="R396" s="113"/>
      <c r="S396" s="107"/>
      <c r="T396" s="107"/>
      <c r="U396" s="107"/>
      <c r="V396" s="110"/>
      <c r="W396" s="113"/>
      <c r="X396" s="107"/>
      <c r="Y396" s="107"/>
      <c r="Z396" s="107"/>
      <c r="AA396" s="110"/>
      <c r="AB396" s="135"/>
    </row>
    <row r="397" spans="1:32" ht="15.75" customHeight="1" x14ac:dyDescent="0.25">
      <c r="A397" s="136">
        <f>ESCUADRAS!B83</f>
        <v>77</v>
      </c>
      <c r="B397" s="136">
        <f>ESCUADRAS!C83</f>
        <v>0</v>
      </c>
      <c r="C397" s="93"/>
      <c r="D397" s="123"/>
      <c r="E397" s="123"/>
      <c r="F397" s="123"/>
      <c r="G397" s="126"/>
      <c r="H397" s="102"/>
      <c r="I397" s="96"/>
      <c r="J397" s="96"/>
      <c r="K397" s="96"/>
      <c r="L397" s="99"/>
      <c r="M397" s="102"/>
      <c r="N397" s="96"/>
      <c r="O397" s="96"/>
      <c r="P397" s="96"/>
      <c r="Q397" s="99"/>
      <c r="R397" s="102"/>
      <c r="S397" s="96"/>
      <c r="T397" s="96"/>
      <c r="U397" s="96"/>
      <c r="V397" s="99"/>
      <c r="W397" s="111"/>
      <c r="X397" s="105"/>
      <c r="Y397" s="105"/>
      <c r="Z397" s="105"/>
      <c r="AA397" s="108"/>
      <c r="AB397" s="133"/>
    </row>
    <row r="398" spans="1:32" ht="15.75" customHeight="1" x14ac:dyDescent="0.25">
      <c r="A398" s="137"/>
      <c r="B398" s="137"/>
      <c r="C398" s="94"/>
      <c r="D398" s="124"/>
      <c r="E398" s="124"/>
      <c r="F398" s="124"/>
      <c r="G398" s="127"/>
      <c r="H398" s="103"/>
      <c r="I398" s="97"/>
      <c r="J398" s="97"/>
      <c r="K398" s="97"/>
      <c r="L398" s="100"/>
      <c r="M398" s="103"/>
      <c r="N398" s="97"/>
      <c r="O398" s="97"/>
      <c r="P398" s="97"/>
      <c r="Q398" s="100"/>
      <c r="R398" s="103"/>
      <c r="S398" s="97"/>
      <c r="T398" s="97"/>
      <c r="U398" s="97"/>
      <c r="V398" s="100"/>
      <c r="W398" s="112"/>
      <c r="X398" s="106"/>
      <c r="Y398" s="106"/>
      <c r="Z398" s="106"/>
      <c r="AA398" s="109"/>
      <c r="AB398" s="134"/>
    </row>
    <row r="399" spans="1:32" ht="15.75" customHeight="1" thickBot="1" x14ac:dyDescent="0.3">
      <c r="A399" s="138"/>
      <c r="B399" s="138"/>
      <c r="C399" s="95"/>
      <c r="D399" s="125"/>
      <c r="E399" s="125"/>
      <c r="F399" s="125"/>
      <c r="G399" s="128"/>
      <c r="H399" s="104"/>
      <c r="I399" s="98"/>
      <c r="J399" s="98"/>
      <c r="K399" s="98"/>
      <c r="L399" s="101"/>
      <c r="M399" s="104"/>
      <c r="N399" s="98"/>
      <c r="O399" s="98"/>
      <c r="P399" s="98"/>
      <c r="Q399" s="101"/>
      <c r="R399" s="104"/>
      <c r="S399" s="98"/>
      <c r="T399" s="98"/>
      <c r="U399" s="98"/>
      <c r="V399" s="101"/>
      <c r="W399" s="113"/>
      <c r="X399" s="107"/>
      <c r="Y399" s="107"/>
      <c r="Z399" s="107"/>
      <c r="AA399" s="110"/>
      <c r="AB399" s="135"/>
    </row>
    <row r="400" spans="1:32" ht="15.75" customHeight="1" x14ac:dyDescent="0.25">
      <c r="A400" s="136">
        <f>ESCUADRAS!B84</f>
        <v>78</v>
      </c>
      <c r="B400" s="136">
        <f>ESCUADRAS!C84</f>
        <v>0</v>
      </c>
      <c r="C400" s="93"/>
      <c r="D400" s="123"/>
      <c r="E400" s="123"/>
      <c r="F400" s="123"/>
      <c r="G400" s="126"/>
      <c r="H400" s="102"/>
      <c r="I400" s="96"/>
      <c r="J400" s="96"/>
      <c r="K400" s="96"/>
      <c r="L400" s="99"/>
      <c r="M400" s="102"/>
      <c r="N400" s="96"/>
      <c r="O400" s="96"/>
      <c r="P400" s="96"/>
      <c r="Q400" s="99"/>
      <c r="R400" s="111"/>
      <c r="S400" s="105"/>
      <c r="T400" s="105"/>
      <c r="U400" s="105"/>
      <c r="V400" s="108"/>
      <c r="W400" s="102"/>
      <c r="X400" s="96"/>
      <c r="Y400" s="96"/>
      <c r="Z400" s="96"/>
      <c r="AA400" s="99"/>
      <c r="AB400" s="133"/>
    </row>
    <row r="401" spans="1:28" ht="15.75" customHeight="1" x14ac:dyDescent="0.25">
      <c r="A401" s="137"/>
      <c r="B401" s="137"/>
      <c r="C401" s="94"/>
      <c r="D401" s="124"/>
      <c r="E401" s="124"/>
      <c r="F401" s="124"/>
      <c r="G401" s="127"/>
      <c r="H401" s="103"/>
      <c r="I401" s="97"/>
      <c r="J401" s="97"/>
      <c r="K401" s="97"/>
      <c r="L401" s="100"/>
      <c r="M401" s="103"/>
      <c r="N401" s="97"/>
      <c r="O401" s="97"/>
      <c r="P401" s="97"/>
      <c r="Q401" s="100"/>
      <c r="R401" s="112"/>
      <c r="S401" s="106"/>
      <c r="T401" s="106"/>
      <c r="U401" s="106"/>
      <c r="V401" s="109"/>
      <c r="W401" s="103"/>
      <c r="X401" s="97"/>
      <c r="Y401" s="97"/>
      <c r="Z401" s="97"/>
      <c r="AA401" s="100"/>
      <c r="AB401" s="134"/>
    </row>
    <row r="402" spans="1:28" ht="15.75" customHeight="1" thickBot="1" x14ac:dyDescent="0.3">
      <c r="A402" s="138"/>
      <c r="B402" s="138"/>
      <c r="C402" s="95"/>
      <c r="D402" s="125"/>
      <c r="E402" s="125"/>
      <c r="F402" s="125"/>
      <c r="G402" s="128"/>
      <c r="H402" s="104"/>
      <c r="I402" s="98"/>
      <c r="J402" s="98"/>
      <c r="K402" s="98"/>
      <c r="L402" s="101"/>
      <c r="M402" s="104"/>
      <c r="N402" s="98"/>
      <c r="O402" s="98"/>
      <c r="P402" s="98"/>
      <c r="Q402" s="101"/>
      <c r="R402" s="113"/>
      <c r="S402" s="107"/>
      <c r="T402" s="107"/>
      <c r="U402" s="107"/>
      <c r="V402" s="110"/>
      <c r="W402" s="104"/>
      <c r="X402" s="98"/>
      <c r="Y402" s="98"/>
      <c r="Z402" s="98"/>
      <c r="AA402" s="101"/>
      <c r="AB402" s="135"/>
    </row>
    <row r="403" spans="1:28" ht="15.75" customHeight="1" x14ac:dyDescent="0.25">
      <c r="A403" s="136">
        <f>ESCUADRAS!B79</f>
        <v>73</v>
      </c>
      <c r="B403" s="136">
        <f>ESCUADRAS!C79</f>
        <v>0</v>
      </c>
      <c r="C403" s="93"/>
      <c r="D403" s="123"/>
      <c r="E403" s="123"/>
      <c r="F403" s="123"/>
      <c r="G403" s="126"/>
      <c r="H403" s="102"/>
      <c r="I403" s="96"/>
      <c r="J403" s="96"/>
      <c r="K403" s="96"/>
      <c r="L403" s="99"/>
      <c r="M403" s="111"/>
      <c r="N403" s="105"/>
      <c r="O403" s="105"/>
      <c r="P403" s="105"/>
      <c r="Q403" s="108"/>
      <c r="R403" s="102"/>
      <c r="S403" s="96"/>
      <c r="T403" s="96"/>
      <c r="U403" s="96"/>
      <c r="V403" s="99"/>
      <c r="W403" s="102"/>
      <c r="X403" s="96"/>
      <c r="Y403" s="96"/>
      <c r="Z403" s="96"/>
      <c r="AA403" s="99"/>
      <c r="AB403" s="133"/>
    </row>
    <row r="404" spans="1:28" ht="15.75" customHeight="1" x14ac:dyDescent="0.25">
      <c r="A404" s="137"/>
      <c r="B404" s="137"/>
      <c r="C404" s="94"/>
      <c r="D404" s="124"/>
      <c r="E404" s="124"/>
      <c r="F404" s="124"/>
      <c r="G404" s="127"/>
      <c r="H404" s="103"/>
      <c r="I404" s="97"/>
      <c r="J404" s="97"/>
      <c r="K404" s="97"/>
      <c r="L404" s="100"/>
      <c r="M404" s="112"/>
      <c r="N404" s="106"/>
      <c r="O404" s="106"/>
      <c r="P404" s="106"/>
      <c r="Q404" s="109"/>
      <c r="R404" s="103"/>
      <c r="S404" s="97"/>
      <c r="T404" s="97"/>
      <c r="U404" s="97"/>
      <c r="V404" s="100"/>
      <c r="W404" s="103"/>
      <c r="X404" s="97"/>
      <c r="Y404" s="97"/>
      <c r="Z404" s="97"/>
      <c r="AA404" s="100"/>
      <c r="AB404" s="134"/>
    </row>
    <row r="405" spans="1:28" ht="15.75" customHeight="1" thickBot="1" x14ac:dyDescent="0.3">
      <c r="A405" s="138"/>
      <c r="B405" s="138"/>
      <c r="C405" s="95"/>
      <c r="D405" s="125"/>
      <c r="E405" s="125"/>
      <c r="F405" s="125"/>
      <c r="G405" s="128"/>
      <c r="H405" s="104"/>
      <c r="I405" s="98"/>
      <c r="J405" s="98"/>
      <c r="K405" s="98"/>
      <c r="L405" s="101"/>
      <c r="M405" s="113"/>
      <c r="N405" s="107"/>
      <c r="O405" s="107"/>
      <c r="P405" s="107"/>
      <c r="Q405" s="110"/>
      <c r="R405" s="104"/>
      <c r="S405" s="98"/>
      <c r="T405" s="98"/>
      <c r="U405" s="98"/>
      <c r="V405" s="101"/>
      <c r="W405" s="104"/>
      <c r="X405" s="98"/>
      <c r="Y405" s="98"/>
      <c r="Z405" s="98"/>
      <c r="AA405" s="101"/>
      <c r="AB405" s="135"/>
    </row>
    <row r="406" spans="1:28" ht="15.75" customHeight="1" x14ac:dyDescent="0.25">
      <c r="A406" s="136">
        <f>ESCUADRAS!B80</f>
        <v>74</v>
      </c>
      <c r="B406" s="136">
        <f>ESCUADRAS!C80</f>
        <v>0</v>
      </c>
      <c r="C406" s="93"/>
      <c r="D406" s="123"/>
      <c r="E406" s="123"/>
      <c r="F406" s="123"/>
      <c r="G406" s="126"/>
      <c r="H406" s="111"/>
      <c r="I406" s="105"/>
      <c r="J406" s="105"/>
      <c r="K406" s="105"/>
      <c r="L406" s="108"/>
      <c r="M406" s="102"/>
      <c r="N406" s="96"/>
      <c r="O406" s="96"/>
      <c r="P406" s="96"/>
      <c r="Q406" s="99"/>
      <c r="R406" s="102"/>
      <c r="S406" s="96"/>
      <c r="T406" s="96"/>
      <c r="U406" s="96"/>
      <c r="V406" s="99"/>
      <c r="W406" s="102"/>
      <c r="X406" s="96"/>
      <c r="Y406" s="96"/>
      <c r="Z406" s="96"/>
      <c r="AA406" s="99"/>
      <c r="AB406" s="133"/>
    </row>
    <row r="407" spans="1:28" ht="15.75" customHeight="1" x14ac:dyDescent="0.25">
      <c r="A407" s="137"/>
      <c r="B407" s="137"/>
      <c r="C407" s="94"/>
      <c r="D407" s="124"/>
      <c r="E407" s="124"/>
      <c r="F407" s="124"/>
      <c r="G407" s="127"/>
      <c r="H407" s="112"/>
      <c r="I407" s="106"/>
      <c r="J407" s="106"/>
      <c r="K407" s="106"/>
      <c r="L407" s="109"/>
      <c r="M407" s="103"/>
      <c r="N407" s="97"/>
      <c r="O407" s="97"/>
      <c r="P407" s="97"/>
      <c r="Q407" s="100"/>
      <c r="R407" s="103"/>
      <c r="S407" s="97"/>
      <c r="T407" s="97"/>
      <c r="U407" s="97"/>
      <c r="V407" s="100"/>
      <c r="W407" s="103"/>
      <c r="X407" s="97"/>
      <c r="Y407" s="97"/>
      <c r="Z407" s="97"/>
      <c r="AA407" s="100"/>
      <c r="AB407" s="134"/>
    </row>
    <row r="408" spans="1:28" ht="15.75" customHeight="1" thickBot="1" x14ac:dyDescent="0.3">
      <c r="A408" s="138"/>
      <c r="B408" s="138"/>
      <c r="C408" s="95"/>
      <c r="D408" s="125"/>
      <c r="E408" s="125"/>
      <c r="F408" s="125"/>
      <c r="G408" s="128"/>
      <c r="H408" s="113"/>
      <c r="I408" s="107"/>
      <c r="J408" s="107"/>
      <c r="K408" s="107"/>
      <c r="L408" s="110"/>
      <c r="M408" s="104"/>
      <c r="N408" s="98"/>
      <c r="O408" s="98"/>
      <c r="P408" s="98"/>
      <c r="Q408" s="101"/>
      <c r="R408" s="104"/>
      <c r="S408" s="98"/>
      <c r="T408" s="98"/>
      <c r="U408" s="98"/>
      <c r="V408" s="101"/>
      <c r="W408" s="104"/>
      <c r="X408" s="98"/>
      <c r="Y408" s="98"/>
      <c r="Z408" s="98"/>
      <c r="AA408" s="101"/>
      <c r="AB408" s="135"/>
    </row>
    <row r="409" spans="1:28" ht="15.75" customHeight="1" x14ac:dyDescent="0.25">
      <c r="A409" s="136">
        <f>ESCUADRAS!B81</f>
        <v>75</v>
      </c>
      <c r="B409" s="136">
        <f>ESCUADRAS!C81</f>
        <v>0</v>
      </c>
      <c r="C409" s="111"/>
      <c r="D409" s="105"/>
      <c r="E409" s="105"/>
      <c r="F409" s="105"/>
      <c r="G409" s="108"/>
      <c r="H409" s="122"/>
      <c r="I409" s="120"/>
      <c r="J409" s="120"/>
      <c r="K409" s="120"/>
      <c r="L409" s="121"/>
      <c r="M409" s="122"/>
      <c r="N409" s="120"/>
      <c r="O409" s="120"/>
      <c r="P409" s="120"/>
      <c r="Q409" s="121"/>
      <c r="R409" s="122"/>
      <c r="S409" s="120"/>
      <c r="T409" s="120"/>
      <c r="U409" s="120"/>
      <c r="V409" s="121"/>
      <c r="W409" s="122"/>
      <c r="X409" s="120"/>
      <c r="Y409" s="120"/>
      <c r="Z409" s="120"/>
      <c r="AA409" s="121"/>
      <c r="AB409" s="133"/>
    </row>
    <row r="410" spans="1:28" ht="15.75" customHeight="1" x14ac:dyDescent="0.25">
      <c r="A410" s="137"/>
      <c r="B410" s="137"/>
      <c r="C410" s="112"/>
      <c r="D410" s="106"/>
      <c r="E410" s="106"/>
      <c r="F410" s="106"/>
      <c r="G410" s="109"/>
      <c r="H410" s="103"/>
      <c r="I410" s="97"/>
      <c r="J410" s="97"/>
      <c r="K410" s="97"/>
      <c r="L410" s="100"/>
      <c r="M410" s="103"/>
      <c r="N410" s="97"/>
      <c r="O410" s="97"/>
      <c r="P410" s="97"/>
      <c r="Q410" s="100"/>
      <c r="R410" s="103"/>
      <c r="S410" s="97"/>
      <c r="T410" s="97"/>
      <c r="U410" s="97"/>
      <c r="V410" s="100"/>
      <c r="W410" s="103"/>
      <c r="X410" s="97"/>
      <c r="Y410" s="97"/>
      <c r="Z410" s="97"/>
      <c r="AA410" s="100"/>
      <c r="AB410" s="134"/>
    </row>
    <row r="411" spans="1:28" ht="15.75" customHeight="1" thickBot="1" x14ac:dyDescent="0.3">
      <c r="A411" s="138"/>
      <c r="B411" s="138"/>
      <c r="C411" s="113"/>
      <c r="D411" s="107"/>
      <c r="E411" s="107"/>
      <c r="F411" s="107"/>
      <c r="G411" s="110"/>
      <c r="H411" s="104"/>
      <c r="I411" s="98"/>
      <c r="J411" s="98"/>
      <c r="K411" s="98"/>
      <c r="L411" s="101"/>
      <c r="M411" s="104"/>
      <c r="N411" s="98"/>
      <c r="O411" s="98"/>
      <c r="P411" s="98"/>
      <c r="Q411" s="101"/>
      <c r="R411" s="104"/>
      <c r="S411" s="98"/>
      <c r="T411" s="98"/>
      <c r="U411" s="98"/>
      <c r="V411" s="101"/>
      <c r="W411" s="104"/>
      <c r="X411" s="98"/>
      <c r="Y411" s="98"/>
      <c r="Z411" s="98"/>
      <c r="AA411" s="101"/>
      <c r="AB411" s="135"/>
    </row>
    <row r="412" spans="1:28" ht="15" x14ac:dyDescent="0.25">
      <c r="A412" s="28"/>
    </row>
    <row r="413" spans="1:28" ht="15" x14ac:dyDescent="0.25">
      <c r="A413" s="28"/>
      <c r="B413" s="26" t="s">
        <v>35</v>
      </c>
      <c r="E413" s="21" t="s">
        <v>41</v>
      </c>
      <c r="I413" s="21" t="s">
        <v>42</v>
      </c>
      <c r="M413" s="21" t="s">
        <v>43</v>
      </c>
      <c r="Q413" s="21" t="s">
        <v>44</v>
      </c>
      <c r="U413" s="21" t="s">
        <v>45</v>
      </c>
      <c r="Y413" s="21" t="s">
        <v>46</v>
      </c>
    </row>
    <row r="414" spans="1:28" ht="15" x14ac:dyDescent="0.25">
      <c r="A414" s="28"/>
    </row>
    <row r="418" spans="1:32" ht="24.6" x14ac:dyDescent="0.25">
      <c r="A418" s="144" t="str">
        <f>'INSCRIPCION '!A$1</f>
        <v>TIRADA</v>
      </c>
      <c r="B418" s="144"/>
      <c r="C418" s="144"/>
      <c r="D418" s="144"/>
      <c r="E418" s="144"/>
      <c r="F418" s="144"/>
      <c r="G418" s="144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  <c r="AF418" s="144"/>
    </row>
    <row r="419" spans="1:32" ht="19.5" customHeight="1" x14ac:dyDescent="0.4">
      <c r="A419" s="23"/>
      <c r="B419" s="23"/>
    </row>
    <row r="420" spans="1:32" ht="22.5" customHeight="1" x14ac:dyDescent="0.25">
      <c r="A420" s="132" t="str">
        <f>'INSCRIPCION '!A$2</f>
        <v>CAMPO DE TIRO LA ISLA</v>
      </c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3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32"/>
      <c r="AF420" s="132"/>
    </row>
    <row r="421" spans="1:32" ht="19.5" customHeight="1" x14ac:dyDescent="0.25">
      <c r="A421" s="143" t="str">
        <f>'INSCRIPCION '!A$3</f>
        <v>XXX PLATOS</v>
      </c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</row>
    <row r="422" spans="1:32" ht="22.8" x14ac:dyDescent="0.4">
      <c r="A422" s="24"/>
      <c r="B422" s="24"/>
    </row>
    <row r="423" spans="1:32" ht="17.399999999999999" x14ac:dyDescent="0.3">
      <c r="A423" s="25" t="s">
        <v>22</v>
      </c>
      <c r="B423" s="25"/>
      <c r="J423" s="9" t="s">
        <v>6</v>
      </c>
      <c r="K423" s="9"/>
      <c r="L423" s="9"/>
      <c r="M423" s="9"/>
      <c r="N423" s="9"/>
      <c r="O423" s="22">
        <v>1</v>
      </c>
      <c r="P423" s="22"/>
      <c r="Q423" s="8"/>
      <c r="R423" s="8"/>
      <c r="S423" s="7"/>
      <c r="T423" s="8"/>
      <c r="U423" s="8"/>
      <c r="V423" s="9" t="s">
        <v>7</v>
      </c>
      <c r="W423" s="9"/>
      <c r="X423" s="9"/>
      <c r="Y423" s="9"/>
      <c r="Z423" s="22">
        <v>4</v>
      </c>
      <c r="AA423" s="22"/>
    </row>
    <row r="424" spans="1:32" ht="13.8" thickBot="1" x14ac:dyDescent="0.3"/>
    <row r="425" spans="1:32" ht="15.6" thickBot="1" x14ac:dyDescent="0.3">
      <c r="A425" s="27" t="s">
        <v>0</v>
      </c>
      <c r="B425" s="27" t="s">
        <v>8</v>
      </c>
      <c r="C425" s="47">
        <v>1</v>
      </c>
      <c r="D425" s="48">
        <v>2</v>
      </c>
      <c r="E425" s="48">
        <v>3</v>
      </c>
      <c r="F425" s="48">
        <v>4</v>
      </c>
      <c r="G425" s="49">
        <v>5</v>
      </c>
      <c r="H425" s="47">
        <v>6</v>
      </c>
      <c r="I425" s="48">
        <v>7</v>
      </c>
      <c r="J425" s="48">
        <v>8</v>
      </c>
      <c r="K425" s="48">
        <v>9</v>
      </c>
      <c r="L425" s="49">
        <v>10</v>
      </c>
      <c r="M425" s="47">
        <v>11</v>
      </c>
      <c r="N425" s="48">
        <v>12</v>
      </c>
      <c r="O425" s="48">
        <v>13</v>
      </c>
      <c r="P425" s="48">
        <v>14</v>
      </c>
      <c r="Q425" s="49">
        <v>15</v>
      </c>
      <c r="R425" s="47">
        <v>16</v>
      </c>
      <c r="S425" s="48">
        <v>17</v>
      </c>
      <c r="T425" s="48">
        <v>18</v>
      </c>
      <c r="U425" s="48">
        <v>19</v>
      </c>
      <c r="V425" s="49">
        <v>20</v>
      </c>
      <c r="W425" s="47">
        <v>21</v>
      </c>
      <c r="X425" s="48">
        <v>22</v>
      </c>
      <c r="Y425" s="48">
        <v>23</v>
      </c>
      <c r="Z425" s="48">
        <v>24</v>
      </c>
      <c r="AA425" s="49">
        <v>25</v>
      </c>
      <c r="AB425" s="30" t="s">
        <v>1</v>
      </c>
    </row>
    <row r="426" spans="1:32" ht="15.75" customHeight="1" x14ac:dyDescent="0.25">
      <c r="A426" s="136">
        <f>ESCUADRAS!B88</f>
        <v>82</v>
      </c>
      <c r="B426" s="136">
        <f>ESCUADRAS!C88</f>
        <v>0</v>
      </c>
      <c r="C426" s="129"/>
      <c r="D426" s="114"/>
      <c r="E426" s="114"/>
      <c r="F426" s="114"/>
      <c r="G426" s="117"/>
      <c r="H426" s="111"/>
      <c r="I426" s="105"/>
      <c r="J426" s="105"/>
      <c r="K426" s="105"/>
      <c r="L426" s="108"/>
      <c r="M426" s="111"/>
      <c r="N426" s="105"/>
      <c r="O426" s="105"/>
      <c r="P426" s="105"/>
      <c r="Q426" s="108"/>
      <c r="R426" s="111"/>
      <c r="S426" s="105"/>
      <c r="T426" s="105"/>
      <c r="U426" s="105"/>
      <c r="V426" s="108"/>
      <c r="W426" s="111"/>
      <c r="X426" s="105"/>
      <c r="Y426" s="105"/>
      <c r="Z426" s="105"/>
      <c r="AA426" s="108"/>
      <c r="AB426" s="133"/>
    </row>
    <row r="427" spans="1:32" ht="15.75" customHeight="1" x14ac:dyDescent="0.25">
      <c r="A427" s="137"/>
      <c r="B427" s="137"/>
      <c r="C427" s="130"/>
      <c r="D427" s="115"/>
      <c r="E427" s="115"/>
      <c r="F427" s="115"/>
      <c r="G427" s="118"/>
      <c r="H427" s="112"/>
      <c r="I427" s="106"/>
      <c r="J427" s="106"/>
      <c r="K427" s="106"/>
      <c r="L427" s="109"/>
      <c r="M427" s="112"/>
      <c r="N427" s="106"/>
      <c r="O427" s="106"/>
      <c r="P427" s="106"/>
      <c r="Q427" s="109"/>
      <c r="R427" s="112"/>
      <c r="S427" s="106"/>
      <c r="T427" s="106"/>
      <c r="U427" s="106"/>
      <c r="V427" s="109"/>
      <c r="W427" s="112"/>
      <c r="X427" s="106"/>
      <c r="Y427" s="106"/>
      <c r="Z427" s="106"/>
      <c r="AA427" s="109"/>
      <c r="AB427" s="134"/>
    </row>
    <row r="428" spans="1:32" ht="15.75" customHeight="1" thickBot="1" x14ac:dyDescent="0.3">
      <c r="A428" s="138"/>
      <c r="B428" s="138"/>
      <c r="C428" s="131"/>
      <c r="D428" s="116"/>
      <c r="E428" s="116"/>
      <c r="F428" s="116"/>
      <c r="G428" s="119"/>
      <c r="H428" s="113"/>
      <c r="I428" s="107"/>
      <c r="J428" s="107"/>
      <c r="K428" s="107"/>
      <c r="L428" s="110"/>
      <c r="M428" s="113"/>
      <c r="N428" s="107"/>
      <c r="O428" s="107"/>
      <c r="P428" s="107"/>
      <c r="Q428" s="110"/>
      <c r="R428" s="113"/>
      <c r="S428" s="107"/>
      <c r="T428" s="107"/>
      <c r="U428" s="107"/>
      <c r="V428" s="110"/>
      <c r="W428" s="113"/>
      <c r="X428" s="107"/>
      <c r="Y428" s="107"/>
      <c r="Z428" s="107"/>
      <c r="AA428" s="110"/>
      <c r="AB428" s="135"/>
    </row>
    <row r="429" spans="1:32" ht="15.75" customHeight="1" x14ac:dyDescent="0.25">
      <c r="A429" s="136">
        <f>ESCUADRAS!B89</f>
        <v>83</v>
      </c>
      <c r="B429" s="136">
        <f>ESCUADRAS!C89</f>
        <v>0</v>
      </c>
      <c r="C429" s="93"/>
      <c r="D429" s="123"/>
      <c r="E429" s="123"/>
      <c r="F429" s="123"/>
      <c r="G429" s="126"/>
      <c r="H429" s="102"/>
      <c r="I429" s="96"/>
      <c r="J429" s="96"/>
      <c r="K429" s="96"/>
      <c r="L429" s="99"/>
      <c r="M429" s="102"/>
      <c r="N429" s="96"/>
      <c r="O429" s="96"/>
      <c r="P429" s="96"/>
      <c r="Q429" s="99"/>
      <c r="R429" s="102"/>
      <c r="S429" s="96"/>
      <c r="T429" s="96"/>
      <c r="U429" s="96"/>
      <c r="V429" s="99"/>
      <c r="W429" s="111"/>
      <c r="X429" s="105"/>
      <c r="Y429" s="105"/>
      <c r="Z429" s="105"/>
      <c r="AA429" s="108"/>
      <c r="AB429" s="133"/>
    </row>
    <row r="430" spans="1:32" ht="15.75" customHeight="1" x14ac:dyDescent="0.25">
      <c r="A430" s="137"/>
      <c r="B430" s="137"/>
      <c r="C430" s="94"/>
      <c r="D430" s="124"/>
      <c r="E430" s="124"/>
      <c r="F430" s="124"/>
      <c r="G430" s="127"/>
      <c r="H430" s="103"/>
      <c r="I430" s="97"/>
      <c r="J430" s="97"/>
      <c r="K430" s="97"/>
      <c r="L430" s="100"/>
      <c r="M430" s="103"/>
      <c r="N430" s="97"/>
      <c r="O430" s="97"/>
      <c r="P430" s="97"/>
      <c r="Q430" s="100"/>
      <c r="R430" s="103"/>
      <c r="S430" s="97"/>
      <c r="T430" s="97"/>
      <c r="U430" s="97"/>
      <c r="V430" s="100"/>
      <c r="W430" s="112"/>
      <c r="X430" s="106"/>
      <c r="Y430" s="106"/>
      <c r="Z430" s="106"/>
      <c r="AA430" s="109"/>
      <c r="AB430" s="134"/>
    </row>
    <row r="431" spans="1:32" ht="15.75" customHeight="1" thickBot="1" x14ac:dyDescent="0.3">
      <c r="A431" s="138"/>
      <c r="B431" s="138"/>
      <c r="C431" s="95"/>
      <c r="D431" s="125"/>
      <c r="E431" s="125"/>
      <c r="F431" s="125"/>
      <c r="G431" s="128"/>
      <c r="H431" s="104"/>
      <c r="I431" s="98"/>
      <c r="J431" s="98"/>
      <c r="K431" s="98"/>
      <c r="L431" s="101"/>
      <c r="M431" s="104"/>
      <c r="N431" s="98"/>
      <c r="O431" s="98"/>
      <c r="P431" s="98"/>
      <c r="Q431" s="101"/>
      <c r="R431" s="104"/>
      <c r="S431" s="98"/>
      <c r="T431" s="98"/>
      <c r="U431" s="98"/>
      <c r="V431" s="101"/>
      <c r="W431" s="113"/>
      <c r="X431" s="107"/>
      <c r="Y431" s="107"/>
      <c r="Z431" s="107"/>
      <c r="AA431" s="110"/>
      <c r="AB431" s="135"/>
    </row>
    <row r="432" spans="1:32" ht="15.75" customHeight="1" x14ac:dyDescent="0.25">
      <c r="A432" s="136">
        <f>ESCUADRAS!B90</f>
        <v>84</v>
      </c>
      <c r="B432" s="136">
        <f>ESCUADRAS!C90</f>
        <v>0</v>
      </c>
      <c r="C432" s="93"/>
      <c r="D432" s="123"/>
      <c r="E432" s="123"/>
      <c r="F432" s="123"/>
      <c r="G432" s="126"/>
      <c r="H432" s="102"/>
      <c r="I432" s="96"/>
      <c r="J432" s="96"/>
      <c r="K432" s="96"/>
      <c r="L432" s="99"/>
      <c r="M432" s="102"/>
      <c r="N432" s="96"/>
      <c r="O432" s="96"/>
      <c r="P432" s="96"/>
      <c r="Q432" s="99"/>
      <c r="R432" s="111"/>
      <c r="S432" s="105"/>
      <c r="T432" s="105"/>
      <c r="U432" s="105"/>
      <c r="V432" s="108"/>
      <c r="W432" s="102"/>
      <c r="X432" s="96"/>
      <c r="Y432" s="96"/>
      <c r="Z432" s="96"/>
      <c r="AA432" s="99"/>
      <c r="AB432" s="133"/>
    </row>
    <row r="433" spans="1:28" ht="15.75" customHeight="1" x14ac:dyDescent="0.25">
      <c r="A433" s="137"/>
      <c r="B433" s="137"/>
      <c r="C433" s="94"/>
      <c r="D433" s="124"/>
      <c r="E433" s="124"/>
      <c r="F433" s="124"/>
      <c r="G433" s="127"/>
      <c r="H433" s="103"/>
      <c r="I433" s="97"/>
      <c r="J433" s="97"/>
      <c r="K433" s="97"/>
      <c r="L433" s="100"/>
      <c r="M433" s="103"/>
      <c r="N433" s="97"/>
      <c r="O433" s="97"/>
      <c r="P433" s="97"/>
      <c r="Q433" s="100"/>
      <c r="R433" s="112"/>
      <c r="S433" s="106"/>
      <c r="T433" s="106"/>
      <c r="U433" s="106"/>
      <c r="V433" s="109"/>
      <c r="W433" s="103"/>
      <c r="X433" s="97"/>
      <c r="Y433" s="97"/>
      <c r="Z433" s="97"/>
      <c r="AA433" s="100"/>
      <c r="AB433" s="134"/>
    </row>
    <row r="434" spans="1:28" ht="15.75" customHeight="1" thickBot="1" x14ac:dyDescent="0.3">
      <c r="A434" s="138"/>
      <c r="B434" s="138"/>
      <c r="C434" s="95"/>
      <c r="D434" s="125"/>
      <c r="E434" s="125"/>
      <c r="F434" s="125"/>
      <c r="G434" s="128"/>
      <c r="H434" s="104"/>
      <c r="I434" s="98"/>
      <c r="J434" s="98"/>
      <c r="K434" s="98"/>
      <c r="L434" s="101"/>
      <c r="M434" s="104"/>
      <c r="N434" s="98"/>
      <c r="O434" s="98"/>
      <c r="P434" s="98"/>
      <c r="Q434" s="101"/>
      <c r="R434" s="113"/>
      <c r="S434" s="107"/>
      <c r="T434" s="107"/>
      <c r="U434" s="107"/>
      <c r="V434" s="110"/>
      <c r="W434" s="104"/>
      <c r="X434" s="98"/>
      <c r="Y434" s="98"/>
      <c r="Z434" s="98"/>
      <c r="AA434" s="101"/>
      <c r="AB434" s="135"/>
    </row>
    <row r="435" spans="1:28" ht="15.75" customHeight="1" x14ac:dyDescent="0.25">
      <c r="A435" s="136">
        <f>ESCUADRAS!B85</f>
        <v>79</v>
      </c>
      <c r="B435" s="136">
        <f>ESCUADRAS!C85</f>
        <v>0</v>
      </c>
      <c r="C435" s="93"/>
      <c r="D435" s="123"/>
      <c r="E435" s="123"/>
      <c r="F435" s="123"/>
      <c r="G435" s="126"/>
      <c r="H435" s="102"/>
      <c r="I435" s="96"/>
      <c r="J435" s="96"/>
      <c r="K435" s="96"/>
      <c r="L435" s="99"/>
      <c r="M435" s="111"/>
      <c r="N435" s="105"/>
      <c r="O435" s="105"/>
      <c r="P435" s="105"/>
      <c r="Q435" s="108"/>
      <c r="R435" s="102"/>
      <c r="S435" s="96"/>
      <c r="T435" s="96"/>
      <c r="U435" s="96"/>
      <c r="V435" s="99"/>
      <c r="W435" s="102"/>
      <c r="X435" s="96"/>
      <c r="Y435" s="96"/>
      <c r="Z435" s="96"/>
      <c r="AA435" s="99"/>
      <c r="AB435" s="133"/>
    </row>
    <row r="436" spans="1:28" ht="15.75" customHeight="1" x14ac:dyDescent="0.25">
      <c r="A436" s="137"/>
      <c r="B436" s="137"/>
      <c r="C436" s="94"/>
      <c r="D436" s="124"/>
      <c r="E436" s="124"/>
      <c r="F436" s="124"/>
      <c r="G436" s="127"/>
      <c r="H436" s="103"/>
      <c r="I436" s="97"/>
      <c r="J436" s="97"/>
      <c r="K436" s="97"/>
      <c r="L436" s="100"/>
      <c r="M436" s="112"/>
      <c r="N436" s="106"/>
      <c r="O436" s="106"/>
      <c r="P436" s="106"/>
      <c r="Q436" s="109"/>
      <c r="R436" s="103"/>
      <c r="S436" s="97"/>
      <c r="T436" s="97"/>
      <c r="U436" s="97"/>
      <c r="V436" s="100"/>
      <c r="W436" s="103"/>
      <c r="X436" s="97"/>
      <c r="Y436" s="97"/>
      <c r="Z436" s="97"/>
      <c r="AA436" s="100"/>
      <c r="AB436" s="134"/>
    </row>
    <row r="437" spans="1:28" ht="15.75" customHeight="1" thickBot="1" x14ac:dyDescent="0.3">
      <c r="A437" s="138"/>
      <c r="B437" s="138"/>
      <c r="C437" s="95"/>
      <c r="D437" s="125"/>
      <c r="E437" s="125"/>
      <c r="F437" s="125"/>
      <c r="G437" s="128"/>
      <c r="H437" s="104"/>
      <c r="I437" s="98"/>
      <c r="J437" s="98"/>
      <c r="K437" s="98"/>
      <c r="L437" s="101"/>
      <c r="M437" s="113"/>
      <c r="N437" s="107"/>
      <c r="O437" s="107"/>
      <c r="P437" s="107"/>
      <c r="Q437" s="110"/>
      <c r="R437" s="104"/>
      <c r="S437" s="98"/>
      <c r="T437" s="98"/>
      <c r="U437" s="98"/>
      <c r="V437" s="101"/>
      <c r="W437" s="104"/>
      <c r="X437" s="98"/>
      <c r="Y437" s="98"/>
      <c r="Z437" s="98"/>
      <c r="AA437" s="101"/>
      <c r="AB437" s="135"/>
    </row>
    <row r="438" spans="1:28" ht="15.75" customHeight="1" x14ac:dyDescent="0.25">
      <c r="A438" s="136">
        <f>ESCUADRAS!B86</f>
        <v>80</v>
      </c>
      <c r="B438" s="136">
        <f>ESCUADRAS!C86</f>
        <v>0</v>
      </c>
      <c r="C438" s="93"/>
      <c r="D438" s="123"/>
      <c r="E438" s="123"/>
      <c r="F438" s="123"/>
      <c r="G438" s="126"/>
      <c r="H438" s="111"/>
      <c r="I438" s="105"/>
      <c r="J438" s="105"/>
      <c r="K438" s="105"/>
      <c r="L438" s="108"/>
      <c r="M438" s="102"/>
      <c r="N438" s="96"/>
      <c r="O438" s="96"/>
      <c r="P438" s="96"/>
      <c r="Q438" s="99"/>
      <c r="R438" s="102"/>
      <c r="S438" s="96"/>
      <c r="T438" s="96"/>
      <c r="U438" s="96"/>
      <c r="V438" s="99"/>
      <c r="W438" s="102"/>
      <c r="X438" s="96"/>
      <c r="Y438" s="96"/>
      <c r="Z438" s="96"/>
      <c r="AA438" s="99"/>
      <c r="AB438" s="133"/>
    </row>
    <row r="439" spans="1:28" ht="15.75" customHeight="1" x14ac:dyDescent="0.25">
      <c r="A439" s="137"/>
      <c r="B439" s="137"/>
      <c r="C439" s="94"/>
      <c r="D439" s="124"/>
      <c r="E439" s="124"/>
      <c r="F439" s="124"/>
      <c r="G439" s="127"/>
      <c r="H439" s="112"/>
      <c r="I439" s="106"/>
      <c r="J439" s="106"/>
      <c r="K439" s="106"/>
      <c r="L439" s="109"/>
      <c r="M439" s="103"/>
      <c r="N439" s="97"/>
      <c r="O439" s="97"/>
      <c r="P439" s="97"/>
      <c r="Q439" s="100"/>
      <c r="R439" s="103"/>
      <c r="S439" s="97"/>
      <c r="T439" s="97"/>
      <c r="U439" s="97"/>
      <c r="V439" s="100"/>
      <c r="W439" s="103"/>
      <c r="X439" s="97"/>
      <c r="Y439" s="97"/>
      <c r="Z439" s="97"/>
      <c r="AA439" s="100"/>
      <c r="AB439" s="134"/>
    </row>
    <row r="440" spans="1:28" ht="15.75" customHeight="1" thickBot="1" x14ac:dyDescent="0.3">
      <c r="A440" s="138"/>
      <c r="B440" s="138"/>
      <c r="C440" s="95"/>
      <c r="D440" s="125"/>
      <c r="E440" s="125"/>
      <c r="F440" s="125"/>
      <c r="G440" s="128"/>
      <c r="H440" s="113"/>
      <c r="I440" s="107"/>
      <c r="J440" s="107"/>
      <c r="K440" s="107"/>
      <c r="L440" s="110"/>
      <c r="M440" s="104"/>
      <c r="N440" s="98"/>
      <c r="O440" s="98"/>
      <c r="P440" s="98"/>
      <c r="Q440" s="101"/>
      <c r="R440" s="104"/>
      <c r="S440" s="98"/>
      <c r="T440" s="98"/>
      <c r="U440" s="98"/>
      <c r="V440" s="101"/>
      <c r="W440" s="104"/>
      <c r="X440" s="98"/>
      <c r="Y440" s="98"/>
      <c r="Z440" s="98"/>
      <c r="AA440" s="101"/>
      <c r="AB440" s="135"/>
    </row>
    <row r="441" spans="1:28" ht="15.75" customHeight="1" x14ac:dyDescent="0.25">
      <c r="A441" s="136">
        <f>ESCUADRAS!B87</f>
        <v>81</v>
      </c>
      <c r="B441" s="136">
        <f>ESCUADRAS!C87</f>
        <v>0</v>
      </c>
      <c r="C441" s="111"/>
      <c r="D441" s="105"/>
      <c r="E441" s="105"/>
      <c r="F441" s="105"/>
      <c r="G441" s="108"/>
      <c r="H441" s="122"/>
      <c r="I441" s="120"/>
      <c r="J441" s="120"/>
      <c r="K441" s="120"/>
      <c r="L441" s="121"/>
      <c r="M441" s="122"/>
      <c r="N441" s="120"/>
      <c r="O441" s="120"/>
      <c r="P441" s="120"/>
      <c r="Q441" s="121"/>
      <c r="R441" s="122"/>
      <c r="S441" s="120"/>
      <c r="T441" s="120"/>
      <c r="U441" s="120"/>
      <c r="V441" s="121"/>
      <c r="W441" s="122"/>
      <c r="X441" s="120"/>
      <c r="Y441" s="120"/>
      <c r="Z441" s="120"/>
      <c r="AA441" s="121"/>
      <c r="AB441" s="133"/>
    </row>
    <row r="442" spans="1:28" ht="15.75" customHeight="1" x14ac:dyDescent="0.25">
      <c r="A442" s="137"/>
      <c r="B442" s="137"/>
      <c r="C442" s="112"/>
      <c r="D442" s="106"/>
      <c r="E442" s="106"/>
      <c r="F442" s="106"/>
      <c r="G442" s="109"/>
      <c r="H442" s="103"/>
      <c r="I442" s="97"/>
      <c r="J442" s="97"/>
      <c r="K442" s="97"/>
      <c r="L442" s="100"/>
      <c r="M442" s="103"/>
      <c r="N442" s="97"/>
      <c r="O442" s="97"/>
      <c r="P442" s="97"/>
      <c r="Q442" s="100"/>
      <c r="R442" s="103"/>
      <c r="S442" s="97"/>
      <c r="T442" s="97"/>
      <c r="U442" s="97"/>
      <c r="V442" s="100"/>
      <c r="W442" s="103"/>
      <c r="X442" s="97"/>
      <c r="Y442" s="97"/>
      <c r="Z442" s="97"/>
      <c r="AA442" s="100"/>
      <c r="AB442" s="134"/>
    </row>
    <row r="443" spans="1:28" ht="15.75" customHeight="1" thickBot="1" x14ac:dyDescent="0.3">
      <c r="A443" s="138"/>
      <c r="B443" s="138"/>
      <c r="C443" s="113"/>
      <c r="D443" s="107"/>
      <c r="E443" s="107"/>
      <c r="F443" s="107"/>
      <c r="G443" s="110"/>
      <c r="H443" s="104"/>
      <c r="I443" s="98"/>
      <c r="J443" s="98"/>
      <c r="K443" s="98"/>
      <c r="L443" s="101"/>
      <c r="M443" s="104"/>
      <c r="N443" s="98"/>
      <c r="O443" s="98"/>
      <c r="P443" s="98"/>
      <c r="Q443" s="101"/>
      <c r="R443" s="104"/>
      <c r="S443" s="98"/>
      <c r="T443" s="98"/>
      <c r="U443" s="98"/>
      <c r="V443" s="101"/>
      <c r="W443" s="104"/>
      <c r="X443" s="98"/>
      <c r="Y443" s="98"/>
      <c r="Z443" s="98"/>
      <c r="AA443" s="101"/>
      <c r="AB443" s="135"/>
    </row>
    <row r="444" spans="1:28" ht="15" x14ac:dyDescent="0.25">
      <c r="A444" s="28"/>
    </row>
    <row r="445" spans="1:28" ht="15" x14ac:dyDescent="0.25">
      <c r="A445" s="28"/>
      <c r="B445" s="26" t="s">
        <v>35</v>
      </c>
      <c r="E445" s="21" t="s">
        <v>41</v>
      </c>
      <c r="I445" s="21" t="s">
        <v>42</v>
      </c>
      <c r="M445" s="21" t="s">
        <v>43</v>
      </c>
      <c r="Q445" s="21" t="s">
        <v>44</v>
      </c>
      <c r="U445" s="21" t="s">
        <v>45</v>
      </c>
      <c r="Y445" s="21" t="s">
        <v>46</v>
      </c>
    </row>
    <row r="450" spans="1:32" ht="24.6" x14ac:dyDescent="0.25">
      <c r="A450" s="144" t="str">
        <f>'INSCRIPCION '!A$1</f>
        <v>TIRADA</v>
      </c>
      <c r="B450" s="144"/>
      <c r="C450" s="144"/>
      <c r="D450" s="144"/>
      <c r="E450" s="144"/>
      <c r="F450" s="144"/>
      <c r="G450" s="144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  <c r="AF450" s="144"/>
    </row>
    <row r="451" spans="1:32" ht="19.5" customHeight="1" x14ac:dyDescent="0.4">
      <c r="A451" s="23"/>
      <c r="B451" s="23"/>
    </row>
    <row r="452" spans="1:32" ht="22.5" customHeight="1" x14ac:dyDescent="0.25">
      <c r="A452" s="132" t="str">
        <f>'INSCRIPCION '!A$2</f>
        <v>CAMPO DE TIRO LA ISLA</v>
      </c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L452" s="132"/>
      <c r="M452" s="13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  <c r="Y452" s="132"/>
      <c r="Z452" s="132"/>
      <c r="AA452" s="132"/>
      <c r="AB452" s="132"/>
      <c r="AC452" s="132"/>
      <c r="AD452" s="132"/>
      <c r="AE452" s="132"/>
      <c r="AF452" s="132"/>
    </row>
    <row r="453" spans="1:32" ht="19.5" customHeight="1" x14ac:dyDescent="0.25">
      <c r="A453" s="143" t="str">
        <f>'INSCRIPCION '!A$3</f>
        <v>XXX PLATOS</v>
      </c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</row>
    <row r="454" spans="1:32" ht="22.8" x14ac:dyDescent="0.4">
      <c r="A454" s="24"/>
      <c r="B454" s="24"/>
    </row>
    <row r="455" spans="1:32" ht="17.399999999999999" x14ac:dyDescent="0.3">
      <c r="A455" s="25" t="s">
        <v>24</v>
      </c>
      <c r="B455" s="25"/>
      <c r="J455" s="9" t="s">
        <v>6</v>
      </c>
      <c r="K455" s="9"/>
      <c r="L455" s="9"/>
      <c r="M455" s="9"/>
      <c r="N455" s="9"/>
      <c r="O455" s="22">
        <v>2</v>
      </c>
      <c r="P455" s="22"/>
      <c r="Q455" s="8"/>
      <c r="R455" s="8"/>
      <c r="S455" s="7"/>
      <c r="T455" s="8"/>
      <c r="U455" s="8"/>
      <c r="V455" s="9" t="s">
        <v>7</v>
      </c>
      <c r="W455" s="9"/>
      <c r="X455" s="9"/>
      <c r="Y455" s="9"/>
      <c r="Z455" s="22">
        <v>4</v>
      </c>
      <c r="AA455" s="22"/>
    </row>
    <row r="456" spans="1:32" ht="13.8" thickBot="1" x14ac:dyDescent="0.3"/>
    <row r="457" spans="1:32" ht="15.6" thickBot="1" x14ac:dyDescent="0.3">
      <c r="A457" s="27" t="s">
        <v>0</v>
      </c>
      <c r="B457" s="27" t="s">
        <v>8</v>
      </c>
      <c r="C457" s="47">
        <v>1</v>
      </c>
      <c r="D457" s="48">
        <v>2</v>
      </c>
      <c r="E457" s="48">
        <v>3</v>
      </c>
      <c r="F457" s="48">
        <v>4</v>
      </c>
      <c r="G457" s="49">
        <v>5</v>
      </c>
      <c r="H457" s="47">
        <v>6</v>
      </c>
      <c r="I457" s="48">
        <v>7</v>
      </c>
      <c r="J457" s="48">
        <v>8</v>
      </c>
      <c r="K457" s="48">
        <v>9</v>
      </c>
      <c r="L457" s="49">
        <v>10</v>
      </c>
      <c r="M457" s="47">
        <v>11</v>
      </c>
      <c r="N457" s="48">
        <v>12</v>
      </c>
      <c r="O457" s="48">
        <v>13</v>
      </c>
      <c r="P457" s="48">
        <v>14</v>
      </c>
      <c r="Q457" s="49">
        <v>15</v>
      </c>
      <c r="R457" s="47">
        <v>16</v>
      </c>
      <c r="S457" s="48">
        <v>17</v>
      </c>
      <c r="T457" s="48">
        <v>18</v>
      </c>
      <c r="U457" s="48">
        <v>19</v>
      </c>
      <c r="V457" s="49">
        <v>20</v>
      </c>
      <c r="W457" s="47">
        <v>21</v>
      </c>
      <c r="X457" s="48">
        <v>22</v>
      </c>
      <c r="Y457" s="48">
        <v>23</v>
      </c>
      <c r="Z457" s="48">
        <v>24</v>
      </c>
      <c r="AA457" s="49">
        <v>25</v>
      </c>
      <c r="AB457" s="30" t="s">
        <v>1</v>
      </c>
    </row>
    <row r="458" spans="1:32" ht="15.75" customHeight="1" x14ac:dyDescent="0.25">
      <c r="A458" s="136">
        <f>ESCUADRAS!B94</f>
        <v>88</v>
      </c>
      <c r="B458" s="136">
        <f>ESCUADRAS!C94</f>
        <v>0</v>
      </c>
      <c r="C458" s="129"/>
      <c r="D458" s="114"/>
      <c r="E458" s="114"/>
      <c r="F458" s="114"/>
      <c r="G458" s="117"/>
      <c r="H458" s="111"/>
      <c r="I458" s="105"/>
      <c r="J458" s="105"/>
      <c r="K458" s="105"/>
      <c r="L458" s="108"/>
      <c r="M458" s="111"/>
      <c r="N458" s="105"/>
      <c r="O458" s="105"/>
      <c r="P458" s="105"/>
      <c r="Q458" s="108"/>
      <c r="R458" s="111"/>
      <c r="S458" s="105"/>
      <c r="T458" s="105"/>
      <c r="U458" s="105"/>
      <c r="V458" s="108"/>
      <c r="W458" s="111"/>
      <c r="X458" s="105"/>
      <c r="Y458" s="105"/>
      <c r="Z458" s="105"/>
      <c r="AA458" s="108"/>
      <c r="AB458" s="133"/>
    </row>
    <row r="459" spans="1:32" ht="15.75" customHeight="1" x14ac:dyDescent="0.25">
      <c r="A459" s="137"/>
      <c r="B459" s="137"/>
      <c r="C459" s="130"/>
      <c r="D459" s="115"/>
      <c r="E459" s="115"/>
      <c r="F459" s="115"/>
      <c r="G459" s="118"/>
      <c r="H459" s="112"/>
      <c r="I459" s="106"/>
      <c r="J459" s="106"/>
      <c r="K459" s="106"/>
      <c r="L459" s="109"/>
      <c r="M459" s="112"/>
      <c r="N459" s="106"/>
      <c r="O459" s="106"/>
      <c r="P459" s="106"/>
      <c r="Q459" s="109"/>
      <c r="R459" s="112"/>
      <c r="S459" s="106"/>
      <c r="T459" s="106"/>
      <c r="U459" s="106"/>
      <c r="V459" s="109"/>
      <c r="W459" s="112"/>
      <c r="X459" s="106"/>
      <c r="Y459" s="106"/>
      <c r="Z459" s="106"/>
      <c r="AA459" s="109"/>
      <c r="AB459" s="134"/>
    </row>
    <row r="460" spans="1:32" ht="15.75" customHeight="1" thickBot="1" x14ac:dyDescent="0.3">
      <c r="A460" s="138"/>
      <c r="B460" s="138"/>
      <c r="C460" s="131"/>
      <c r="D460" s="116"/>
      <c r="E460" s="116"/>
      <c r="F460" s="116"/>
      <c r="G460" s="119"/>
      <c r="H460" s="113"/>
      <c r="I460" s="107"/>
      <c r="J460" s="107"/>
      <c r="K460" s="107"/>
      <c r="L460" s="110"/>
      <c r="M460" s="113"/>
      <c r="N460" s="107"/>
      <c r="O460" s="107"/>
      <c r="P460" s="107"/>
      <c r="Q460" s="110"/>
      <c r="R460" s="113"/>
      <c r="S460" s="107"/>
      <c r="T460" s="107"/>
      <c r="U460" s="107"/>
      <c r="V460" s="110"/>
      <c r="W460" s="113"/>
      <c r="X460" s="107"/>
      <c r="Y460" s="107"/>
      <c r="Z460" s="107"/>
      <c r="AA460" s="110"/>
      <c r="AB460" s="135"/>
    </row>
    <row r="461" spans="1:32" ht="15.75" customHeight="1" x14ac:dyDescent="0.25">
      <c r="A461" s="136">
        <f>ESCUADRAS!B95</f>
        <v>89</v>
      </c>
      <c r="B461" s="136">
        <f>ESCUADRAS!C95</f>
        <v>0</v>
      </c>
      <c r="C461" s="93"/>
      <c r="D461" s="123"/>
      <c r="E461" s="123"/>
      <c r="F461" s="123"/>
      <c r="G461" s="126"/>
      <c r="H461" s="102"/>
      <c r="I461" s="96"/>
      <c r="J461" s="96"/>
      <c r="K461" s="96"/>
      <c r="L461" s="99"/>
      <c r="M461" s="102"/>
      <c r="N461" s="96"/>
      <c r="O461" s="96"/>
      <c r="P461" s="96"/>
      <c r="Q461" s="99"/>
      <c r="R461" s="102"/>
      <c r="S461" s="96"/>
      <c r="T461" s="96"/>
      <c r="U461" s="96"/>
      <c r="V461" s="99"/>
      <c r="W461" s="111"/>
      <c r="X461" s="105"/>
      <c r="Y461" s="105"/>
      <c r="Z461" s="105"/>
      <c r="AA461" s="108"/>
      <c r="AB461" s="133"/>
    </row>
    <row r="462" spans="1:32" ht="15.75" customHeight="1" x14ac:dyDescent="0.25">
      <c r="A462" s="137"/>
      <c r="B462" s="137"/>
      <c r="C462" s="94"/>
      <c r="D462" s="124"/>
      <c r="E462" s="124"/>
      <c r="F462" s="124"/>
      <c r="G462" s="127"/>
      <c r="H462" s="103"/>
      <c r="I462" s="97"/>
      <c r="J462" s="97"/>
      <c r="K462" s="97"/>
      <c r="L462" s="100"/>
      <c r="M462" s="103"/>
      <c r="N462" s="97"/>
      <c r="O462" s="97"/>
      <c r="P462" s="97"/>
      <c r="Q462" s="100"/>
      <c r="R462" s="103"/>
      <c r="S462" s="97"/>
      <c r="T462" s="97"/>
      <c r="U462" s="97"/>
      <c r="V462" s="100"/>
      <c r="W462" s="112"/>
      <c r="X462" s="106"/>
      <c r="Y462" s="106"/>
      <c r="Z462" s="106"/>
      <c r="AA462" s="109"/>
      <c r="AB462" s="134"/>
    </row>
    <row r="463" spans="1:32" ht="15.75" customHeight="1" thickBot="1" x14ac:dyDescent="0.3">
      <c r="A463" s="138"/>
      <c r="B463" s="138"/>
      <c r="C463" s="95"/>
      <c r="D463" s="125"/>
      <c r="E463" s="125"/>
      <c r="F463" s="125"/>
      <c r="G463" s="128"/>
      <c r="H463" s="104"/>
      <c r="I463" s="98"/>
      <c r="J463" s="98"/>
      <c r="K463" s="98"/>
      <c r="L463" s="101"/>
      <c r="M463" s="104"/>
      <c r="N463" s="98"/>
      <c r="O463" s="98"/>
      <c r="P463" s="98"/>
      <c r="Q463" s="101"/>
      <c r="R463" s="104"/>
      <c r="S463" s="98"/>
      <c r="T463" s="98"/>
      <c r="U463" s="98"/>
      <c r="V463" s="101"/>
      <c r="W463" s="113"/>
      <c r="X463" s="107"/>
      <c r="Y463" s="107"/>
      <c r="Z463" s="107"/>
      <c r="AA463" s="110"/>
      <c r="AB463" s="135"/>
    </row>
    <row r="464" spans="1:32" ht="15.75" customHeight="1" x14ac:dyDescent="0.25">
      <c r="A464" s="136">
        <f>ESCUADRAS!B96</f>
        <v>90</v>
      </c>
      <c r="B464" s="136">
        <f>ESCUADRAS!C96</f>
        <v>0</v>
      </c>
      <c r="C464" s="93"/>
      <c r="D464" s="123"/>
      <c r="E464" s="123"/>
      <c r="F464" s="123"/>
      <c r="G464" s="126"/>
      <c r="H464" s="102"/>
      <c r="I464" s="96"/>
      <c r="J464" s="96"/>
      <c r="K464" s="96"/>
      <c r="L464" s="99"/>
      <c r="M464" s="102"/>
      <c r="N464" s="96"/>
      <c r="O464" s="96"/>
      <c r="P464" s="96"/>
      <c r="Q464" s="99"/>
      <c r="R464" s="111"/>
      <c r="S464" s="105"/>
      <c r="T464" s="105"/>
      <c r="U464" s="105"/>
      <c r="V464" s="108"/>
      <c r="W464" s="102"/>
      <c r="X464" s="96"/>
      <c r="Y464" s="96"/>
      <c r="Z464" s="96"/>
      <c r="AA464" s="99"/>
      <c r="AB464" s="133"/>
    </row>
    <row r="465" spans="1:28" ht="15.75" customHeight="1" x14ac:dyDescent="0.25">
      <c r="A465" s="137"/>
      <c r="B465" s="137"/>
      <c r="C465" s="94"/>
      <c r="D465" s="124"/>
      <c r="E465" s="124"/>
      <c r="F465" s="124"/>
      <c r="G465" s="127"/>
      <c r="H465" s="103"/>
      <c r="I465" s="97"/>
      <c r="J465" s="97"/>
      <c r="K465" s="97"/>
      <c r="L465" s="100"/>
      <c r="M465" s="103"/>
      <c r="N465" s="97"/>
      <c r="O465" s="97"/>
      <c r="P465" s="97"/>
      <c r="Q465" s="100"/>
      <c r="R465" s="112"/>
      <c r="S465" s="106"/>
      <c r="T465" s="106"/>
      <c r="U465" s="106"/>
      <c r="V465" s="109"/>
      <c r="W465" s="103"/>
      <c r="X465" s="97"/>
      <c r="Y465" s="97"/>
      <c r="Z465" s="97"/>
      <c r="AA465" s="100"/>
      <c r="AB465" s="134"/>
    </row>
    <row r="466" spans="1:28" ht="15.75" customHeight="1" thickBot="1" x14ac:dyDescent="0.3">
      <c r="A466" s="138"/>
      <c r="B466" s="138"/>
      <c r="C466" s="95"/>
      <c r="D466" s="125"/>
      <c r="E466" s="125"/>
      <c r="F466" s="125"/>
      <c r="G466" s="128"/>
      <c r="H466" s="104"/>
      <c r="I466" s="98"/>
      <c r="J466" s="98"/>
      <c r="K466" s="98"/>
      <c r="L466" s="101"/>
      <c r="M466" s="104"/>
      <c r="N466" s="98"/>
      <c r="O466" s="98"/>
      <c r="P466" s="98"/>
      <c r="Q466" s="101"/>
      <c r="R466" s="113"/>
      <c r="S466" s="107"/>
      <c r="T466" s="107"/>
      <c r="U466" s="107"/>
      <c r="V466" s="110"/>
      <c r="W466" s="104"/>
      <c r="X466" s="98"/>
      <c r="Y466" s="98"/>
      <c r="Z466" s="98"/>
      <c r="AA466" s="101"/>
      <c r="AB466" s="135"/>
    </row>
    <row r="467" spans="1:28" ht="15.75" customHeight="1" x14ac:dyDescent="0.25">
      <c r="A467" s="136">
        <f>ESCUADRAS!B91</f>
        <v>85</v>
      </c>
      <c r="B467" s="136">
        <f>ESCUADRAS!C91</f>
        <v>0</v>
      </c>
      <c r="C467" s="93"/>
      <c r="D467" s="123"/>
      <c r="E467" s="123"/>
      <c r="F467" s="123"/>
      <c r="G467" s="126"/>
      <c r="H467" s="102"/>
      <c r="I467" s="96"/>
      <c r="J467" s="96"/>
      <c r="K467" s="96"/>
      <c r="L467" s="99"/>
      <c r="M467" s="111"/>
      <c r="N467" s="105"/>
      <c r="O467" s="105"/>
      <c r="P467" s="105"/>
      <c r="Q467" s="108"/>
      <c r="R467" s="102"/>
      <c r="S467" s="96"/>
      <c r="T467" s="96"/>
      <c r="U467" s="96"/>
      <c r="V467" s="99"/>
      <c r="W467" s="102"/>
      <c r="X467" s="96"/>
      <c r="Y467" s="96"/>
      <c r="Z467" s="96"/>
      <c r="AA467" s="99"/>
      <c r="AB467" s="133"/>
    </row>
    <row r="468" spans="1:28" ht="15.75" customHeight="1" x14ac:dyDescent="0.25">
      <c r="A468" s="137"/>
      <c r="B468" s="137"/>
      <c r="C468" s="94"/>
      <c r="D468" s="124"/>
      <c r="E468" s="124"/>
      <c r="F468" s="124"/>
      <c r="G468" s="127"/>
      <c r="H468" s="103"/>
      <c r="I468" s="97"/>
      <c r="J468" s="97"/>
      <c r="K468" s="97"/>
      <c r="L468" s="100"/>
      <c r="M468" s="112"/>
      <c r="N468" s="106"/>
      <c r="O468" s="106"/>
      <c r="P468" s="106"/>
      <c r="Q468" s="109"/>
      <c r="R468" s="103"/>
      <c r="S468" s="97"/>
      <c r="T468" s="97"/>
      <c r="U468" s="97"/>
      <c r="V468" s="100"/>
      <c r="W468" s="103"/>
      <c r="X468" s="97"/>
      <c r="Y468" s="97"/>
      <c r="Z468" s="97"/>
      <c r="AA468" s="100"/>
      <c r="AB468" s="134"/>
    </row>
    <row r="469" spans="1:28" ht="15.75" customHeight="1" thickBot="1" x14ac:dyDescent="0.3">
      <c r="A469" s="138"/>
      <c r="B469" s="138"/>
      <c r="C469" s="95"/>
      <c r="D469" s="125"/>
      <c r="E469" s="125"/>
      <c r="F469" s="125"/>
      <c r="G469" s="128"/>
      <c r="H469" s="104"/>
      <c r="I469" s="98"/>
      <c r="J469" s="98"/>
      <c r="K469" s="98"/>
      <c r="L469" s="101"/>
      <c r="M469" s="113"/>
      <c r="N469" s="107"/>
      <c r="O469" s="107"/>
      <c r="P469" s="107"/>
      <c r="Q469" s="110"/>
      <c r="R469" s="104"/>
      <c r="S469" s="98"/>
      <c r="T469" s="98"/>
      <c r="U469" s="98"/>
      <c r="V469" s="101"/>
      <c r="W469" s="104"/>
      <c r="X469" s="98"/>
      <c r="Y469" s="98"/>
      <c r="Z469" s="98"/>
      <c r="AA469" s="101"/>
      <c r="AB469" s="135"/>
    </row>
    <row r="470" spans="1:28" ht="15.75" customHeight="1" x14ac:dyDescent="0.25">
      <c r="A470" s="136">
        <f>ESCUADRAS!B92</f>
        <v>86</v>
      </c>
      <c r="B470" s="136">
        <f>ESCUADRAS!C92</f>
        <v>0</v>
      </c>
      <c r="C470" s="93"/>
      <c r="D470" s="123"/>
      <c r="E470" s="123"/>
      <c r="F470" s="123"/>
      <c r="G470" s="126"/>
      <c r="H470" s="111"/>
      <c r="I470" s="105"/>
      <c r="J470" s="105"/>
      <c r="K470" s="105"/>
      <c r="L470" s="108"/>
      <c r="M470" s="102"/>
      <c r="N470" s="96"/>
      <c r="O470" s="96"/>
      <c r="P470" s="96"/>
      <c r="Q470" s="99"/>
      <c r="R470" s="102"/>
      <c r="S470" s="96"/>
      <c r="T470" s="96"/>
      <c r="U470" s="96"/>
      <c r="V470" s="99"/>
      <c r="W470" s="102"/>
      <c r="X470" s="96"/>
      <c r="Y470" s="96"/>
      <c r="Z470" s="96"/>
      <c r="AA470" s="99"/>
      <c r="AB470" s="133"/>
    </row>
    <row r="471" spans="1:28" ht="15.75" customHeight="1" x14ac:dyDescent="0.25">
      <c r="A471" s="137"/>
      <c r="B471" s="137"/>
      <c r="C471" s="94"/>
      <c r="D471" s="124"/>
      <c r="E471" s="124"/>
      <c r="F471" s="124"/>
      <c r="G471" s="127"/>
      <c r="H471" s="112"/>
      <c r="I471" s="106"/>
      <c r="J471" s="106"/>
      <c r="K471" s="106"/>
      <c r="L471" s="109"/>
      <c r="M471" s="103"/>
      <c r="N471" s="97"/>
      <c r="O471" s="97"/>
      <c r="P471" s="97"/>
      <c r="Q471" s="100"/>
      <c r="R471" s="103"/>
      <c r="S471" s="97"/>
      <c r="T471" s="97"/>
      <c r="U471" s="97"/>
      <c r="V471" s="100"/>
      <c r="W471" s="103"/>
      <c r="X471" s="97"/>
      <c r="Y471" s="97"/>
      <c r="Z471" s="97"/>
      <c r="AA471" s="100"/>
      <c r="AB471" s="134"/>
    </row>
    <row r="472" spans="1:28" ht="15.75" customHeight="1" thickBot="1" x14ac:dyDescent="0.3">
      <c r="A472" s="138"/>
      <c r="B472" s="138"/>
      <c r="C472" s="95"/>
      <c r="D472" s="125"/>
      <c r="E472" s="125"/>
      <c r="F472" s="125"/>
      <c r="G472" s="128"/>
      <c r="H472" s="113"/>
      <c r="I472" s="107"/>
      <c r="J472" s="107"/>
      <c r="K472" s="107"/>
      <c r="L472" s="110"/>
      <c r="M472" s="104"/>
      <c r="N472" s="98"/>
      <c r="O472" s="98"/>
      <c r="P472" s="98"/>
      <c r="Q472" s="101"/>
      <c r="R472" s="104"/>
      <c r="S472" s="98"/>
      <c r="T472" s="98"/>
      <c r="U472" s="98"/>
      <c r="V472" s="101"/>
      <c r="W472" s="104"/>
      <c r="X472" s="98"/>
      <c r="Y472" s="98"/>
      <c r="Z472" s="98"/>
      <c r="AA472" s="101"/>
      <c r="AB472" s="135"/>
    </row>
    <row r="473" spans="1:28" ht="15.75" customHeight="1" x14ac:dyDescent="0.25">
      <c r="A473" s="136">
        <f>ESCUADRAS!B93</f>
        <v>87</v>
      </c>
      <c r="B473" s="136">
        <f>ESCUADRAS!C93</f>
        <v>0</v>
      </c>
      <c r="C473" s="111"/>
      <c r="D473" s="105"/>
      <c r="E473" s="105"/>
      <c r="F473" s="105"/>
      <c r="G473" s="108"/>
      <c r="H473" s="122"/>
      <c r="I473" s="120"/>
      <c r="J473" s="120"/>
      <c r="K473" s="120"/>
      <c r="L473" s="121"/>
      <c r="M473" s="122"/>
      <c r="N473" s="120"/>
      <c r="O473" s="120"/>
      <c r="P473" s="120"/>
      <c r="Q473" s="121"/>
      <c r="R473" s="122"/>
      <c r="S473" s="120"/>
      <c r="T473" s="120"/>
      <c r="U473" s="120"/>
      <c r="V473" s="121"/>
      <c r="W473" s="122"/>
      <c r="X473" s="120"/>
      <c r="Y473" s="120"/>
      <c r="Z473" s="120"/>
      <c r="AA473" s="121"/>
      <c r="AB473" s="133"/>
    </row>
    <row r="474" spans="1:28" ht="15.75" customHeight="1" x14ac:dyDescent="0.25">
      <c r="A474" s="137"/>
      <c r="B474" s="137"/>
      <c r="C474" s="112"/>
      <c r="D474" s="106"/>
      <c r="E474" s="106"/>
      <c r="F474" s="106"/>
      <c r="G474" s="109"/>
      <c r="H474" s="103"/>
      <c r="I474" s="97"/>
      <c r="J474" s="97"/>
      <c r="K474" s="97"/>
      <c r="L474" s="100"/>
      <c r="M474" s="103"/>
      <c r="N474" s="97"/>
      <c r="O474" s="97"/>
      <c r="P474" s="97"/>
      <c r="Q474" s="100"/>
      <c r="R474" s="103"/>
      <c r="S474" s="97"/>
      <c r="T474" s="97"/>
      <c r="U474" s="97"/>
      <c r="V474" s="100"/>
      <c r="W474" s="103"/>
      <c r="X474" s="97"/>
      <c r="Y474" s="97"/>
      <c r="Z474" s="97"/>
      <c r="AA474" s="100"/>
      <c r="AB474" s="134"/>
    </row>
    <row r="475" spans="1:28" ht="15.75" customHeight="1" thickBot="1" x14ac:dyDescent="0.3">
      <c r="A475" s="138"/>
      <c r="B475" s="138"/>
      <c r="C475" s="113"/>
      <c r="D475" s="107"/>
      <c r="E475" s="107"/>
      <c r="F475" s="107"/>
      <c r="G475" s="110"/>
      <c r="H475" s="104"/>
      <c r="I475" s="98"/>
      <c r="J475" s="98"/>
      <c r="K475" s="98"/>
      <c r="L475" s="101"/>
      <c r="M475" s="104"/>
      <c r="N475" s="98"/>
      <c r="O475" s="98"/>
      <c r="P475" s="98"/>
      <c r="Q475" s="101"/>
      <c r="R475" s="104"/>
      <c r="S475" s="98"/>
      <c r="T475" s="98"/>
      <c r="U475" s="98"/>
      <c r="V475" s="101"/>
      <c r="W475" s="104"/>
      <c r="X475" s="98"/>
      <c r="Y475" s="98"/>
      <c r="Z475" s="98"/>
      <c r="AA475" s="101"/>
      <c r="AB475" s="135"/>
    </row>
    <row r="476" spans="1:28" ht="15" x14ac:dyDescent="0.25">
      <c r="A476" s="28"/>
    </row>
    <row r="477" spans="1:28" ht="15" x14ac:dyDescent="0.25">
      <c r="A477" s="28"/>
      <c r="B477" s="26" t="s">
        <v>35</v>
      </c>
      <c r="E477" s="21" t="s">
        <v>41</v>
      </c>
      <c r="I477" s="21" t="s">
        <v>42</v>
      </c>
      <c r="M477" s="21" t="s">
        <v>43</v>
      </c>
      <c r="Q477" s="21" t="s">
        <v>44</v>
      </c>
      <c r="U477" s="21" t="s">
        <v>45</v>
      </c>
      <c r="Y477" s="21" t="s">
        <v>46</v>
      </c>
    </row>
    <row r="482" spans="1:32" ht="24.6" x14ac:dyDescent="0.25">
      <c r="A482" s="144" t="str">
        <f>'INSCRIPCION '!A$1</f>
        <v>TIRADA</v>
      </c>
      <c r="B482" s="144"/>
      <c r="C482" s="144"/>
      <c r="D482" s="144"/>
      <c r="E482" s="144"/>
      <c r="F482" s="144"/>
      <c r="G482" s="144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  <c r="AF482" s="144"/>
    </row>
    <row r="483" spans="1:32" ht="19.5" customHeight="1" x14ac:dyDescent="0.4">
      <c r="A483" s="23"/>
      <c r="B483" s="23"/>
    </row>
    <row r="484" spans="1:32" ht="22.8" x14ac:dyDescent="0.25">
      <c r="A484" s="132" t="str">
        <f>'INSCRIPCION '!A$2</f>
        <v>CAMPO DE TIRO LA ISLA</v>
      </c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3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  <c r="Y484" s="132"/>
      <c r="Z484" s="132"/>
      <c r="AA484" s="132"/>
      <c r="AB484" s="132"/>
      <c r="AC484" s="132"/>
      <c r="AD484" s="132"/>
      <c r="AE484" s="132"/>
      <c r="AF484" s="132"/>
    </row>
    <row r="485" spans="1:32" ht="20.399999999999999" x14ac:dyDescent="0.25">
      <c r="A485" s="143" t="str">
        <f>'INSCRIPCION '!A$3</f>
        <v>XXX PLATOS</v>
      </c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</row>
    <row r="486" spans="1:32" ht="22.8" x14ac:dyDescent="0.4">
      <c r="A486" s="24"/>
      <c r="B486" s="24"/>
    </row>
    <row r="487" spans="1:32" ht="17.399999999999999" x14ac:dyDescent="0.3">
      <c r="A487" s="25" t="s">
        <v>25</v>
      </c>
      <c r="B487" s="25"/>
      <c r="J487" s="9" t="s">
        <v>6</v>
      </c>
      <c r="K487" s="9"/>
      <c r="L487" s="9"/>
      <c r="M487" s="9"/>
      <c r="N487" s="9"/>
      <c r="O487" s="22">
        <v>3</v>
      </c>
      <c r="P487" s="22"/>
      <c r="Q487" s="8"/>
      <c r="R487" s="8"/>
      <c r="S487" s="7"/>
      <c r="T487" s="8"/>
      <c r="U487" s="8"/>
      <c r="V487" s="9" t="s">
        <v>7</v>
      </c>
      <c r="W487" s="9"/>
      <c r="X487" s="9"/>
      <c r="Y487" s="9"/>
      <c r="Z487" s="22">
        <v>4</v>
      </c>
      <c r="AA487" s="22"/>
    </row>
    <row r="488" spans="1:32" ht="13.8" thickBot="1" x14ac:dyDescent="0.3"/>
    <row r="489" spans="1:32" ht="15.6" thickBot="1" x14ac:dyDescent="0.3">
      <c r="A489" s="27" t="s">
        <v>0</v>
      </c>
      <c r="B489" s="27" t="s">
        <v>8</v>
      </c>
      <c r="C489" s="47">
        <v>1</v>
      </c>
      <c r="D489" s="48">
        <v>2</v>
      </c>
      <c r="E489" s="48">
        <v>3</v>
      </c>
      <c r="F489" s="48">
        <v>4</v>
      </c>
      <c r="G489" s="49">
        <v>5</v>
      </c>
      <c r="H489" s="47">
        <v>6</v>
      </c>
      <c r="I489" s="48">
        <v>7</v>
      </c>
      <c r="J489" s="48">
        <v>8</v>
      </c>
      <c r="K489" s="48">
        <v>9</v>
      </c>
      <c r="L489" s="49">
        <v>10</v>
      </c>
      <c r="M489" s="47">
        <v>11</v>
      </c>
      <c r="N489" s="48">
        <v>12</v>
      </c>
      <c r="O489" s="48">
        <v>13</v>
      </c>
      <c r="P489" s="48">
        <v>14</v>
      </c>
      <c r="Q489" s="49">
        <v>15</v>
      </c>
      <c r="R489" s="47">
        <v>16</v>
      </c>
      <c r="S489" s="48">
        <v>17</v>
      </c>
      <c r="T489" s="48">
        <v>18</v>
      </c>
      <c r="U489" s="48">
        <v>19</v>
      </c>
      <c r="V489" s="49">
        <v>20</v>
      </c>
      <c r="W489" s="47">
        <v>21</v>
      </c>
      <c r="X489" s="48">
        <v>22</v>
      </c>
      <c r="Y489" s="48">
        <v>23</v>
      </c>
      <c r="Z489" s="48">
        <v>24</v>
      </c>
      <c r="AA489" s="49">
        <v>25</v>
      </c>
      <c r="AB489" s="30" t="s">
        <v>1</v>
      </c>
    </row>
    <row r="490" spans="1:32" ht="14.25" customHeight="1" x14ac:dyDescent="0.25">
      <c r="A490" s="136">
        <f>ESCUADRAS!B100</f>
        <v>94</v>
      </c>
      <c r="B490" s="136">
        <f>ESCUADRAS!C100</f>
        <v>0</v>
      </c>
      <c r="C490" s="129"/>
      <c r="D490" s="114"/>
      <c r="E490" s="114"/>
      <c r="F490" s="114"/>
      <c r="G490" s="117"/>
      <c r="H490" s="111"/>
      <c r="I490" s="105"/>
      <c r="J490" s="105"/>
      <c r="K490" s="105"/>
      <c r="L490" s="108"/>
      <c r="M490" s="111"/>
      <c r="N490" s="105"/>
      <c r="O490" s="105"/>
      <c r="P490" s="105"/>
      <c r="Q490" s="108"/>
      <c r="R490" s="111"/>
      <c r="S490" s="105"/>
      <c r="T490" s="105"/>
      <c r="U490" s="105"/>
      <c r="V490" s="108"/>
      <c r="W490" s="111"/>
      <c r="X490" s="105"/>
      <c r="Y490" s="105"/>
      <c r="Z490" s="105"/>
      <c r="AA490" s="108"/>
      <c r="AB490" s="133"/>
    </row>
    <row r="491" spans="1:32" ht="14.25" customHeight="1" x14ac:dyDescent="0.25">
      <c r="A491" s="137"/>
      <c r="B491" s="137"/>
      <c r="C491" s="130"/>
      <c r="D491" s="115"/>
      <c r="E491" s="115"/>
      <c r="F491" s="115"/>
      <c r="G491" s="118"/>
      <c r="H491" s="112"/>
      <c r="I491" s="106"/>
      <c r="J491" s="106"/>
      <c r="K491" s="106"/>
      <c r="L491" s="109"/>
      <c r="M491" s="112"/>
      <c r="N491" s="106"/>
      <c r="O491" s="106"/>
      <c r="P491" s="106"/>
      <c r="Q491" s="109"/>
      <c r="R491" s="112"/>
      <c r="S491" s="106"/>
      <c r="T491" s="106"/>
      <c r="U491" s="106"/>
      <c r="V491" s="109"/>
      <c r="W491" s="112"/>
      <c r="X491" s="106"/>
      <c r="Y491" s="106"/>
      <c r="Z491" s="106"/>
      <c r="AA491" s="109"/>
      <c r="AB491" s="134"/>
    </row>
    <row r="492" spans="1:32" ht="13.5" customHeight="1" thickBot="1" x14ac:dyDescent="0.3">
      <c r="A492" s="138"/>
      <c r="B492" s="138"/>
      <c r="C492" s="131"/>
      <c r="D492" s="116"/>
      <c r="E492" s="116"/>
      <c r="F492" s="116"/>
      <c r="G492" s="119"/>
      <c r="H492" s="113"/>
      <c r="I492" s="107"/>
      <c r="J492" s="107"/>
      <c r="K492" s="107"/>
      <c r="L492" s="110"/>
      <c r="M492" s="113"/>
      <c r="N492" s="107"/>
      <c r="O492" s="107"/>
      <c r="P492" s="107"/>
      <c r="Q492" s="110"/>
      <c r="R492" s="113"/>
      <c r="S492" s="107"/>
      <c r="T492" s="107"/>
      <c r="U492" s="107"/>
      <c r="V492" s="110"/>
      <c r="W492" s="113"/>
      <c r="X492" s="107"/>
      <c r="Y492" s="107"/>
      <c r="Z492" s="107"/>
      <c r="AA492" s="110"/>
      <c r="AB492" s="135"/>
    </row>
    <row r="493" spans="1:32" ht="14.25" customHeight="1" x14ac:dyDescent="0.25">
      <c r="A493" s="136">
        <f>ESCUADRAS!B101</f>
        <v>95</v>
      </c>
      <c r="B493" s="136">
        <f>ESCUADRAS!C101</f>
        <v>0</v>
      </c>
      <c r="C493" s="93"/>
      <c r="D493" s="123"/>
      <c r="E493" s="123"/>
      <c r="F493" s="123"/>
      <c r="G493" s="126"/>
      <c r="H493" s="102"/>
      <c r="I493" s="96"/>
      <c r="J493" s="96"/>
      <c r="K493" s="96"/>
      <c r="L493" s="99"/>
      <c r="M493" s="102"/>
      <c r="N493" s="96"/>
      <c r="O493" s="96"/>
      <c r="P493" s="96"/>
      <c r="Q493" s="99"/>
      <c r="R493" s="102"/>
      <c r="S493" s="96"/>
      <c r="T493" s="96"/>
      <c r="U493" s="96"/>
      <c r="V493" s="99"/>
      <c r="W493" s="111"/>
      <c r="X493" s="105"/>
      <c r="Y493" s="105"/>
      <c r="Z493" s="105"/>
      <c r="AA493" s="108"/>
      <c r="AB493" s="133"/>
    </row>
    <row r="494" spans="1:32" ht="14.25" customHeight="1" x14ac:dyDescent="0.25">
      <c r="A494" s="137"/>
      <c r="B494" s="137"/>
      <c r="C494" s="94"/>
      <c r="D494" s="124"/>
      <c r="E494" s="124"/>
      <c r="F494" s="124"/>
      <c r="G494" s="127"/>
      <c r="H494" s="103"/>
      <c r="I494" s="97"/>
      <c r="J494" s="97"/>
      <c r="K494" s="97"/>
      <c r="L494" s="100"/>
      <c r="M494" s="103"/>
      <c r="N494" s="97"/>
      <c r="O494" s="97"/>
      <c r="P494" s="97"/>
      <c r="Q494" s="100"/>
      <c r="R494" s="103"/>
      <c r="S494" s="97"/>
      <c r="T494" s="97"/>
      <c r="U494" s="97"/>
      <c r="V494" s="100"/>
      <c r="W494" s="112"/>
      <c r="X494" s="106"/>
      <c r="Y494" s="106"/>
      <c r="Z494" s="106"/>
      <c r="AA494" s="109"/>
      <c r="AB494" s="134"/>
    </row>
    <row r="495" spans="1:32" ht="13.5" customHeight="1" thickBot="1" x14ac:dyDescent="0.3">
      <c r="A495" s="138"/>
      <c r="B495" s="138"/>
      <c r="C495" s="95"/>
      <c r="D495" s="125"/>
      <c r="E495" s="125"/>
      <c r="F495" s="125"/>
      <c r="G495" s="128"/>
      <c r="H495" s="104"/>
      <c r="I495" s="98"/>
      <c r="J495" s="98"/>
      <c r="K495" s="98"/>
      <c r="L495" s="101"/>
      <c r="M495" s="104"/>
      <c r="N495" s="98"/>
      <c r="O495" s="98"/>
      <c r="P495" s="98"/>
      <c r="Q495" s="101"/>
      <c r="R495" s="104"/>
      <c r="S495" s="98"/>
      <c r="T495" s="98"/>
      <c r="U495" s="98"/>
      <c r="V495" s="101"/>
      <c r="W495" s="113"/>
      <c r="X495" s="107"/>
      <c r="Y495" s="107"/>
      <c r="Z495" s="107"/>
      <c r="AA495" s="110"/>
      <c r="AB495" s="135"/>
    </row>
    <row r="496" spans="1:32" ht="14.25" customHeight="1" x14ac:dyDescent="0.25">
      <c r="A496" s="136">
        <f>ESCUADRAS!B102</f>
        <v>96</v>
      </c>
      <c r="B496" s="136">
        <f>ESCUADRAS!C102</f>
        <v>0</v>
      </c>
      <c r="C496" s="93"/>
      <c r="D496" s="123"/>
      <c r="E496" s="123"/>
      <c r="F496" s="123"/>
      <c r="G496" s="126"/>
      <c r="H496" s="102"/>
      <c r="I496" s="96"/>
      <c r="J496" s="96"/>
      <c r="K496" s="96"/>
      <c r="L496" s="99"/>
      <c r="M496" s="102"/>
      <c r="N496" s="96"/>
      <c r="O496" s="96"/>
      <c r="P496" s="96"/>
      <c r="Q496" s="99"/>
      <c r="R496" s="111"/>
      <c r="S496" s="105"/>
      <c r="T496" s="105"/>
      <c r="U496" s="105"/>
      <c r="V496" s="108"/>
      <c r="W496" s="102"/>
      <c r="X496" s="96"/>
      <c r="Y496" s="96"/>
      <c r="Z496" s="96"/>
      <c r="AA496" s="99"/>
      <c r="AB496" s="133"/>
    </row>
    <row r="497" spans="1:28" ht="14.25" customHeight="1" x14ac:dyDescent="0.25">
      <c r="A497" s="137"/>
      <c r="B497" s="137"/>
      <c r="C497" s="94"/>
      <c r="D497" s="124"/>
      <c r="E497" s="124"/>
      <c r="F497" s="124"/>
      <c r="G497" s="127"/>
      <c r="H497" s="103"/>
      <c r="I497" s="97"/>
      <c r="J497" s="97"/>
      <c r="K497" s="97"/>
      <c r="L497" s="100"/>
      <c r="M497" s="103"/>
      <c r="N497" s="97"/>
      <c r="O497" s="97"/>
      <c r="P497" s="97"/>
      <c r="Q497" s="100"/>
      <c r="R497" s="112"/>
      <c r="S497" s="106"/>
      <c r="T497" s="106"/>
      <c r="U497" s="106"/>
      <c r="V497" s="109"/>
      <c r="W497" s="103"/>
      <c r="X497" s="97"/>
      <c r="Y497" s="97"/>
      <c r="Z497" s="97"/>
      <c r="AA497" s="100"/>
      <c r="AB497" s="134"/>
    </row>
    <row r="498" spans="1:28" ht="13.5" customHeight="1" thickBot="1" x14ac:dyDescent="0.3">
      <c r="A498" s="138"/>
      <c r="B498" s="138"/>
      <c r="C498" s="95"/>
      <c r="D498" s="125"/>
      <c r="E498" s="125"/>
      <c r="F498" s="125"/>
      <c r="G498" s="128"/>
      <c r="H498" s="104"/>
      <c r="I498" s="98"/>
      <c r="J498" s="98"/>
      <c r="K498" s="98"/>
      <c r="L498" s="101"/>
      <c r="M498" s="104"/>
      <c r="N498" s="98"/>
      <c r="O498" s="98"/>
      <c r="P498" s="98"/>
      <c r="Q498" s="101"/>
      <c r="R498" s="113"/>
      <c r="S498" s="107"/>
      <c r="T498" s="107"/>
      <c r="U498" s="107"/>
      <c r="V498" s="110"/>
      <c r="W498" s="104"/>
      <c r="X498" s="98"/>
      <c r="Y498" s="98"/>
      <c r="Z498" s="98"/>
      <c r="AA498" s="101"/>
      <c r="AB498" s="135"/>
    </row>
    <row r="499" spans="1:28" ht="13.5" customHeight="1" x14ac:dyDescent="0.25">
      <c r="A499" s="136">
        <f>ESCUADRAS!B97</f>
        <v>91</v>
      </c>
      <c r="B499" s="136">
        <f>ESCUADRAS!C97</f>
        <v>0</v>
      </c>
      <c r="C499" s="93"/>
      <c r="D499" s="123"/>
      <c r="E499" s="123"/>
      <c r="F499" s="123"/>
      <c r="G499" s="126"/>
      <c r="H499" s="102"/>
      <c r="I499" s="96"/>
      <c r="J499" s="96"/>
      <c r="K499" s="96"/>
      <c r="L499" s="99"/>
      <c r="M499" s="111"/>
      <c r="N499" s="105"/>
      <c r="O499" s="105"/>
      <c r="P499" s="105"/>
      <c r="Q499" s="108"/>
      <c r="R499" s="102"/>
      <c r="S499" s="96"/>
      <c r="T499" s="96"/>
      <c r="U499" s="96"/>
      <c r="V499" s="99"/>
      <c r="W499" s="102"/>
      <c r="X499" s="96"/>
      <c r="Y499" s="96"/>
      <c r="Z499" s="96"/>
      <c r="AA499" s="99"/>
      <c r="AB499" s="133"/>
    </row>
    <row r="500" spans="1:28" ht="14.25" customHeight="1" x14ac:dyDescent="0.25">
      <c r="A500" s="137"/>
      <c r="B500" s="137"/>
      <c r="C500" s="94"/>
      <c r="D500" s="124"/>
      <c r="E500" s="124"/>
      <c r="F500" s="124"/>
      <c r="G500" s="127"/>
      <c r="H500" s="103"/>
      <c r="I500" s="97"/>
      <c r="J500" s="97"/>
      <c r="K500" s="97"/>
      <c r="L500" s="100"/>
      <c r="M500" s="112"/>
      <c r="N500" s="106"/>
      <c r="O500" s="106"/>
      <c r="P500" s="106"/>
      <c r="Q500" s="109"/>
      <c r="R500" s="103"/>
      <c r="S500" s="97"/>
      <c r="T500" s="97"/>
      <c r="U500" s="97"/>
      <c r="V500" s="100"/>
      <c r="W500" s="103"/>
      <c r="X500" s="97"/>
      <c r="Y500" s="97"/>
      <c r="Z500" s="97"/>
      <c r="AA500" s="100"/>
      <c r="AB500" s="134"/>
    </row>
    <row r="501" spans="1:28" ht="13.5" customHeight="1" thickBot="1" x14ac:dyDescent="0.3">
      <c r="A501" s="138"/>
      <c r="B501" s="138"/>
      <c r="C501" s="95"/>
      <c r="D501" s="125"/>
      <c r="E501" s="125"/>
      <c r="F501" s="125"/>
      <c r="G501" s="128"/>
      <c r="H501" s="104"/>
      <c r="I501" s="98"/>
      <c r="J501" s="98"/>
      <c r="K501" s="98"/>
      <c r="L501" s="101"/>
      <c r="M501" s="113"/>
      <c r="N501" s="107"/>
      <c r="O501" s="107"/>
      <c r="P501" s="107"/>
      <c r="Q501" s="110"/>
      <c r="R501" s="104"/>
      <c r="S501" s="98"/>
      <c r="T501" s="98"/>
      <c r="U501" s="98"/>
      <c r="V501" s="101"/>
      <c r="W501" s="104"/>
      <c r="X501" s="98"/>
      <c r="Y501" s="98"/>
      <c r="Z501" s="98"/>
      <c r="AA501" s="101"/>
      <c r="AB501" s="135"/>
    </row>
    <row r="502" spans="1:28" ht="14.25" customHeight="1" x14ac:dyDescent="0.25">
      <c r="A502" s="136">
        <f>ESCUADRAS!B98</f>
        <v>92</v>
      </c>
      <c r="B502" s="136">
        <f>ESCUADRAS!C98</f>
        <v>0</v>
      </c>
      <c r="C502" s="93"/>
      <c r="D502" s="123"/>
      <c r="E502" s="123"/>
      <c r="F502" s="123"/>
      <c r="G502" s="126"/>
      <c r="H502" s="111"/>
      <c r="I502" s="105"/>
      <c r="J502" s="105"/>
      <c r="K502" s="105"/>
      <c r="L502" s="108"/>
      <c r="M502" s="102"/>
      <c r="N502" s="96"/>
      <c r="O502" s="96"/>
      <c r="P502" s="96"/>
      <c r="Q502" s="99"/>
      <c r="R502" s="102"/>
      <c r="S502" s="96"/>
      <c r="T502" s="96"/>
      <c r="U502" s="96"/>
      <c r="V502" s="99"/>
      <c r="W502" s="102"/>
      <c r="X502" s="96"/>
      <c r="Y502" s="96"/>
      <c r="Z502" s="96"/>
      <c r="AA502" s="99"/>
      <c r="AB502" s="133"/>
    </row>
    <row r="503" spans="1:28" ht="14.25" customHeight="1" x14ac:dyDescent="0.25">
      <c r="A503" s="137"/>
      <c r="B503" s="137"/>
      <c r="C503" s="94"/>
      <c r="D503" s="124"/>
      <c r="E503" s="124"/>
      <c r="F503" s="124"/>
      <c r="G503" s="127"/>
      <c r="H503" s="112"/>
      <c r="I503" s="106"/>
      <c r="J503" s="106"/>
      <c r="K503" s="106"/>
      <c r="L503" s="109"/>
      <c r="M503" s="103"/>
      <c r="N503" s="97"/>
      <c r="O503" s="97"/>
      <c r="P503" s="97"/>
      <c r="Q503" s="100"/>
      <c r="R503" s="103"/>
      <c r="S503" s="97"/>
      <c r="T503" s="97"/>
      <c r="U503" s="97"/>
      <c r="V503" s="100"/>
      <c r="W503" s="103"/>
      <c r="X503" s="97"/>
      <c r="Y503" s="97"/>
      <c r="Z503" s="97"/>
      <c r="AA503" s="100"/>
      <c r="AB503" s="134"/>
    </row>
    <row r="504" spans="1:28" ht="13.5" customHeight="1" thickBot="1" x14ac:dyDescent="0.3">
      <c r="A504" s="138"/>
      <c r="B504" s="138"/>
      <c r="C504" s="95"/>
      <c r="D504" s="125"/>
      <c r="E504" s="125"/>
      <c r="F504" s="125"/>
      <c r="G504" s="128"/>
      <c r="H504" s="113"/>
      <c r="I504" s="107"/>
      <c r="J504" s="107"/>
      <c r="K504" s="107"/>
      <c r="L504" s="110"/>
      <c r="M504" s="104"/>
      <c r="N504" s="98"/>
      <c r="O504" s="98"/>
      <c r="P504" s="98"/>
      <c r="Q504" s="101"/>
      <c r="R504" s="104"/>
      <c r="S504" s="98"/>
      <c r="T504" s="98"/>
      <c r="U504" s="98"/>
      <c r="V504" s="101"/>
      <c r="W504" s="104"/>
      <c r="X504" s="98"/>
      <c r="Y504" s="98"/>
      <c r="Z504" s="98"/>
      <c r="AA504" s="101"/>
      <c r="AB504" s="135"/>
    </row>
    <row r="505" spans="1:28" ht="13.5" customHeight="1" x14ac:dyDescent="0.25">
      <c r="A505" s="136">
        <f>ESCUADRAS!B99</f>
        <v>93</v>
      </c>
      <c r="B505" s="136">
        <f>ESCUADRAS!C99</f>
        <v>0</v>
      </c>
      <c r="C505" s="111"/>
      <c r="D505" s="105"/>
      <c r="E505" s="105"/>
      <c r="F505" s="105"/>
      <c r="G505" s="108"/>
      <c r="H505" s="122"/>
      <c r="I505" s="120"/>
      <c r="J505" s="120"/>
      <c r="K505" s="120"/>
      <c r="L505" s="121"/>
      <c r="M505" s="122"/>
      <c r="N505" s="120"/>
      <c r="O505" s="120"/>
      <c r="P505" s="120"/>
      <c r="Q505" s="121"/>
      <c r="R505" s="122"/>
      <c r="S505" s="120"/>
      <c r="T505" s="120"/>
      <c r="U505" s="120"/>
      <c r="V505" s="121"/>
      <c r="W505" s="122"/>
      <c r="X505" s="120"/>
      <c r="Y505" s="120"/>
      <c r="Z505" s="120"/>
      <c r="AA505" s="121"/>
      <c r="AB505" s="133"/>
    </row>
    <row r="506" spans="1:28" ht="14.25" customHeight="1" x14ac:dyDescent="0.25">
      <c r="A506" s="137"/>
      <c r="B506" s="137"/>
      <c r="C506" s="112"/>
      <c r="D506" s="106"/>
      <c r="E506" s="106"/>
      <c r="F506" s="106"/>
      <c r="G506" s="109"/>
      <c r="H506" s="103"/>
      <c r="I506" s="97"/>
      <c r="J506" s="97"/>
      <c r="K506" s="97"/>
      <c r="L506" s="100"/>
      <c r="M506" s="103"/>
      <c r="N506" s="97"/>
      <c r="O506" s="97"/>
      <c r="P506" s="97"/>
      <c r="Q506" s="100"/>
      <c r="R506" s="103"/>
      <c r="S506" s="97"/>
      <c r="T506" s="97"/>
      <c r="U506" s="97"/>
      <c r="V506" s="100"/>
      <c r="W506" s="103"/>
      <c r="X506" s="97"/>
      <c r="Y506" s="97"/>
      <c r="Z506" s="97"/>
      <c r="AA506" s="100"/>
      <c r="AB506" s="134"/>
    </row>
    <row r="507" spans="1:28" ht="13.5" customHeight="1" thickBot="1" x14ac:dyDescent="0.3">
      <c r="A507" s="138"/>
      <c r="B507" s="138"/>
      <c r="C507" s="113"/>
      <c r="D507" s="107"/>
      <c r="E507" s="107"/>
      <c r="F507" s="107"/>
      <c r="G507" s="110"/>
      <c r="H507" s="104"/>
      <c r="I507" s="98"/>
      <c r="J507" s="98"/>
      <c r="K507" s="98"/>
      <c r="L507" s="101"/>
      <c r="M507" s="104"/>
      <c r="N507" s="98"/>
      <c r="O507" s="98"/>
      <c r="P507" s="98"/>
      <c r="Q507" s="101"/>
      <c r="R507" s="104"/>
      <c r="S507" s="98"/>
      <c r="T507" s="98"/>
      <c r="U507" s="98"/>
      <c r="V507" s="101"/>
      <c r="W507" s="104"/>
      <c r="X507" s="98"/>
      <c r="Y507" s="98"/>
      <c r="Z507" s="98"/>
      <c r="AA507" s="101"/>
      <c r="AB507" s="135"/>
    </row>
    <row r="509" spans="1:28" ht="15" x14ac:dyDescent="0.25">
      <c r="A509" s="28"/>
      <c r="B509" s="26" t="s">
        <v>35</v>
      </c>
      <c r="E509" s="21" t="s">
        <v>41</v>
      </c>
      <c r="I509" s="21" t="s">
        <v>42</v>
      </c>
      <c r="M509" s="21" t="s">
        <v>43</v>
      </c>
      <c r="Q509" s="21" t="s">
        <v>44</v>
      </c>
      <c r="U509" s="21" t="s">
        <v>45</v>
      </c>
      <c r="Y509" s="21" t="s">
        <v>46</v>
      </c>
    </row>
    <row r="515" spans="1:32" ht="26.25" customHeight="1" x14ac:dyDescent="0.25">
      <c r="A515" s="144" t="str">
        <f>'INSCRIPCION '!A$1</f>
        <v>TIRADA</v>
      </c>
      <c r="B515" s="144"/>
      <c r="C515" s="144"/>
      <c r="D515" s="144"/>
      <c r="E515" s="144"/>
      <c r="F515" s="144"/>
      <c r="G515" s="144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  <c r="AF515" s="144"/>
    </row>
    <row r="516" spans="1:32" ht="19.5" customHeight="1" x14ac:dyDescent="0.4">
      <c r="A516" s="23"/>
      <c r="B516" s="23"/>
    </row>
    <row r="517" spans="1:32" ht="22.8" x14ac:dyDescent="0.25">
      <c r="A517" s="132" t="str">
        <f>'INSCRIPCION '!A$2</f>
        <v>CAMPO DE TIRO LA ISLA</v>
      </c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3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32"/>
      <c r="AF517" s="132"/>
    </row>
    <row r="518" spans="1:32" ht="20.399999999999999" x14ac:dyDescent="0.25">
      <c r="A518" s="143" t="str">
        <f>'INSCRIPCION '!A$3</f>
        <v>XXX PLATOS</v>
      </c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</row>
    <row r="519" spans="1:32" ht="22.8" x14ac:dyDescent="0.4">
      <c r="A519" s="24"/>
      <c r="B519" s="24"/>
    </row>
    <row r="520" spans="1:32" ht="17.399999999999999" x14ac:dyDescent="0.3">
      <c r="A520" s="25" t="s">
        <v>26</v>
      </c>
      <c r="B520" s="25"/>
      <c r="J520" s="9" t="s">
        <v>6</v>
      </c>
      <c r="K520" s="9"/>
      <c r="L520" s="9"/>
      <c r="M520" s="9"/>
      <c r="N520" s="9"/>
      <c r="O520" s="22">
        <v>4</v>
      </c>
      <c r="P520" s="22"/>
      <c r="Q520" s="8"/>
      <c r="R520" s="8"/>
      <c r="S520" s="7"/>
      <c r="T520" s="8"/>
      <c r="U520" s="8"/>
      <c r="V520" s="9" t="s">
        <v>7</v>
      </c>
      <c r="W520" s="9"/>
      <c r="X520" s="9"/>
      <c r="Y520" s="9"/>
      <c r="Z520" s="22">
        <v>4</v>
      </c>
      <c r="AA520" s="22"/>
    </row>
    <row r="521" spans="1:32" ht="13.8" thickBot="1" x14ac:dyDescent="0.3"/>
    <row r="522" spans="1:32" ht="15.6" thickBot="1" x14ac:dyDescent="0.3">
      <c r="A522" s="27" t="s">
        <v>0</v>
      </c>
      <c r="B522" s="27" t="s">
        <v>8</v>
      </c>
      <c r="C522" s="47">
        <v>1</v>
      </c>
      <c r="D522" s="48">
        <v>2</v>
      </c>
      <c r="E522" s="48">
        <v>3</v>
      </c>
      <c r="F522" s="48">
        <v>4</v>
      </c>
      <c r="G522" s="49">
        <v>5</v>
      </c>
      <c r="H522" s="47">
        <v>6</v>
      </c>
      <c r="I522" s="48">
        <v>7</v>
      </c>
      <c r="J522" s="48">
        <v>8</v>
      </c>
      <c r="K522" s="48">
        <v>9</v>
      </c>
      <c r="L522" s="49">
        <v>10</v>
      </c>
      <c r="M522" s="47">
        <v>11</v>
      </c>
      <c r="N522" s="48">
        <v>12</v>
      </c>
      <c r="O522" s="48">
        <v>13</v>
      </c>
      <c r="P522" s="48">
        <v>14</v>
      </c>
      <c r="Q522" s="49">
        <v>15</v>
      </c>
      <c r="R522" s="47">
        <v>16</v>
      </c>
      <c r="S522" s="48">
        <v>17</v>
      </c>
      <c r="T522" s="48">
        <v>18</v>
      </c>
      <c r="U522" s="48">
        <v>19</v>
      </c>
      <c r="V522" s="49">
        <v>20</v>
      </c>
      <c r="W522" s="47">
        <v>21</v>
      </c>
      <c r="X522" s="48">
        <v>22</v>
      </c>
      <c r="Y522" s="48">
        <v>23</v>
      </c>
      <c r="Z522" s="48">
        <v>24</v>
      </c>
      <c r="AA522" s="49">
        <v>25</v>
      </c>
      <c r="AB522" s="30" t="s">
        <v>1</v>
      </c>
    </row>
    <row r="523" spans="1:32" ht="14.25" customHeight="1" x14ac:dyDescent="0.25">
      <c r="A523" s="136">
        <f>ESCUADRAS!B106</f>
        <v>100</v>
      </c>
      <c r="B523" s="136">
        <f>ESCUADRAS!C106</f>
        <v>0</v>
      </c>
      <c r="C523" s="129"/>
      <c r="D523" s="114"/>
      <c r="E523" s="114"/>
      <c r="F523" s="114"/>
      <c r="G523" s="117"/>
      <c r="H523" s="111"/>
      <c r="I523" s="105"/>
      <c r="J523" s="105"/>
      <c r="K523" s="105"/>
      <c r="L523" s="108"/>
      <c r="M523" s="111"/>
      <c r="N523" s="105"/>
      <c r="O523" s="105"/>
      <c r="P523" s="105"/>
      <c r="Q523" s="108"/>
      <c r="R523" s="111"/>
      <c r="S523" s="105"/>
      <c r="T523" s="105"/>
      <c r="U523" s="105"/>
      <c r="V523" s="108"/>
      <c r="W523" s="111"/>
      <c r="X523" s="105"/>
      <c r="Y523" s="105"/>
      <c r="Z523" s="105"/>
      <c r="AA523" s="108"/>
      <c r="AB523" s="133"/>
    </row>
    <row r="524" spans="1:32" ht="14.25" customHeight="1" x14ac:dyDescent="0.25">
      <c r="A524" s="137"/>
      <c r="B524" s="137"/>
      <c r="C524" s="130"/>
      <c r="D524" s="115"/>
      <c r="E524" s="115"/>
      <c r="F524" s="115"/>
      <c r="G524" s="118"/>
      <c r="H524" s="112"/>
      <c r="I524" s="106"/>
      <c r="J524" s="106"/>
      <c r="K524" s="106"/>
      <c r="L524" s="109"/>
      <c r="M524" s="112"/>
      <c r="N524" s="106"/>
      <c r="O524" s="106"/>
      <c r="P524" s="106"/>
      <c r="Q524" s="109"/>
      <c r="R524" s="112"/>
      <c r="S524" s="106"/>
      <c r="T524" s="106"/>
      <c r="U524" s="106"/>
      <c r="V524" s="109"/>
      <c r="W524" s="112"/>
      <c r="X524" s="106"/>
      <c r="Y524" s="106"/>
      <c r="Z524" s="106"/>
      <c r="AA524" s="109"/>
      <c r="AB524" s="134"/>
    </row>
    <row r="525" spans="1:32" ht="13.5" customHeight="1" thickBot="1" x14ac:dyDescent="0.3">
      <c r="A525" s="138"/>
      <c r="B525" s="138"/>
      <c r="C525" s="131"/>
      <c r="D525" s="116"/>
      <c r="E525" s="116"/>
      <c r="F525" s="116"/>
      <c r="G525" s="119"/>
      <c r="H525" s="113"/>
      <c r="I525" s="107"/>
      <c r="J525" s="107"/>
      <c r="K525" s="107"/>
      <c r="L525" s="110"/>
      <c r="M525" s="113"/>
      <c r="N525" s="107"/>
      <c r="O525" s="107"/>
      <c r="P525" s="107"/>
      <c r="Q525" s="110"/>
      <c r="R525" s="113"/>
      <c r="S525" s="107"/>
      <c r="T525" s="107"/>
      <c r="U525" s="107"/>
      <c r="V525" s="110"/>
      <c r="W525" s="113"/>
      <c r="X525" s="107"/>
      <c r="Y525" s="107"/>
      <c r="Z525" s="107"/>
      <c r="AA525" s="110"/>
      <c r="AB525" s="135"/>
    </row>
    <row r="526" spans="1:32" ht="14.25" customHeight="1" x14ac:dyDescent="0.25">
      <c r="A526" s="136">
        <f>ESCUADRAS!B107</f>
        <v>101</v>
      </c>
      <c r="B526" s="136">
        <f>ESCUADRAS!C107</f>
        <v>0</v>
      </c>
      <c r="C526" s="93"/>
      <c r="D526" s="123"/>
      <c r="E526" s="123"/>
      <c r="F526" s="123"/>
      <c r="G526" s="126"/>
      <c r="H526" s="102"/>
      <c r="I526" s="96"/>
      <c r="J526" s="96"/>
      <c r="K526" s="96"/>
      <c r="L526" s="99"/>
      <c r="M526" s="102"/>
      <c r="N526" s="96"/>
      <c r="O526" s="96"/>
      <c r="P526" s="96"/>
      <c r="Q526" s="99"/>
      <c r="R526" s="102"/>
      <c r="S526" s="96"/>
      <c r="T526" s="96"/>
      <c r="U526" s="96"/>
      <c r="V526" s="99"/>
      <c r="W526" s="111"/>
      <c r="X526" s="105"/>
      <c r="Y526" s="105"/>
      <c r="Z526" s="105"/>
      <c r="AA526" s="108"/>
      <c r="AB526" s="133"/>
    </row>
    <row r="527" spans="1:32" ht="14.25" customHeight="1" x14ac:dyDescent="0.25">
      <c r="A527" s="137"/>
      <c r="B527" s="137"/>
      <c r="C527" s="94"/>
      <c r="D527" s="124"/>
      <c r="E527" s="124"/>
      <c r="F527" s="124"/>
      <c r="G527" s="127"/>
      <c r="H527" s="103"/>
      <c r="I527" s="97"/>
      <c r="J527" s="97"/>
      <c r="K527" s="97"/>
      <c r="L527" s="100"/>
      <c r="M527" s="103"/>
      <c r="N527" s="97"/>
      <c r="O527" s="97"/>
      <c r="P527" s="97"/>
      <c r="Q527" s="100"/>
      <c r="R527" s="103"/>
      <c r="S527" s="97"/>
      <c r="T527" s="97"/>
      <c r="U527" s="97"/>
      <c r="V527" s="100"/>
      <c r="W527" s="112"/>
      <c r="X527" s="106"/>
      <c r="Y527" s="106"/>
      <c r="Z527" s="106"/>
      <c r="AA527" s="109"/>
      <c r="AB527" s="134"/>
    </row>
    <row r="528" spans="1:32" ht="13.5" customHeight="1" thickBot="1" x14ac:dyDescent="0.3">
      <c r="A528" s="138"/>
      <c r="B528" s="138"/>
      <c r="C528" s="95"/>
      <c r="D528" s="125"/>
      <c r="E528" s="125"/>
      <c r="F528" s="125"/>
      <c r="G528" s="128"/>
      <c r="H528" s="104"/>
      <c r="I528" s="98"/>
      <c r="J528" s="98"/>
      <c r="K528" s="98"/>
      <c r="L528" s="101"/>
      <c r="M528" s="104"/>
      <c r="N528" s="98"/>
      <c r="O528" s="98"/>
      <c r="P528" s="98"/>
      <c r="Q528" s="101"/>
      <c r="R528" s="104"/>
      <c r="S528" s="98"/>
      <c r="T528" s="98"/>
      <c r="U528" s="98"/>
      <c r="V528" s="101"/>
      <c r="W528" s="113"/>
      <c r="X528" s="107"/>
      <c r="Y528" s="107"/>
      <c r="Z528" s="107"/>
      <c r="AA528" s="110"/>
      <c r="AB528" s="135"/>
    </row>
    <row r="529" spans="1:28" ht="14.25" customHeight="1" x14ac:dyDescent="0.25">
      <c r="A529" s="136">
        <f>ESCUADRAS!B108</f>
        <v>102</v>
      </c>
      <c r="B529" s="136">
        <f>ESCUADRAS!C108</f>
        <v>0</v>
      </c>
      <c r="C529" s="93"/>
      <c r="D529" s="123"/>
      <c r="E529" s="123"/>
      <c r="F529" s="123"/>
      <c r="G529" s="126"/>
      <c r="H529" s="102"/>
      <c r="I529" s="96"/>
      <c r="J529" s="96"/>
      <c r="K529" s="96"/>
      <c r="L529" s="99"/>
      <c r="M529" s="102"/>
      <c r="N529" s="96"/>
      <c r="O529" s="96"/>
      <c r="P529" s="96"/>
      <c r="Q529" s="99"/>
      <c r="R529" s="111"/>
      <c r="S529" s="105"/>
      <c r="T529" s="105"/>
      <c r="U529" s="105"/>
      <c r="V529" s="108"/>
      <c r="W529" s="102"/>
      <c r="X529" s="96"/>
      <c r="Y529" s="96"/>
      <c r="Z529" s="96"/>
      <c r="AA529" s="99"/>
      <c r="AB529" s="133"/>
    </row>
    <row r="530" spans="1:28" ht="14.25" customHeight="1" x14ac:dyDescent="0.25">
      <c r="A530" s="137"/>
      <c r="B530" s="137"/>
      <c r="C530" s="94"/>
      <c r="D530" s="124"/>
      <c r="E530" s="124"/>
      <c r="F530" s="124"/>
      <c r="G530" s="127"/>
      <c r="H530" s="103"/>
      <c r="I530" s="97"/>
      <c r="J530" s="97"/>
      <c r="K530" s="97"/>
      <c r="L530" s="100"/>
      <c r="M530" s="103"/>
      <c r="N530" s="97"/>
      <c r="O530" s="97"/>
      <c r="P530" s="97"/>
      <c r="Q530" s="100"/>
      <c r="R530" s="112"/>
      <c r="S530" s="106"/>
      <c r="T530" s="106"/>
      <c r="U530" s="106"/>
      <c r="V530" s="109"/>
      <c r="W530" s="103"/>
      <c r="X530" s="97"/>
      <c r="Y530" s="97"/>
      <c r="Z530" s="97"/>
      <c r="AA530" s="100"/>
      <c r="AB530" s="134"/>
    </row>
    <row r="531" spans="1:28" ht="13.5" customHeight="1" thickBot="1" x14ac:dyDescent="0.3">
      <c r="A531" s="138"/>
      <c r="B531" s="138"/>
      <c r="C531" s="95"/>
      <c r="D531" s="125"/>
      <c r="E531" s="125"/>
      <c r="F531" s="125"/>
      <c r="G531" s="128"/>
      <c r="H531" s="104"/>
      <c r="I531" s="98"/>
      <c r="J531" s="98"/>
      <c r="K531" s="98"/>
      <c r="L531" s="101"/>
      <c r="M531" s="104"/>
      <c r="N531" s="98"/>
      <c r="O531" s="98"/>
      <c r="P531" s="98"/>
      <c r="Q531" s="101"/>
      <c r="R531" s="113"/>
      <c r="S531" s="107"/>
      <c r="T531" s="107"/>
      <c r="U531" s="107"/>
      <c r="V531" s="110"/>
      <c r="W531" s="104"/>
      <c r="X531" s="98"/>
      <c r="Y531" s="98"/>
      <c r="Z531" s="98"/>
      <c r="AA531" s="101"/>
      <c r="AB531" s="135"/>
    </row>
    <row r="532" spans="1:28" ht="13.5" customHeight="1" x14ac:dyDescent="0.25">
      <c r="A532" s="136">
        <f>ESCUADRAS!B103</f>
        <v>97</v>
      </c>
      <c r="B532" s="136">
        <f>ESCUADRAS!C103</f>
        <v>0</v>
      </c>
      <c r="C532" s="93"/>
      <c r="D532" s="123"/>
      <c r="E532" s="123"/>
      <c r="F532" s="123"/>
      <c r="G532" s="126"/>
      <c r="H532" s="102"/>
      <c r="I532" s="96"/>
      <c r="J532" s="96"/>
      <c r="K532" s="96"/>
      <c r="L532" s="99"/>
      <c r="M532" s="111"/>
      <c r="N532" s="105"/>
      <c r="O532" s="105"/>
      <c r="P532" s="105"/>
      <c r="Q532" s="108"/>
      <c r="R532" s="102"/>
      <c r="S532" s="96"/>
      <c r="T532" s="96"/>
      <c r="U532" s="96"/>
      <c r="V532" s="99"/>
      <c r="W532" s="102"/>
      <c r="X532" s="96"/>
      <c r="Y532" s="96"/>
      <c r="Z532" s="96"/>
      <c r="AA532" s="99"/>
      <c r="AB532" s="133"/>
    </row>
    <row r="533" spans="1:28" ht="14.25" customHeight="1" x14ac:dyDescent="0.25">
      <c r="A533" s="137"/>
      <c r="B533" s="137"/>
      <c r="C533" s="94"/>
      <c r="D533" s="124"/>
      <c r="E533" s="124"/>
      <c r="F533" s="124"/>
      <c r="G533" s="127"/>
      <c r="H533" s="103"/>
      <c r="I533" s="97"/>
      <c r="J533" s="97"/>
      <c r="K533" s="97"/>
      <c r="L533" s="100"/>
      <c r="M533" s="112"/>
      <c r="N533" s="106"/>
      <c r="O533" s="106"/>
      <c r="P533" s="106"/>
      <c r="Q533" s="109"/>
      <c r="R533" s="103"/>
      <c r="S533" s="97"/>
      <c r="T533" s="97"/>
      <c r="U533" s="97"/>
      <c r="V533" s="100"/>
      <c r="W533" s="103"/>
      <c r="X533" s="97"/>
      <c r="Y533" s="97"/>
      <c r="Z533" s="97"/>
      <c r="AA533" s="100"/>
      <c r="AB533" s="134"/>
    </row>
    <row r="534" spans="1:28" ht="13.5" customHeight="1" thickBot="1" x14ac:dyDescent="0.3">
      <c r="A534" s="138"/>
      <c r="B534" s="138"/>
      <c r="C534" s="95"/>
      <c r="D534" s="125"/>
      <c r="E534" s="125"/>
      <c r="F534" s="125"/>
      <c r="G534" s="128"/>
      <c r="H534" s="104"/>
      <c r="I534" s="98"/>
      <c r="J534" s="98"/>
      <c r="K534" s="98"/>
      <c r="L534" s="101"/>
      <c r="M534" s="113"/>
      <c r="N534" s="107"/>
      <c r="O534" s="107"/>
      <c r="P534" s="107"/>
      <c r="Q534" s="110"/>
      <c r="R534" s="104"/>
      <c r="S534" s="98"/>
      <c r="T534" s="98"/>
      <c r="U534" s="98"/>
      <c r="V534" s="101"/>
      <c r="W534" s="104"/>
      <c r="X534" s="98"/>
      <c r="Y534" s="98"/>
      <c r="Z534" s="98"/>
      <c r="AA534" s="101"/>
      <c r="AB534" s="135"/>
    </row>
    <row r="535" spans="1:28" ht="14.25" customHeight="1" x14ac:dyDescent="0.25">
      <c r="A535" s="136">
        <f>ESCUADRAS!B104</f>
        <v>98</v>
      </c>
      <c r="B535" s="136">
        <f>ESCUADRAS!C104</f>
        <v>0</v>
      </c>
      <c r="C535" s="93"/>
      <c r="D535" s="123"/>
      <c r="E535" s="123"/>
      <c r="F535" s="123"/>
      <c r="G535" s="126"/>
      <c r="H535" s="111"/>
      <c r="I535" s="105"/>
      <c r="J535" s="105"/>
      <c r="K535" s="105"/>
      <c r="L535" s="108"/>
      <c r="M535" s="102"/>
      <c r="N535" s="96"/>
      <c r="O535" s="96"/>
      <c r="P535" s="96"/>
      <c r="Q535" s="99"/>
      <c r="R535" s="102"/>
      <c r="S535" s="96"/>
      <c r="T535" s="96"/>
      <c r="U535" s="96"/>
      <c r="V535" s="99"/>
      <c r="W535" s="102"/>
      <c r="X535" s="96"/>
      <c r="Y535" s="96"/>
      <c r="Z535" s="96"/>
      <c r="AA535" s="99"/>
      <c r="AB535" s="133"/>
    </row>
    <row r="536" spans="1:28" ht="14.25" customHeight="1" x14ac:dyDescent="0.25">
      <c r="A536" s="137"/>
      <c r="B536" s="137"/>
      <c r="C536" s="94"/>
      <c r="D536" s="124"/>
      <c r="E536" s="124"/>
      <c r="F536" s="124"/>
      <c r="G536" s="127"/>
      <c r="H536" s="112"/>
      <c r="I536" s="106"/>
      <c r="J536" s="106"/>
      <c r="K536" s="106"/>
      <c r="L536" s="109"/>
      <c r="M536" s="103"/>
      <c r="N536" s="97"/>
      <c r="O536" s="97"/>
      <c r="P536" s="97"/>
      <c r="Q536" s="100"/>
      <c r="R536" s="103"/>
      <c r="S536" s="97"/>
      <c r="T536" s="97"/>
      <c r="U536" s="97"/>
      <c r="V536" s="100"/>
      <c r="W536" s="103"/>
      <c r="X536" s="97"/>
      <c r="Y536" s="97"/>
      <c r="Z536" s="97"/>
      <c r="AA536" s="100"/>
      <c r="AB536" s="134"/>
    </row>
    <row r="537" spans="1:28" ht="13.5" customHeight="1" thickBot="1" x14ac:dyDescent="0.3">
      <c r="A537" s="138"/>
      <c r="B537" s="138"/>
      <c r="C537" s="95"/>
      <c r="D537" s="125"/>
      <c r="E537" s="125"/>
      <c r="F537" s="125"/>
      <c r="G537" s="128"/>
      <c r="H537" s="113"/>
      <c r="I537" s="107"/>
      <c r="J537" s="107"/>
      <c r="K537" s="107"/>
      <c r="L537" s="110"/>
      <c r="M537" s="104"/>
      <c r="N537" s="98"/>
      <c r="O537" s="98"/>
      <c r="P537" s="98"/>
      <c r="Q537" s="101"/>
      <c r="R537" s="104"/>
      <c r="S537" s="98"/>
      <c r="T537" s="98"/>
      <c r="U537" s="98"/>
      <c r="V537" s="101"/>
      <c r="W537" s="104"/>
      <c r="X537" s="98"/>
      <c r="Y537" s="98"/>
      <c r="Z537" s="98"/>
      <c r="AA537" s="101"/>
      <c r="AB537" s="135"/>
    </row>
    <row r="538" spans="1:28" ht="13.5" customHeight="1" x14ac:dyDescent="0.25">
      <c r="A538" s="136">
        <f>ESCUADRAS!B105</f>
        <v>99</v>
      </c>
      <c r="B538" s="136">
        <f>ESCUADRAS!C105</f>
        <v>0</v>
      </c>
      <c r="C538" s="111"/>
      <c r="D538" s="105"/>
      <c r="E538" s="105"/>
      <c r="F538" s="105"/>
      <c r="G538" s="108"/>
      <c r="H538" s="122"/>
      <c r="I538" s="120"/>
      <c r="J538" s="120"/>
      <c r="K538" s="120"/>
      <c r="L538" s="121"/>
      <c r="M538" s="122"/>
      <c r="N538" s="120"/>
      <c r="O538" s="120"/>
      <c r="P538" s="120"/>
      <c r="Q538" s="121"/>
      <c r="R538" s="122"/>
      <c r="S538" s="120"/>
      <c r="T538" s="120"/>
      <c r="U538" s="120"/>
      <c r="V538" s="121"/>
      <c r="W538" s="122"/>
      <c r="X538" s="120"/>
      <c r="Y538" s="120"/>
      <c r="Z538" s="120"/>
      <c r="AA538" s="121"/>
      <c r="AB538" s="133"/>
    </row>
    <row r="539" spans="1:28" ht="14.25" customHeight="1" x14ac:dyDescent="0.25">
      <c r="A539" s="137"/>
      <c r="B539" s="137"/>
      <c r="C539" s="112"/>
      <c r="D539" s="106"/>
      <c r="E539" s="106"/>
      <c r="F539" s="106"/>
      <c r="G539" s="109"/>
      <c r="H539" s="103"/>
      <c r="I539" s="97"/>
      <c r="J539" s="97"/>
      <c r="K539" s="97"/>
      <c r="L539" s="100"/>
      <c r="M539" s="103"/>
      <c r="N539" s="97"/>
      <c r="O539" s="97"/>
      <c r="P539" s="97"/>
      <c r="Q539" s="100"/>
      <c r="R539" s="103"/>
      <c r="S539" s="97"/>
      <c r="T539" s="97"/>
      <c r="U539" s="97"/>
      <c r="V539" s="100"/>
      <c r="W539" s="103"/>
      <c r="X539" s="97"/>
      <c r="Y539" s="97"/>
      <c r="Z539" s="97"/>
      <c r="AA539" s="100"/>
      <c r="AB539" s="134"/>
    </row>
    <row r="540" spans="1:28" ht="13.5" customHeight="1" thickBot="1" x14ac:dyDescent="0.3">
      <c r="A540" s="138"/>
      <c r="B540" s="138"/>
      <c r="C540" s="113"/>
      <c r="D540" s="107"/>
      <c r="E540" s="107"/>
      <c r="F540" s="107"/>
      <c r="G540" s="110"/>
      <c r="H540" s="104"/>
      <c r="I540" s="98"/>
      <c r="J540" s="98"/>
      <c r="K540" s="98"/>
      <c r="L540" s="101"/>
      <c r="M540" s="104"/>
      <c r="N540" s="98"/>
      <c r="O540" s="98"/>
      <c r="P540" s="98"/>
      <c r="Q540" s="101"/>
      <c r="R540" s="104"/>
      <c r="S540" s="98"/>
      <c r="T540" s="98"/>
      <c r="U540" s="98"/>
      <c r="V540" s="101"/>
      <c r="W540" s="104"/>
      <c r="X540" s="98"/>
      <c r="Y540" s="98"/>
      <c r="Z540" s="98"/>
      <c r="AA540" s="101"/>
      <c r="AB540" s="135"/>
    </row>
    <row r="542" spans="1:28" ht="15" x14ac:dyDescent="0.25">
      <c r="A542" s="28"/>
      <c r="B542" s="26" t="s">
        <v>35</v>
      </c>
      <c r="E542" s="21" t="s">
        <v>41</v>
      </c>
      <c r="I542" s="21" t="s">
        <v>42</v>
      </c>
      <c r="M542" s="21" t="s">
        <v>43</v>
      </c>
      <c r="Q542" s="21" t="s">
        <v>44</v>
      </c>
      <c r="U542" s="21" t="s">
        <v>45</v>
      </c>
      <c r="Y542" s="21" t="s">
        <v>46</v>
      </c>
    </row>
    <row r="549" spans="1:32" ht="24.6" x14ac:dyDescent="0.25">
      <c r="A549" s="144" t="str">
        <f>'INSCRIPCION '!A$1</f>
        <v>TIRADA</v>
      </c>
      <c r="B549" s="144"/>
      <c r="C549" s="144"/>
      <c r="D549" s="144"/>
      <c r="E549" s="144"/>
      <c r="F549" s="144"/>
      <c r="G549" s="144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  <c r="AF549" s="144"/>
    </row>
    <row r="550" spans="1:32" ht="24.6" x14ac:dyDescent="0.4">
      <c r="A550" s="23"/>
      <c r="B550" s="23"/>
    </row>
    <row r="551" spans="1:32" ht="22.8" x14ac:dyDescent="0.25">
      <c r="A551" s="132" t="str">
        <f>'INSCRIPCION '!A$2</f>
        <v>CAMPO DE TIRO LA ISLA</v>
      </c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32"/>
      <c r="N551" s="132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32"/>
      <c r="AF551" s="132"/>
    </row>
    <row r="552" spans="1:32" ht="20.399999999999999" x14ac:dyDescent="0.25">
      <c r="A552" s="143" t="str">
        <f>'INSCRIPCION '!A$3</f>
        <v>XXX PLATOS</v>
      </c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</row>
    <row r="553" spans="1:32" ht="22.8" x14ac:dyDescent="0.4">
      <c r="A553" s="24"/>
      <c r="B553" s="24"/>
    </row>
    <row r="554" spans="1:32" ht="17.399999999999999" x14ac:dyDescent="0.3">
      <c r="A554" s="25" t="s">
        <v>27</v>
      </c>
      <c r="B554" s="25"/>
      <c r="J554" s="9" t="s">
        <v>6</v>
      </c>
      <c r="K554" s="9"/>
      <c r="L554" s="9"/>
      <c r="M554" s="9"/>
      <c r="N554" s="9"/>
      <c r="O554" s="22">
        <v>1</v>
      </c>
      <c r="P554" s="22"/>
      <c r="Q554" s="8"/>
      <c r="R554" s="8"/>
      <c r="S554" s="7"/>
      <c r="T554" s="8"/>
      <c r="U554" s="8"/>
      <c r="V554" s="9" t="s">
        <v>7</v>
      </c>
      <c r="W554" s="9"/>
      <c r="X554" s="9"/>
      <c r="Y554" s="9"/>
      <c r="Z554" s="22">
        <v>4</v>
      </c>
      <c r="AA554" s="22"/>
    </row>
    <row r="555" spans="1:32" ht="13.8" thickBot="1" x14ac:dyDescent="0.3"/>
    <row r="556" spans="1:32" ht="15.6" thickBot="1" x14ac:dyDescent="0.3">
      <c r="A556" s="27" t="s">
        <v>0</v>
      </c>
      <c r="B556" s="27" t="s">
        <v>8</v>
      </c>
      <c r="C556" s="47">
        <v>1</v>
      </c>
      <c r="D556" s="48">
        <v>2</v>
      </c>
      <c r="E556" s="48">
        <v>3</v>
      </c>
      <c r="F556" s="48">
        <v>4</v>
      </c>
      <c r="G556" s="49">
        <v>5</v>
      </c>
      <c r="H556" s="47">
        <v>6</v>
      </c>
      <c r="I556" s="48">
        <v>7</v>
      </c>
      <c r="J556" s="48">
        <v>8</v>
      </c>
      <c r="K556" s="48">
        <v>9</v>
      </c>
      <c r="L556" s="49">
        <v>10</v>
      </c>
      <c r="M556" s="47">
        <v>11</v>
      </c>
      <c r="N556" s="48">
        <v>12</v>
      </c>
      <c r="O556" s="48">
        <v>13</v>
      </c>
      <c r="P556" s="48">
        <v>14</v>
      </c>
      <c r="Q556" s="49">
        <v>15</v>
      </c>
      <c r="R556" s="47">
        <v>16</v>
      </c>
      <c r="S556" s="48">
        <v>17</v>
      </c>
      <c r="T556" s="48">
        <v>18</v>
      </c>
      <c r="U556" s="48">
        <v>19</v>
      </c>
      <c r="V556" s="49">
        <v>20</v>
      </c>
      <c r="W556" s="47">
        <v>21</v>
      </c>
      <c r="X556" s="48">
        <v>22</v>
      </c>
      <c r="Y556" s="48">
        <v>23</v>
      </c>
      <c r="Z556" s="48">
        <v>24</v>
      </c>
      <c r="AA556" s="49">
        <v>25</v>
      </c>
      <c r="AB556" s="30" t="s">
        <v>1</v>
      </c>
    </row>
    <row r="557" spans="1:32" ht="14.25" customHeight="1" x14ac:dyDescent="0.25">
      <c r="A557" s="136">
        <f>ESCUADRAS!B112</f>
        <v>106</v>
      </c>
      <c r="B557" s="136">
        <f>ESCUADRAS!C112</f>
        <v>0</v>
      </c>
      <c r="C557" s="129"/>
      <c r="D557" s="114"/>
      <c r="E557" s="114"/>
      <c r="F557" s="114"/>
      <c r="G557" s="117"/>
      <c r="H557" s="111"/>
      <c r="I557" s="105"/>
      <c r="J557" s="105"/>
      <c r="K557" s="105"/>
      <c r="L557" s="108"/>
      <c r="M557" s="111"/>
      <c r="N557" s="105"/>
      <c r="O557" s="105"/>
      <c r="P557" s="105"/>
      <c r="Q557" s="108"/>
      <c r="R557" s="111"/>
      <c r="S557" s="105"/>
      <c r="T557" s="105"/>
      <c r="U557" s="105"/>
      <c r="V557" s="108"/>
      <c r="W557" s="111"/>
      <c r="X557" s="105"/>
      <c r="Y557" s="105"/>
      <c r="Z557" s="105"/>
      <c r="AA557" s="108"/>
      <c r="AB557" s="133"/>
    </row>
    <row r="558" spans="1:32" ht="14.25" customHeight="1" x14ac:dyDescent="0.25">
      <c r="A558" s="137"/>
      <c r="B558" s="137"/>
      <c r="C558" s="130"/>
      <c r="D558" s="115"/>
      <c r="E558" s="115"/>
      <c r="F558" s="115"/>
      <c r="G558" s="118"/>
      <c r="H558" s="112"/>
      <c r="I558" s="106"/>
      <c r="J558" s="106"/>
      <c r="K558" s="106"/>
      <c r="L558" s="109"/>
      <c r="M558" s="112"/>
      <c r="N558" s="106"/>
      <c r="O558" s="106"/>
      <c r="P558" s="106"/>
      <c r="Q558" s="109"/>
      <c r="R558" s="112"/>
      <c r="S558" s="106"/>
      <c r="T558" s="106"/>
      <c r="U558" s="106"/>
      <c r="V558" s="109"/>
      <c r="W558" s="112"/>
      <c r="X558" s="106"/>
      <c r="Y558" s="106"/>
      <c r="Z558" s="106"/>
      <c r="AA558" s="109"/>
      <c r="AB558" s="134"/>
    </row>
    <row r="559" spans="1:32" ht="13.5" customHeight="1" thickBot="1" x14ac:dyDescent="0.3">
      <c r="A559" s="138"/>
      <c r="B559" s="138"/>
      <c r="C559" s="131"/>
      <c r="D559" s="116"/>
      <c r="E559" s="116"/>
      <c r="F559" s="116"/>
      <c r="G559" s="119"/>
      <c r="H559" s="113"/>
      <c r="I559" s="107"/>
      <c r="J559" s="107"/>
      <c r="K559" s="107"/>
      <c r="L559" s="110"/>
      <c r="M559" s="113"/>
      <c r="N559" s="107"/>
      <c r="O559" s="107"/>
      <c r="P559" s="107"/>
      <c r="Q559" s="110"/>
      <c r="R559" s="113"/>
      <c r="S559" s="107"/>
      <c r="T559" s="107"/>
      <c r="U559" s="107"/>
      <c r="V559" s="110"/>
      <c r="W559" s="113"/>
      <c r="X559" s="107"/>
      <c r="Y559" s="107"/>
      <c r="Z559" s="107"/>
      <c r="AA559" s="110"/>
      <c r="AB559" s="135"/>
    </row>
    <row r="560" spans="1:32" ht="14.25" customHeight="1" x14ac:dyDescent="0.25">
      <c r="A560" s="136">
        <f>ESCUADRAS!B113</f>
        <v>107</v>
      </c>
      <c r="B560" s="136">
        <f>ESCUADRAS!C113</f>
        <v>0</v>
      </c>
      <c r="C560" s="93"/>
      <c r="D560" s="123"/>
      <c r="E560" s="123"/>
      <c r="F560" s="123"/>
      <c r="G560" s="126"/>
      <c r="H560" s="102"/>
      <c r="I560" s="96"/>
      <c r="J560" s="96"/>
      <c r="K560" s="96"/>
      <c r="L560" s="99"/>
      <c r="M560" s="102"/>
      <c r="N560" s="96"/>
      <c r="O560" s="96"/>
      <c r="P560" s="96"/>
      <c r="Q560" s="99"/>
      <c r="R560" s="102"/>
      <c r="S560" s="96"/>
      <c r="T560" s="96"/>
      <c r="U560" s="96"/>
      <c r="V560" s="99"/>
      <c r="W560" s="111"/>
      <c r="X560" s="105"/>
      <c r="Y560" s="105"/>
      <c r="Z560" s="105"/>
      <c r="AA560" s="108"/>
      <c r="AB560" s="133"/>
    </row>
    <row r="561" spans="1:28" ht="14.25" customHeight="1" x14ac:dyDescent="0.25">
      <c r="A561" s="137"/>
      <c r="B561" s="137"/>
      <c r="C561" s="94"/>
      <c r="D561" s="124"/>
      <c r="E561" s="124"/>
      <c r="F561" s="124"/>
      <c r="G561" s="127"/>
      <c r="H561" s="103"/>
      <c r="I561" s="97"/>
      <c r="J561" s="97"/>
      <c r="K561" s="97"/>
      <c r="L561" s="100"/>
      <c r="M561" s="103"/>
      <c r="N561" s="97"/>
      <c r="O561" s="97"/>
      <c r="P561" s="97"/>
      <c r="Q561" s="100"/>
      <c r="R561" s="103"/>
      <c r="S561" s="97"/>
      <c r="T561" s="97"/>
      <c r="U561" s="97"/>
      <c r="V561" s="100"/>
      <c r="W561" s="112"/>
      <c r="X561" s="106"/>
      <c r="Y561" s="106"/>
      <c r="Z561" s="106"/>
      <c r="AA561" s="109"/>
      <c r="AB561" s="134"/>
    </row>
    <row r="562" spans="1:28" ht="13.5" customHeight="1" thickBot="1" x14ac:dyDescent="0.3">
      <c r="A562" s="138"/>
      <c r="B562" s="138"/>
      <c r="C562" s="95"/>
      <c r="D562" s="125"/>
      <c r="E562" s="125"/>
      <c r="F562" s="125"/>
      <c r="G562" s="128"/>
      <c r="H562" s="104"/>
      <c r="I562" s="98"/>
      <c r="J562" s="98"/>
      <c r="K562" s="98"/>
      <c r="L562" s="101"/>
      <c r="M562" s="104"/>
      <c r="N562" s="98"/>
      <c r="O562" s="98"/>
      <c r="P562" s="98"/>
      <c r="Q562" s="101"/>
      <c r="R562" s="104"/>
      <c r="S562" s="98"/>
      <c r="T562" s="98"/>
      <c r="U562" s="98"/>
      <c r="V562" s="101"/>
      <c r="W562" s="113"/>
      <c r="X562" s="107"/>
      <c r="Y562" s="107"/>
      <c r="Z562" s="107"/>
      <c r="AA562" s="110"/>
      <c r="AB562" s="135"/>
    </row>
    <row r="563" spans="1:28" ht="14.25" customHeight="1" x14ac:dyDescent="0.25">
      <c r="A563" s="136">
        <f>ESCUADRAS!B114</f>
        <v>108</v>
      </c>
      <c r="B563" s="136">
        <f>ESCUADRAS!C114</f>
        <v>0</v>
      </c>
      <c r="C563" s="93"/>
      <c r="D563" s="123"/>
      <c r="E563" s="123"/>
      <c r="F563" s="123"/>
      <c r="G563" s="126"/>
      <c r="H563" s="102"/>
      <c r="I563" s="96"/>
      <c r="J563" s="96"/>
      <c r="K563" s="96"/>
      <c r="L563" s="99"/>
      <c r="M563" s="102"/>
      <c r="N563" s="96"/>
      <c r="O563" s="96"/>
      <c r="P563" s="96"/>
      <c r="Q563" s="99"/>
      <c r="R563" s="111"/>
      <c r="S563" s="105"/>
      <c r="T563" s="105"/>
      <c r="U563" s="105"/>
      <c r="V563" s="108"/>
      <c r="W563" s="102"/>
      <c r="X563" s="96"/>
      <c r="Y563" s="96"/>
      <c r="Z563" s="96"/>
      <c r="AA563" s="99"/>
      <c r="AB563" s="133"/>
    </row>
    <row r="564" spans="1:28" ht="14.25" customHeight="1" x14ac:dyDescent="0.25">
      <c r="A564" s="137"/>
      <c r="B564" s="137"/>
      <c r="C564" s="94"/>
      <c r="D564" s="124"/>
      <c r="E564" s="124"/>
      <c r="F564" s="124"/>
      <c r="G564" s="127"/>
      <c r="H564" s="103"/>
      <c r="I564" s="97"/>
      <c r="J564" s="97"/>
      <c r="K564" s="97"/>
      <c r="L564" s="100"/>
      <c r="M564" s="103"/>
      <c r="N564" s="97"/>
      <c r="O564" s="97"/>
      <c r="P564" s="97"/>
      <c r="Q564" s="100"/>
      <c r="R564" s="112"/>
      <c r="S564" s="106"/>
      <c r="T564" s="106"/>
      <c r="U564" s="106"/>
      <c r="V564" s="109"/>
      <c r="W564" s="103"/>
      <c r="X564" s="97"/>
      <c r="Y564" s="97"/>
      <c r="Z564" s="97"/>
      <c r="AA564" s="100"/>
      <c r="AB564" s="134"/>
    </row>
    <row r="565" spans="1:28" ht="13.5" customHeight="1" thickBot="1" x14ac:dyDescent="0.3">
      <c r="A565" s="138"/>
      <c r="B565" s="138"/>
      <c r="C565" s="95"/>
      <c r="D565" s="125"/>
      <c r="E565" s="125"/>
      <c r="F565" s="125"/>
      <c r="G565" s="128"/>
      <c r="H565" s="104"/>
      <c r="I565" s="98"/>
      <c r="J565" s="98"/>
      <c r="K565" s="98"/>
      <c r="L565" s="101"/>
      <c r="M565" s="104"/>
      <c r="N565" s="98"/>
      <c r="O565" s="98"/>
      <c r="P565" s="98"/>
      <c r="Q565" s="101"/>
      <c r="R565" s="113"/>
      <c r="S565" s="107"/>
      <c r="T565" s="107"/>
      <c r="U565" s="107"/>
      <c r="V565" s="110"/>
      <c r="W565" s="104"/>
      <c r="X565" s="98"/>
      <c r="Y565" s="98"/>
      <c r="Z565" s="98"/>
      <c r="AA565" s="101"/>
      <c r="AB565" s="135"/>
    </row>
    <row r="566" spans="1:28" ht="13.5" customHeight="1" x14ac:dyDescent="0.25">
      <c r="A566" s="136">
        <f>ESCUADRAS!B109</f>
        <v>103</v>
      </c>
      <c r="B566" s="136">
        <f>ESCUADRAS!C109</f>
        <v>0</v>
      </c>
      <c r="C566" s="93"/>
      <c r="D566" s="123"/>
      <c r="E566" s="123"/>
      <c r="F566" s="123"/>
      <c r="G566" s="126"/>
      <c r="H566" s="102"/>
      <c r="I566" s="96"/>
      <c r="J566" s="96"/>
      <c r="K566" s="96"/>
      <c r="L566" s="99"/>
      <c r="M566" s="111"/>
      <c r="N566" s="105"/>
      <c r="O566" s="105"/>
      <c r="P566" s="105"/>
      <c r="Q566" s="108"/>
      <c r="R566" s="102"/>
      <c r="S566" s="96"/>
      <c r="T566" s="96"/>
      <c r="U566" s="96"/>
      <c r="V566" s="99"/>
      <c r="W566" s="102"/>
      <c r="X566" s="96"/>
      <c r="Y566" s="96"/>
      <c r="Z566" s="96"/>
      <c r="AA566" s="99"/>
      <c r="AB566" s="133"/>
    </row>
    <row r="567" spans="1:28" ht="14.25" customHeight="1" x14ac:dyDescent="0.25">
      <c r="A567" s="137"/>
      <c r="B567" s="137"/>
      <c r="C567" s="94"/>
      <c r="D567" s="124"/>
      <c r="E567" s="124"/>
      <c r="F567" s="124"/>
      <c r="G567" s="127"/>
      <c r="H567" s="103"/>
      <c r="I567" s="97"/>
      <c r="J567" s="97"/>
      <c r="K567" s="97"/>
      <c r="L567" s="100"/>
      <c r="M567" s="112"/>
      <c r="N567" s="106"/>
      <c r="O567" s="106"/>
      <c r="P567" s="106"/>
      <c r="Q567" s="109"/>
      <c r="R567" s="103"/>
      <c r="S567" s="97"/>
      <c r="T567" s="97"/>
      <c r="U567" s="97"/>
      <c r="V567" s="100"/>
      <c r="W567" s="103"/>
      <c r="X567" s="97"/>
      <c r="Y567" s="97"/>
      <c r="Z567" s="97"/>
      <c r="AA567" s="100"/>
      <c r="AB567" s="134"/>
    </row>
    <row r="568" spans="1:28" ht="13.5" customHeight="1" thickBot="1" x14ac:dyDescent="0.3">
      <c r="A568" s="138"/>
      <c r="B568" s="138"/>
      <c r="C568" s="95"/>
      <c r="D568" s="125"/>
      <c r="E568" s="125"/>
      <c r="F568" s="125"/>
      <c r="G568" s="128"/>
      <c r="H568" s="104"/>
      <c r="I568" s="98"/>
      <c r="J568" s="98"/>
      <c r="K568" s="98"/>
      <c r="L568" s="101"/>
      <c r="M568" s="113"/>
      <c r="N568" s="107"/>
      <c r="O568" s="107"/>
      <c r="P568" s="107"/>
      <c r="Q568" s="110"/>
      <c r="R568" s="104"/>
      <c r="S568" s="98"/>
      <c r="T568" s="98"/>
      <c r="U568" s="98"/>
      <c r="V568" s="101"/>
      <c r="W568" s="104"/>
      <c r="X568" s="98"/>
      <c r="Y568" s="98"/>
      <c r="Z568" s="98"/>
      <c r="AA568" s="101"/>
      <c r="AB568" s="135"/>
    </row>
    <row r="569" spans="1:28" ht="14.25" customHeight="1" x14ac:dyDescent="0.25">
      <c r="A569" s="136">
        <f>ESCUADRAS!B110</f>
        <v>104</v>
      </c>
      <c r="B569" s="136">
        <f>ESCUADRAS!C110</f>
        <v>0</v>
      </c>
      <c r="C569" s="93"/>
      <c r="D569" s="123"/>
      <c r="E569" s="123"/>
      <c r="F569" s="123"/>
      <c r="G569" s="126"/>
      <c r="H569" s="111"/>
      <c r="I569" s="105"/>
      <c r="J569" s="105"/>
      <c r="K569" s="105"/>
      <c r="L569" s="108"/>
      <c r="M569" s="102"/>
      <c r="N569" s="96"/>
      <c r="O569" s="96"/>
      <c r="P569" s="96"/>
      <c r="Q569" s="99"/>
      <c r="R569" s="102"/>
      <c r="S569" s="96"/>
      <c r="T569" s="96"/>
      <c r="U569" s="96"/>
      <c r="V569" s="99"/>
      <c r="W569" s="102"/>
      <c r="X569" s="96"/>
      <c r="Y569" s="96"/>
      <c r="Z569" s="96"/>
      <c r="AA569" s="99"/>
      <c r="AB569" s="133"/>
    </row>
    <row r="570" spans="1:28" ht="14.25" customHeight="1" x14ac:dyDescent="0.25">
      <c r="A570" s="137"/>
      <c r="B570" s="137"/>
      <c r="C570" s="94"/>
      <c r="D570" s="124"/>
      <c r="E570" s="124"/>
      <c r="F570" s="124"/>
      <c r="G570" s="127"/>
      <c r="H570" s="112"/>
      <c r="I570" s="106"/>
      <c r="J570" s="106"/>
      <c r="K570" s="106"/>
      <c r="L570" s="109"/>
      <c r="M570" s="103"/>
      <c r="N570" s="97"/>
      <c r="O570" s="97"/>
      <c r="P570" s="97"/>
      <c r="Q570" s="100"/>
      <c r="R570" s="103"/>
      <c r="S570" s="97"/>
      <c r="T570" s="97"/>
      <c r="U570" s="97"/>
      <c r="V570" s="100"/>
      <c r="W570" s="103"/>
      <c r="X570" s="97"/>
      <c r="Y570" s="97"/>
      <c r="Z570" s="97"/>
      <c r="AA570" s="100"/>
      <c r="AB570" s="134"/>
    </row>
    <row r="571" spans="1:28" ht="13.5" customHeight="1" thickBot="1" x14ac:dyDescent="0.3">
      <c r="A571" s="138"/>
      <c r="B571" s="138"/>
      <c r="C571" s="95"/>
      <c r="D571" s="125"/>
      <c r="E571" s="125"/>
      <c r="F571" s="125"/>
      <c r="G571" s="128"/>
      <c r="H571" s="113"/>
      <c r="I571" s="107"/>
      <c r="J571" s="107"/>
      <c r="K571" s="107"/>
      <c r="L571" s="110"/>
      <c r="M571" s="104"/>
      <c r="N571" s="98"/>
      <c r="O571" s="98"/>
      <c r="P571" s="98"/>
      <c r="Q571" s="101"/>
      <c r="R571" s="104"/>
      <c r="S571" s="98"/>
      <c r="T571" s="98"/>
      <c r="U571" s="98"/>
      <c r="V571" s="101"/>
      <c r="W571" s="104"/>
      <c r="X571" s="98"/>
      <c r="Y571" s="98"/>
      <c r="Z571" s="98"/>
      <c r="AA571" s="101"/>
      <c r="AB571" s="135"/>
    </row>
    <row r="572" spans="1:28" ht="13.5" customHeight="1" x14ac:dyDescent="0.25">
      <c r="A572" s="136">
        <f>ESCUADRAS!B111</f>
        <v>105</v>
      </c>
      <c r="B572" s="136">
        <f>ESCUADRAS!C111</f>
        <v>0</v>
      </c>
      <c r="C572" s="111"/>
      <c r="D572" s="105"/>
      <c r="E572" s="105"/>
      <c r="F572" s="105"/>
      <c r="G572" s="108"/>
      <c r="H572" s="122"/>
      <c r="I572" s="120"/>
      <c r="J572" s="120"/>
      <c r="K572" s="120"/>
      <c r="L572" s="121"/>
      <c r="M572" s="122"/>
      <c r="N572" s="120"/>
      <c r="O572" s="120"/>
      <c r="P572" s="120"/>
      <c r="Q572" s="121"/>
      <c r="R572" s="122"/>
      <c r="S572" s="120"/>
      <c r="T572" s="120"/>
      <c r="U572" s="120"/>
      <c r="V572" s="121"/>
      <c r="W572" s="122"/>
      <c r="X572" s="120"/>
      <c r="Y572" s="120"/>
      <c r="Z572" s="120"/>
      <c r="AA572" s="121"/>
      <c r="AB572" s="133"/>
    </row>
    <row r="573" spans="1:28" ht="14.25" customHeight="1" x14ac:dyDescent="0.25">
      <c r="A573" s="137"/>
      <c r="B573" s="137"/>
      <c r="C573" s="112"/>
      <c r="D573" s="106"/>
      <c r="E573" s="106"/>
      <c r="F573" s="106"/>
      <c r="G573" s="109"/>
      <c r="H573" s="103"/>
      <c r="I573" s="97"/>
      <c r="J573" s="97"/>
      <c r="K573" s="97"/>
      <c r="L573" s="100"/>
      <c r="M573" s="103"/>
      <c r="N573" s="97"/>
      <c r="O573" s="97"/>
      <c r="P573" s="97"/>
      <c r="Q573" s="100"/>
      <c r="R573" s="103"/>
      <c r="S573" s="97"/>
      <c r="T573" s="97"/>
      <c r="U573" s="97"/>
      <c r="V573" s="100"/>
      <c r="W573" s="103"/>
      <c r="X573" s="97"/>
      <c r="Y573" s="97"/>
      <c r="Z573" s="97"/>
      <c r="AA573" s="100"/>
      <c r="AB573" s="134"/>
    </row>
    <row r="574" spans="1:28" ht="13.5" customHeight="1" thickBot="1" x14ac:dyDescent="0.3">
      <c r="A574" s="138"/>
      <c r="B574" s="138"/>
      <c r="C574" s="113"/>
      <c r="D574" s="107"/>
      <c r="E574" s="107"/>
      <c r="F574" s="107"/>
      <c r="G574" s="110"/>
      <c r="H574" s="104"/>
      <c r="I574" s="98"/>
      <c r="J574" s="98"/>
      <c r="K574" s="98"/>
      <c r="L574" s="101"/>
      <c r="M574" s="104"/>
      <c r="N574" s="98"/>
      <c r="O574" s="98"/>
      <c r="P574" s="98"/>
      <c r="Q574" s="101"/>
      <c r="R574" s="104"/>
      <c r="S574" s="98"/>
      <c r="T574" s="98"/>
      <c r="U574" s="98"/>
      <c r="V574" s="101"/>
      <c r="W574" s="104"/>
      <c r="X574" s="98"/>
      <c r="Y574" s="98"/>
      <c r="Z574" s="98"/>
      <c r="AA574" s="101"/>
      <c r="AB574" s="135"/>
    </row>
    <row r="576" spans="1:28" ht="15" x14ac:dyDescent="0.25">
      <c r="A576" s="28"/>
      <c r="B576" s="26" t="s">
        <v>35</v>
      </c>
      <c r="E576" s="21" t="s">
        <v>41</v>
      </c>
      <c r="I576" s="21" t="s">
        <v>42</v>
      </c>
      <c r="M576" s="21" t="s">
        <v>43</v>
      </c>
      <c r="Q576" s="21" t="s">
        <v>44</v>
      </c>
      <c r="U576" s="21" t="s">
        <v>45</v>
      </c>
      <c r="Y576" s="21" t="s">
        <v>46</v>
      </c>
    </row>
    <row r="583" spans="1:32" ht="24.6" x14ac:dyDescent="0.25">
      <c r="A583" s="144" t="str">
        <f>'INSCRIPCION '!A$1</f>
        <v>TIRADA</v>
      </c>
      <c r="B583" s="144"/>
      <c r="C583" s="144"/>
      <c r="D583" s="144"/>
      <c r="E583" s="144"/>
      <c r="F583" s="144"/>
      <c r="G583" s="144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  <c r="AF583" s="144"/>
    </row>
    <row r="584" spans="1:32" ht="24.6" x14ac:dyDescent="0.4">
      <c r="A584" s="23"/>
      <c r="B584" s="23"/>
    </row>
    <row r="585" spans="1:32" ht="22.8" x14ac:dyDescent="0.25">
      <c r="A585" s="132" t="str">
        <f>'INSCRIPCION '!A$2</f>
        <v>CAMPO DE TIRO LA ISLA</v>
      </c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L585" s="132"/>
      <c r="M585" s="132"/>
      <c r="N585" s="132"/>
      <c r="O585" s="132"/>
      <c r="P585" s="132"/>
      <c r="Q585" s="132"/>
      <c r="R585" s="132"/>
      <c r="S585" s="132"/>
      <c r="T585" s="132"/>
      <c r="U585" s="132"/>
      <c r="V585" s="132"/>
      <c r="W585" s="132"/>
      <c r="X585" s="132"/>
      <c r="Y585" s="132"/>
      <c r="Z585" s="132"/>
      <c r="AA585" s="132"/>
      <c r="AB585" s="132"/>
      <c r="AC585" s="132"/>
      <c r="AD585" s="132"/>
      <c r="AE585" s="132"/>
      <c r="AF585" s="132"/>
    </row>
    <row r="586" spans="1:32" ht="20.399999999999999" x14ac:dyDescent="0.25">
      <c r="A586" s="143" t="str">
        <f>'INSCRIPCION '!A$3</f>
        <v>XXX PLATOS</v>
      </c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</row>
    <row r="587" spans="1:32" ht="22.8" x14ac:dyDescent="0.4">
      <c r="A587" s="24"/>
      <c r="B587" s="24"/>
    </row>
    <row r="588" spans="1:32" ht="17.399999999999999" x14ac:dyDescent="0.3">
      <c r="A588" s="25" t="s">
        <v>28</v>
      </c>
      <c r="B588" s="25"/>
      <c r="J588" s="9" t="s">
        <v>6</v>
      </c>
      <c r="K588" s="9"/>
      <c r="L588" s="9"/>
      <c r="M588" s="9"/>
      <c r="N588" s="9"/>
      <c r="O588" s="22">
        <v>2</v>
      </c>
      <c r="P588" s="22"/>
      <c r="Q588" s="8"/>
      <c r="R588" s="8"/>
      <c r="S588" s="7"/>
      <c r="T588" s="8"/>
      <c r="U588" s="8"/>
      <c r="V588" s="9" t="s">
        <v>7</v>
      </c>
      <c r="W588" s="9"/>
      <c r="X588" s="9"/>
      <c r="Y588" s="9"/>
      <c r="Z588" s="22">
        <v>4</v>
      </c>
      <c r="AA588" s="22"/>
    </row>
    <row r="589" spans="1:32" ht="13.8" thickBot="1" x14ac:dyDescent="0.3"/>
    <row r="590" spans="1:32" ht="15.6" thickBot="1" x14ac:dyDescent="0.3">
      <c r="A590" s="27" t="s">
        <v>0</v>
      </c>
      <c r="B590" s="27" t="s">
        <v>8</v>
      </c>
      <c r="C590" s="47">
        <v>1</v>
      </c>
      <c r="D590" s="48">
        <v>2</v>
      </c>
      <c r="E590" s="48">
        <v>3</v>
      </c>
      <c r="F590" s="48">
        <v>4</v>
      </c>
      <c r="G590" s="49">
        <v>5</v>
      </c>
      <c r="H590" s="47">
        <v>6</v>
      </c>
      <c r="I590" s="48">
        <v>7</v>
      </c>
      <c r="J590" s="48">
        <v>8</v>
      </c>
      <c r="K590" s="48">
        <v>9</v>
      </c>
      <c r="L590" s="49">
        <v>10</v>
      </c>
      <c r="M590" s="47">
        <v>11</v>
      </c>
      <c r="N590" s="48">
        <v>12</v>
      </c>
      <c r="O590" s="48">
        <v>13</v>
      </c>
      <c r="P590" s="48">
        <v>14</v>
      </c>
      <c r="Q590" s="49">
        <v>15</v>
      </c>
      <c r="R590" s="47">
        <v>16</v>
      </c>
      <c r="S590" s="48">
        <v>17</v>
      </c>
      <c r="T590" s="48">
        <v>18</v>
      </c>
      <c r="U590" s="48">
        <v>19</v>
      </c>
      <c r="V590" s="49">
        <v>20</v>
      </c>
      <c r="W590" s="47">
        <v>21</v>
      </c>
      <c r="X590" s="48">
        <v>22</v>
      </c>
      <c r="Y590" s="48">
        <v>23</v>
      </c>
      <c r="Z590" s="48">
        <v>24</v>
      </c>
      <c r="AA590" s="49">
        <v>25</v>
      </c>
      <c r="AB590" s="30" t="s">
        <v>1</v>
      </c>
    </row>
    <row r="591" spans="1:32" ht="14.25" customHeight="1" x14ac:dyDescent="0.25">
      <c r="A591" s="136">
        <f>ESCUADRAS!B118</f>
        <v>112</v>
      </c>
      <c r="B591" s="136">
        <f>ESCUADRAS!C118</f>
        <v>0</v>
      </c>
      <c r="C591" s="129"/>
      <c r="D591" s="114"/>
      <c r="E591" s="114"/>
      <c r="F591" s="114"/>
      <c r="G591" s="117"/>
      <c r="H591" s="111"/>
      <c r="I591" s="105"/>
      <c r="J591" s="105"/>
      <c r="K591" s="105"/>
      <c r="L591" s="108"/>
      <c r="M591" s="111"/>
      <c r="N591" s="105"/>
      <c r="O591" s="105"/>
      <c r="P591" s="105"/>
      <c r="Q591" s="108"/>
      <c r="R591" s="111"/>
      <c r="S591" s="105"/>
      <c r="T591" s="105"/>
      <c r="U591" s="105"/>
      <c r="V591" s="108"/>
      <c r="W591" s="111"/>
      <c r="X591" s="105"/>
      <c r="Y591" s="105"/>
      <c r="Z591" s="105"/>
      <c r="AA591" s="108"/>
      <c r="AB591" s="133"/>
    </row>
    <row r="592" spans="1:32" ht="14.25" customHeight="1" x14ac:dyDescent="0.25">
      <c r="A592" s="137"/>
      <c r="B592" s="137"/>
      <c r="C592" s="130"/>
      <c r="D592" s="115"/>
      <c r="E592" s="115"/>
      <c r="F592" s="115"/>
      <c r="G592" s="118"/>
      <c r="H592" s="112"/>
      <c r="I592" s="106"/>
      <c r="J592" s="106"/>
      <c r="K592" s="106"/>
      <c r="L592" s="109"/>
      <c r="M592" s="112"/>
      <c r="N592" s="106"/>
      <c r="O592" s="106"/>
      <c r="P592" s="106"/>
      <c r="Q592" s="109"/>
      <c r="R592" s="112"/>
      <c r="S592" s="106"/>
      <c r="T592" s="106"/>
      <c r="U592" s="106"/>
      <c r="V592" s="109"/>
      <c r="W592" s="112"/>
      <c r="X592" s="106"/>
      <c r="Y592" s="106"/>
      <c r="Z592" s="106"/>
      <c r="AA592" s="109"/>
      <c r="AB592" s="134"/>
    </row>
    <row r="593" spans="1:28" ht="13.5" customHeight="1" thickBot="1" x14ac:dyDescent="0.3">
      <c r="A593" s="138"/>
      <c r="B593" s="138"/>
      <c r="C593" s="131"/>
      <c r="D593" s="116"/>
      <c r="E593" s="116"/>
      <c r="F593" s="116"/>
      <c r="G593" s="119"/>
      <c r="H593" s="113"/>
      <c r="I593" s="107"/>
      <c r="J593" s="107"/>
      <c r="K593" s="107"/>
      <c r="L593" s="110"/>
      <c r="M593" s="113"/>
      <c r="N593" s="107"/>
      <c r="O593" s="107"/>
      <c r="P593" s="107"/>
      <c r="Q593" s="110"/>
      <c r="R593" s="113"/>
      <c r="S593" s="107"/>
      <c r="T593" s="107"/>
      <c r="U593" s="107"/>
      <c r="V593" s="110"/>
      <c r="W593" s="113"/>
      <c r="X593" s="107"/>
      <c r="Y593" s="107"/>
      <c r="Z593" s="107"/>
      <c r="AA593" s="110"/>
      <c r="AB593" s="135"/>
    </row>
    <row r="594" spans="1:28" ht="14.25" customHeight="1" x14ac:dyDescent="0.25">
      <c r="A594" s="136">
        <f>ESCUADRAS!B119</f>
        <v>113</v>
      </c>
      <c r="B594" s="136">
        <f>ESCUADRAS!C119</f>
        <v>0</v>
      </c>
      <c r="C594" s="93"/>
      <c r="D594" s="123"/>
      <c r="E594" s="123"/>
      <c r="F594" s="123"/>
      <c r="G594" s="126"/>
      <c r="H594" s="102"/>
      <c r="I594" s="96"/>
      <c r="J594" s="96"/>
      <c r="K594" s="96"/>
      <c r="L594" s="99"/>
      <c r="M594" s="102"/>
      <c r="N594" s="96"/>
      <c r="O594" s="96"/>
      <c r="P594" s="96"/>
      <c r="Q594" s="99"/>
      <c r="R594" s="102"/>
      <c r="S594" s="96"/>
      <c r="T594" s="96"/>
      <c r="U594" s="96"/>
      <c r="V594" s="99"/>
      <c r="W594" s="111"/>
      <c r="X594" s="105"/>
      <c r="Y594" s="105"/>
      <c r="Z594" s="105"/>
      <c r="AA594" s="108"/>
      <c r="AB594" s="133"/>
    </row>
    <row r="595" spans="1:28" ht="14.25" customHeight="1" x14ac:dyDescent="0.25">
      <c r="A595" s="137"/>
      <c r="B595" s="137"/>
      <c r="C595" s="94"/>
      <c r="D595" s="124"/>
      <c r="E595" s="124"/>
      <c r="F595" s="124"/>
      <c r="G595" s="127"/>
      <c r="H595" s="103"/>
      <c r="I595" s="97"/>
      <c r="J595" s="97"/>
      <c r="K595" s="97"/>
      <c r="L595" s="100"/>
      <c r="M595" s="103"/>
      <c r="N595" s="97"/>
      <c r="O595" s="97"/>
      <c r="P595" s="97"/>
      <c r="Q595" s="100"/>
      <c r="R595" s="103"/>
      <c r="S595" s="97"/>
      <c r="T595" s="97"/>
      <c r="U595" s="97"/>
      <c r="V595" s="100"/>
      <c r="W595" s="112"/>
      <c r="X595" s="106"/>
      <c r="Y595" s="106"/>
      <c r="Z595" s="106"/>
      <c r="AA595" s="109"/>
      <c r="AB595" s="134"/>
    </row>
    <row r="596" spans="1:28" ht="13.5" customHeight="1" thickBot="1" x14ac:dyDescent="0.3">
      <c r="A596" s="138"/>
      <c r="B596" s="138"/>
      <c r="C596" s="95"/>
      <c r="D596" s="125"/>
      <c r="E596" s="125"/>
      <c r="F596" s="125"/>
      <c r="G596" s="128"/>
      <c r="H596" s="104"/>
      <c r="I596" s="98"/>
      <c r="J596" s="98"/>
      <c r="K596" s="98"/>
      <c r="L596" s="101"/>
      <c r="M596" s="104"/>
      <c r="N596" s="98"/>
      <c r="O596" s="98"/>
      <c r="P596" s="98"/>
      <c r="Q596" s="101"/>
      <c r="R596" s="104"/>
      <c r="S596" s="98"/>
      <c r="T596" s="98"/>
      <c r="U596" s="98"/>
      <c r="V596" s="101"/>
      <c r="W596" s="113"/>
      <c r="X596" s="107"/>
      <c r="Y596" s="107"/>
      <c r="Z596" s="107"/>
      <c r="AA596" s="110"/>
      <c r="AB596" s="135"/>
    </row>
    <row r="597" spans="1:28" ht="14.25" customHeight="1" x14ac:dyDescent="0.25">
      <c r="A597" s="136">
        <f>ESCUADRAS!B120</f>
        <v>114</v>
      </c>
      <c r="B597" s="136">
        <f>ESCUADRAS!C120</f>
        <v>0</v>
      </c>
      <c r="C597" s="93"/>
      <c r="D597" s="123"/>
      <c r="E597" s="123"/>
      <c r="F597" s="123"/>
      <c r="G597" s="126"/>
      <c r="H597" s="102"/>
      <c r="I597" s="96"/>
      <c r="J597" s="96"/>
      <c r="K597" s="96"/>
      <c r="L597" s="99"/>
      <c r="M597" s="102"/>
      <c r="N597" s="96"/>
      <c r="O597" s="96"/>
      <c r="P597" s="96"/>
      <c r="Q597" s="99"/>
      <c r="R597" s="111"/>
      <c r="S597" s="105"/>
      <c r="T597" s="105"/>
      <c r="U597" s="105"/>
      <c r="V597" s="108"/>
      <c r="W597" s="102"/>
      <c r="X597" s="96"/>
      <c r="Y597" s="96"/>
      <c r="Z597" s="96"/>
      <c r="AA597" s="99"/>
      <c r="AB597" s="133"/>
    </row>
    <row r="598" spans="1:28" ht="14.25" customHeight="1" x14ac:dyDescent="0.25">
      <c r="A598" s="137"/>
      <c r="B598" s="137"/>
      <c r="C598" s="94"/>
      <c r="D598" s="124"/>
      <c r="E598" s="124"/>
      <c r="F598" s="124"/>
      <c r="G598" s="127"/>
      <c r="H598" s="103"/>
      <c r="I598" s="97"/>
      <c r="J598" s="97"/>
      <c r="K598" s="97"/>
      <c r="L598" s="100"/>
      <c r="M598" s="103"/>
      <c r="N598" s="97"/>
      <c r="O598" s="97"/>
      <c r="P598" s="97"/>
      <c r="Q598" s="100"/>
      <c r="R598" s="112"/>
      <c r="S598" s="106"/>
      <c r="T598" s="106"/>
      <c r="U598" s="106"/>
      <c r="V598" s="109"/>
      <c r="W598" s="103"/>
      <c r="X598" s="97"/>
      <c r="Y598" s="97"/>
      <c r="Z598" s="97"/>
      <c r="AA598" s="100"/>
      <c r="AB598" s="134"/>
    </row>
    <row r="599" spans="1:28" ht="13.5" customHeight="1" thickBot="1" x14ac:dyDescent="0.3">
      <c r="A599" s="138"/>
      <c r="B599" s="138"/>
      <c r="C599" s="95"/>
      <c r="D599" s="125"/>
      <c r="E599" s="125"/>
      <c r="F599" s="125"/>
      <c r="G599" s="128"/>
      <c r="H599" s="104"/>
      <c r="I599" s="98"/>
      <c r="J599" s="98"/>
      <c r="K599" s="98"/>
      <c r="L599" s="101"/>
      <c r="M599" s="104"/>
      <c r="N599" s="98"/>
      <c r="O599" s="98"/>
      <c r="P599" s="98"/>
      <c r="Q599" s="101"/>
      <c r="R599" s="113"/>
      <c r="S599" s="107"/>
      <c r="T599" s="107"/>
      <c r="U599" s="107"/>
      <c r="V599" s="110"/>
      <c r="W599" s="104"/>
      <c r="X599" s="98"/>
      <c r="Y599" s="98"/>
      <c r="Z599" s="98"/>
      <c r="AA599" s="101"/>
      <c r="AB599" s="135"/>
    </row>
    <row r="600" spans="1:28" ht="13.5" customHeight="1" x14ac:dyDescent="0.25">
      <c r="A600" s="136">
        <f>ESCUADRAS!B115</f>
        <v>109</v>
      </c>
      <c r="B600" s="136">
        <f>ESCUADRAS!C115</f>
        <v>0</v>
      </c>
      <c r="C600" s="93"/>
      <c r="D600" s="123"/>
      <c r="E600" s="123"/>
      <c r="F600" s="123"/>
      <c r="G600" s="126"/>
      <c r="H600" s="102"/>
      <c r="I600" s="96"/>
      <c r="J600" s="96"/>
      <c r="K600" s="96"/>
      <c r="L600" s="99"/>
      <c r="M600" s="111"/>
      <c r="N600" s="105"/>
      <c r="O600" s="105"/>
      <c r="P600" s="105"/>
      <c r="Q600" s="108"/>
      <c r="R600" s="102"/>
      <c r="S600" s="96"/>
      <c r="T600" s="96"/>
      <c r="U600" s="96"/>
      <c r="V600" s="99"/>
      <c r="W600" s="102"/>
      <c r="X600" s="96"/>
      <c r="Y600" s="96"/>
      <c r="Z600" s="96"/>
      <c r="AA600" s="99"/>
      <c r="AB600" s="133"/>
    </row>
    <row r="601" spans="1:28" ht="14.25" customHeight="1" x14ac:dyDescent="0.25">
      <c r="A601" s="137"/>
      <c r="B601" s="137"/>
      <c r="C601" s="94"/>
      <c r="D601" s="124"/>
      <c r="E601" s="124"/>
      <c r="F601" s="124"/>
      <c r="G601" s="127"/>
      <c r="H601" s="103"/>
      <c r="I601" s="97"/>
      <c r="J601" s="97"/>
      <c r="K601" s="97"/>
      <c r="L601" s="100"/>
      <c r="M601" s="112"/>
      <c r="N601" s="106"/>
      <c r="O601" s="106"/>
      <c r="P601" s="106"/>
      <c r="Q601" s="109"/>
      <c r="R601" s="103"/>
      <c r="S601" s="97"/>
      <c r="T601" s="97"/>
      <c r="U601" s="97"/>
      <c r="V601" s="100"/>
      <c r="W601" s="103"/>
      <c r="X601" s="97"/>
      <c r="Y601" s="97"/>
      <c r="Z601" s="97"/>
      <c r="AA601" s="100"/>
      <c r="AB601" s="134"/>
    </row>
    <row r="602" spans="1:28" ht="13.5" customHeight="1" thickBot="1" x14ac:dyDescent="0.3">
      <c r="A602" s="138"/>
      <c r="B602" s="138"/>
      <c r="C602" s="95"/>
      <c r="D602" s="125"/>
      <c r="E602" s="125"/>
      <c r="F602" s="125"/>
      <c r="G602" s="128"/>
      <c r="H602" s="104"/>
      <c r="I602" s="98"/>
      <c r="J602" s="98"/>
      <c r="K602" s="98"/>
      <c r="L602" s="101"/>
      <c r="M602" s="113"/>
      <c r="N602" s="107"/>
      <c r="O602" s="107"/>
      <c r="P602" s="107"/>
      <c r="Q602" s="110"/>
      <c r="R602" s="104"/>
      <c r="S602" s="98"/>
      <c r="T602" s="98"/>
      <c r="U602" s="98"/>
      <c r="V602" s="101"/>
      <c r="W602" s="104"/>
      <c r="X602" s="98"/>
      <c r="Y602" s="98"/>
      <c r="Z602" s="98"/>
      <c r="AA602" s="101"/>
      <c r="AB602" s="135"/>
    </row>
    <row r="603" spans="1:28" ht="14.25" customHeight="1" x14ac:dyDescent="0.25">
      <c r="A603" s="136">
        <f>ESCUADRAS!B116</f>
        <v>110</v>
      </c>
      <c r="B603" s="136">
        <f>ESCUADRAS!C116</f>
        <v>0</v>
      </c>
      <c r="C603" s="93"/>
      <c r="D603" s="123"/>
      <c r="E603" s="123"/>
      <c r="F603" s="123"/>
      <c r="G603" s="126"/>
      <c r="H603" s="111"/>
      <c r="I603" s="105"/>
      <c r="J603" s="105"/>
      <c r="K603" s="105"/>
      <c r="L603" s="108"/>
      <c r="M603" s="102"/>
      <c r="N603" s="96"/>
      <c r="O603" s="96"/>
      <c r="P603" s="96"/>
      <c r="Q603" s="99"/>
      <c r="R603" s="102"/>
      <c r="S603" s="96"/>
      <c r="T603" s="96"/>
      <c r="U603" s="96"/>
      <c r="V603" s="99"/>
      <c r="W603" s="102"/>
      <c r="X603" s="96"/>
      <c r="Y603" s="96"/>
      <c r="Z603" s="96"/>
      <c r="AA603" s="99"/>
      <c r="AB603" s="133"/>
    </row>
    <row r="604" spans="1:28" ht="14.25" customHeight="1" x14ac:dyDescent="0.25">
      <c r="A604" s="137"/>
      <c r="B604" s="137"/>
      <c r="C604" s="94"/>
      <c r="D604" s="124"/>
      <c r="E604" s="124"/>
      <c r="F604" s="124"/>
      <c r="G604" s="127"/>
      <c r="H604" s="112"/>
      <c r="I604" s="106"/>
      <c r="J604" s="106"/>
      <c r="K604" s="106"/>
      <c r="L604" s="109"/>
      <c r="M604" s="103"/>
      <c r="N604" s="97"/>
      <c r="O604" s="97"/>
      <c r="P604" s="97"/>
      <c r="Q604" s="100"/>
      <c r="R604" s="103"/>
      <c r="S604" s="97"/>
      <c r="T604" s="97"/>
      <c r="U604" s="97"/>
      <c r="V604" s="100"/>
      <c r="W604" s="103"/>
      <c r="X604" s="97"/>
      <c r="Y604" s="97"/>
      <c r="Z604" s="97"/>
      <c r="AA604" s="100"/>
      <c r="AB604" s="134"/>
    </row>
    <row r="605" spans="1:28" ht="13.5" customHeight="1" thickBot="1" x14ac:dyDescent="0.3">
      <c r="A605" s="138"/>
      <c r="B605" s="138"/>
      <c r="C605" s="95"/>
      <c r="D605" s="125"/>
      <c r="E605" s="125"/>
      <c r="F605" s="125"/>
      <c r="G605" s="128"/>
      <c r="H605" s="113"/>
      <c r="I605" s="107"/>
      <c r="J605" s="107"/>
      <c r="K605" s="107"/>
      <c r="L605" s="110"/>
      <c r="M605" s="104"/>
      <c r="N605" s="98"/>
      <c r="O605" s="98"/>
      <c r="P605" s="98"/>
      <c r="Q605" s="101"/>
      <c r="R605" s="104"/>
      <c r="S605" s="98"/>
      <c r="T605" s="98"/>
      <c r="U605" s="98"/>
      <c r="V605" s="101"/>
      <c r="W605" s="104"/>
      <c r="X605" s="98"/>
      <c r="Y605" s="98"/>
      <c r="Z605" s="98"/>
      <c r="AA605" s="101"/>
      <c r="AB605" s="135"/>
    </row>
    <row r="606" spans="1:28" ht="13.5" customHeight="1" x14ac:dyDescent="0.25">
      <c r="A606" s="136">
        <f>ESCUADRAS!B117</f>
        <v>111</v>
      </c>
      <c r="B606" s="136">
        <f>ESCUADRAS!C117</f>
        <v>0</v>
      </c>
      <c r="C606" s="111"/>
      <c r="D606" s="105"/>
      <c r="E606" s="105"/>
      <c r="F606" s="105"/>
      <c r="G606" s="108"/>
      <c r="H606" s="122"/>
      <c r="I606" s="120"/>
      <c r="J606" s="120"/>
      <c r="K606" s="120"/>
      <c r="L606" s="121"/>
      <c r="M606" s="122"/>
      <c r="N606" s="120"/>
      <c r="O606" s="120"/>
      <c r="P606" s="120"/>
      <c r="Q606" s="121"/>
      <c r="R606" s="122"/>
      <c r="S606" s="120"/>
      <c r="T606" s="120"/>
      <c r="U606" s="120"/>
      <c r="V606" s="121"/>
      <c r="W606" s="122"/>
      <c r="X606" s="120"/>
      <c r="Y606" s="120"/>
      <c r="Z606" s="120"/>
      <c r="AA606" s="121"/>
      <c r="AB606" s="133"/>
    </row>
    <row r="607" spans="1:28" ht="14.25" customHeight="1" x14ac:dyDescent="0.25">
      <c r="A607" s="137"/>
      <c r="B607" s="137"/>
      <c r="C607" s="112"/>
      <c r="D607" s="106"/>
      <c r="E607" s="106"/>
      <c r="F607" s="106"/>
      <c r="G607" s="109"/>
      <c r="H607" s="103"/>
      <c r="I607" s="97"/>
      <c r="J607" s="97"/>
      <c r="K607" s="97"/>
      <c r="L607" s="100"/>
      <c r="M607" s="103"/>
      <c r="N607" s="97"/>
      <c r="O607" s="97"/>
      <c r="P607" s="97"/>
      <c r="Q607" s="100"/>
      <c r="R607" s="103"/>
      <c r="S607" s="97"/>
      <c r="T607" s="97"/>
      <c r="U607" s="97"/>
      <c r="V607" s="100"/>
      <c r="W607" s="103"/>
      <c r="X607" s="97"/>
      <c r="Y607" s="97"/>
      <c r="Z607" s="97"/>
      <c r="AA607" s="100"/>
      <c r="AB607" s="134"/>
    </row>
    <row r="608" spans="1:28" ht="13.5" customHeight="1" thickBot="1" x14ac:dyDescent="0.3">
      <c r="A608" s="138"/>
      <c r="B608" s="138"/>
      <c r="C608" s="113"/>
      <c r="D608" s="107"/>
      <c r="E608" s="107"/>
      <c r="F608" s="107"/>
      <c r="G608" s="110"/>
      <c r="H608" s="104"/>
      <c r="I608" s="98"/>
      <c r="J608" s="98"/>
      <c r="K608" s="98"/>
      <c r="L608" s="101"/>
      <c r="M608" s="104"/>
      <c r="N608" s="98"/>
      <c r="O608" s="98"/>
      <c r="P608" s="98"/>
      <c r="Q608" s="101"/>
      <c r="R608" s="104"/>
      <c r="S608" s="98"/>
      <c r="T608" s="98"/>
      <c r="U608" s="98"/>
      <c r="V608" s="101"/>
      <c r="W608" s="104"/>
      <c r="X608" s="98"/>
      <c r="Y608" s="98"/>
      <c r="Z608" s="98"/>
      <c r="AA608" s="101"/>
      <c r="AB608" s="135"/>
    </row>
    <row r="610" spans="1:32" ht="15" x14ac:dyDescent="0.25">
      <c r="A610" s="28"/>
      <c r="B610" s="26" t="s">
        <v>35</v>
      </c>
      <c r="E610" s="21" t="s">
        <v>41</v>
      </c>
      <c r="I610" s="21" t="s">
        <v>42</v>
      </c>
      <c r="M610" s="21" t="s">
        <v>43</v>
      </c>
      <c r="Q610" s="21" t="s">
        <v>44</v>
      </c>
      <c r="U610" s="21" t="s">
        <v>45</v>
      </c>
      <c r="Y610" s="21" t="s">
        <v>46</v>
      </c>
    </row>
    <row r="616" spans="1:32" ht="27" customHeight="1" x14ac:dyDescent="0.25">
      <c r="A616" s="144" t="str">
        <f>'INSCRIPCION '!A$1</f>
        <v>TIRADA</v>
      </c>
      <c r="B616" s="144"/>
      <c r="C616" s="144"/>
      <c r="D616" s="144"/>
      <c r="E616" s="144"/>
      <c r="F616" s="144"/>
      <c r="G616" s="144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  <c r="AF616" s="144"/>
    </row>
    <row r="617" spans="1:32" ht="24.6" customHeight="1" x14ac:dyDescent="0.4">
      <c r="A617" s="23"/>
      <c r="B617" s="23"/>
    </row>
    <row r="618" spans="1:32" ht="22.8" x14ac:dyDescent="0.25">
      <c r="A618" s="132" t="str">
        <f>'INSCRIPCION '!A$2</f>
        <v>CAMPO DE TIRO LA ISLA</v>
      </c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32"/>
      <c r="N618" s="132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32"/>
      <c r="AF618" s="132"/>
    </row>
    <row r="619" spans="1:32" ht="20.399999999999999" x14ac:dyDescent="0.25">
      <c r="A619" s="143" t="str">
        <f>'INSCRIPCION '!A$3</f>
        <v>XXX PLATOS</v>
      </c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</row>
    <row r="620" spans="1:32" ht="22.8" x14ac:dyDescent="0.25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32"/>
      <c r="N620" s="132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32"/>
      <c r="AF620" s="132"/>
    </row>
    <row r="621" spans="1:32" ht="22.8" x14ac:dyDescent="0.4">
      <c r="A621" s="24"/>
      <c r="B621" s="24"/>
    </row>
    <row r="622" spans="1:32" ht="17.399999999999999" x14ac:dyDescent="0.3">
      <c r="A622" s="25" t="s">
        <v>29</v>
      </c>
      <c r="B622" s="25"/>
      <c r="J622" s="9" t="s">
        <v>6</v>
      </c>
      <c r="K622" s="9"/>
      <c r="L622" s="9"/>
      <c r="M622" s="9"/>
      <c r="N622" s="9"/>
      <c r="O622" s="22">
        <v>3</v>
      </c>
      <c r="P622" s="22"/>
      <c r="Q622" s="8"/>
      <c r="R622" s="8"/>
      <c r="S622" s="7"/>
      <c r="T622" s="8"/>
      <c r="U622" s="8"/>
      <c r="V622" s="9" t="s">
        <v>7</v>
      </c>
      <c r="W622" s="9"/>
      <c r="X622" s="9"/>
      <c r="Y622" s="9"/>
      <c r="Z622" s="22">
        <v>4</v>
      </c>
      <c r="AA622" s="22"/>
    </row>
    <row r="623" spans="1:32" ht="13.8" thickBot="1" x14ac:dyDescent="0.3"/>
    <row r="624" spans="1:32" ht="15.6" thickBot="1" x14ac:dyDescent="0.3">
      <c r="A624" s="27" t="s">
        <v>0</v>
      </c>
      <c r="B624" s="27" t="s">
        <v>8</v>
      </c>
      <c r="C624" s="47">
        <v>1</v>
      </c>
      <c r="D624" s="48">
        <v>2</v>
      </c>
      <c r="E624" s="48">
        <v>3</v>
      </c>
      <c r="F624" s="48">
        <v>4</v>
      </c>
      <c r="G624" s="49">
        <v>5</v>
      </c>
      <c r="H624" s="47">
        <v>6</v>
      </c>
      <c r="I624" s="48">
        <v>7</v>
      </c>
      <c r="J624" s="48">
        <v>8</v>
      </c>
      <c r="K624" s="48">
        <v>9</v>
      </c>
      <c r="L624" s="49">
        <v>10</v>
      </c>
      <c r="M624" s="47">
        <v>11</v>
      </c>
      <c r="N624" s="48">
        <v>12</v>
      </c>
      <c r="O624" s="48">
        <v>13</v>
      </c>
      <c r="P624" s="48">
        <v>14</v>
      </c>
      <c r="Q624" s="49">
        <v>15</v>
      </c>
      <c r="R624" s="47">
        <v>16</v>
      </c>
      <c r="S624" s="48">
        <v>17</v>
      </c>
      <c r="T624" s="48">
        <v>18</v>
      </c>
      <c r="U624" s="48">
        <v>19</v>
      </c>
      <c r="V624" s="49">
        <v>20</v>
      </c>
      <c r="W624" s="47">
        <v>21</v>
      </c>
      <c r="X624" s="48">
        <v>22</v>
      </c>
      <c r="Y624" s="48">
        <v>23</v>
      </c>
      <c r="Z624" s="48">
        <v>24</v>
      </c>
      <c r="AA624" s="49">
        <v>25</v>
      </c>
      <c r="AB624" s="30" t="s">
        <v>1</v>
      </c>
    </row>
    <row r="625" spans="1:28" ht="12.75" customHeight="1" x14ac:dyDescent="0.25">
      <c r="A625" s="136">
        <f>ESCUADRAS!B124</f>
        <v>118</v>
      </c>
      <c r="B625" s="136">
        <f>ESCUADRAS!C124</f>
        <v>0</v>
      </c>
      <c r="C625" s="129"/>
      <c r="D625" s="114"/>
      <c r="E625" s="114"/>
      <c r="F625" s="114"/>
      <c r="G625" s="117"/>
      <c r="H625" s="111"/>
      <c r="I625" s="105"/>
      <c r="J625" s="105"/>
      <c r="K625" s="105"/>
      <c r="L625" s="108"/>
      <c r="M625" s="111"/>
      <c r="N625" s="105"/>
      <c r="O625" s="105"/>
      <c r="P625" s="105"/>
      <c r="Q625" s="108"/>
      <c r="R625" s="111"/>
      <c r="S625" s="105"/>
      <c r="T625" s="105"/>
      <c r="U625" s="105"/>
      <c r="V625" s="108"/>
      <c r="W625" s="111"/>
      <c r="X625" s="105"/>
      <c r="Y625" s="105"/>
      <c r="Z625" s="105"/>
      <c r="AA625" s="108"/>
      <c r="AB625" s="133"/>
    </row>
    <row r="626" spans="1:28" ht="14.25" customHeight="1" x14ac:dyDescent="0.25">
      <c r="A626" s="137"/>
      <c r="B626" s="137"/>
      <c r="C626" s="130"/>
      <c r="D626" s="115"/>
      <c r="E626" s="115"/>
      <c r="F626" s="115"/>
      <c r="G626" s="118"/>
      <c r="H626" s="112"/>
      <c r="I626" s="106"/>
      <c r="J626" s="106"/>
      <c r="K626" s="106"/>
      <c r="L626" s="109"/>
      <c r="M626" s="112"/>
      <c r="N626" s="106"/>
      <c r="O626" s="106"/>
      <c r="P626" s="106"/>
      <c r="Q626" s="109"/>
      <c r="R626" s="112"/>
      <c r="S626" s="106"/>
      <c r="T626" s="106"/>
      <c r="U626" s="106"/>
      <c r="V626" s="109"/>
      <c r="W626" s="112"/>
      <c r="X626" s="106"/>
      <c r="Y626" s="106"/>
      <c r="Z626" s="106"/>
      <c r="AA626" s="109"/>
      <c r="AB626" s="134"/>
    </row>
    <row r="627" spans="1:28" ht="13.5" customHeight="1" thickBot="1" x14ac:dyDescent="0.3">
      <c r="A627" s="138"/>
      <c r="B627" s="138"/>
      <c r="C627" s="131"/>
      <c r="D627" s="116"/>
      <c r="E627" s="116"/>
      <c r="F627" s="116"/>
      <c r="G627" s="119"/>
      <c r="H627" s="113"/>
      <c r="I627" s="107"/>
      <c r="J627" s="107"/>
      <c r="K627" s="107"/>
      <c r="L627" s="110"/>
      <c r="M627" s="113"/>
      <c r="N627" s="107"/>
      <c r="O627" s="107"/>
      <c r="P627" s="107"/>
      <c r="Q627" s="110"/>
      <c r="R627" s="113"/>
      <c r="S627" s="107"/>
      <c r="T627" s="107"/>
      <c r="U627" s="107"/>
      <c r="V627" s="110"/>
      <c r="W627" s="113"/>
      <c r="X627" s="107"/>
      <c r="Y627" s="107"/>
      <c r="Z627" s="107"/>
      <c r="AA627" s="110"/>
      <c r="AB627" s="135"/>
    </row>
    <row r="628" spans="1:28" ht="14.25" customHeight="1" x14ac:dyDescent="0.25">
      <c r="A628" s="136">
        <f>ESCUADRAS!B125</f>
        <v>119</v>
      </c>
      <c r="B628" s="136">
        <f>ESCUADRAS!C125</f>
        <v>0</v>
      </c>
      <c r="C628" s="93"/>
      <c r="D628" s="123"/>
      <c r="E628" s="123"/>
      <c r="F628" s="123"/>
      <c r="G628" s="126"/>
      <c r="H628" s="102"/>
      <c r="I628" s="96"/>
      <c r="J628" s="96"/>
      <c r="K628" s="96"/>
      <c r="L628" s="99"/>
      <c r="M628" s="102"/>
      <c r="N628" s="96"/>
      <c r="O628" s="96"/>
      <c r="P628" s="96"/>
      <c r="Q628" s="99"/>
      <c r="R628" s="102"/>
      <c r="S628" s="96"/>
      <c r="T628" s="96"/>
      <c r="U628" s="96"/>
      <c r="V628" s="99"/>
      <c r="W628" s="111"/>
      <c r="X628" s="105"/>
      <c r="Y628" s="105"/>
      <c r="Z628" s="105"/>
      <c r="AA628" s="108"/>
      <c r="AB628" s="133"/>
    </row>
    <row r="629" spans="1:28" ht="14.25" customHeight="1" x14ac:dyDescent="0.25">
      <c r="A629" s="137"/>
      <c r="B629" s="137"/>
      <c r="C629" s="94"/>
      <c r="D629" s="124"/>
      <c r="E629" s="124"/>
      <c r="F629" s="124"/>
      <c r="G629" s="127"/>
      <c r="H629" s="103"/>
      <c r="I629" s="97"/>
      <c r="J629" s="97"/>
      <c r="K629" s="97"/>
      <c r="L629" s="100"/>
      <c r="M629" s="103"/>
      <c r="N629" s="97"/>
      <c r="O629" s="97"/>
      <c r="P629" s="97"/>
      <c r="Q629" s="100"/>
      <c r="R629" s="103"/>
      <c r="S629" s="97"/>
      <c r="T629" s="97"/>
      <c r="U629" s="97"/>
      <c r="V629" s="100"/>
      <c r="W629" s="112"/>
      <c r="X629" s="106"/>
      <c r="Y629" s="106"/>
      <c r="Z629" s="106"/>
      <c r="AA629" s="109"/>
      <c r="AB629" s="134"/>
    </row>
    <row r="630" spans="1:28" ht="13.5" customHeight="1" thickBot="1" x14ac:dyDescent="0.3">
      <c r="A630" s="138"/>
      <c r="B630" s="138"/>
      <c r="C630" s="95"/>
      <c r="D630" s="125"/>
      <c r="E630" s="125"/>
      <c r="F630" s="125"/>
      <c r="G630" s="128"/>
      <c r="H630" s="104"/>
      <c r="I630" s="98"/>
      <c r="J630" s="98"/>
      <c r="K630" s="98"/>
      <c r="L630" s="101"/>
      <c r="M630" s="104"/>
      <c r="N630" s="98"/>
      <c r="O630" s="98"/>
      <c r="P630" s="98"/>
      <c r="Q630" s="101"/>
      <c r="R630" s="104"/>
      <c r="S630" s="98"/>
      <c r="T630" s="98"/>
      <c r="U630" s="98"/>
      <c r="V630" s="101"/>
      <c r="W630" s="113"/>
      <c r="X630" s="107"/>
      <c r="Y630" s="107"/>
      <c r="Z630" s="107"/>
      <c r="AA630" s="110"/>
      <c r="AB630" s="135"/>
    </row>
    <row r="631" spans="1:28" ht="14.25" customHeight="1" x14ac:dyDescent="0.25">
      <c r="A631" s="136">
        <f>ESCUADRAS!B126</f>
        <v>120</v>
      </c>
      <c r="B631" s="136">
        <f>ESCUADRAS!C126</f>
        <v>0</v>
      </c>
      <c r="C631" s="93"/>
      <c r="D631" s="123"/>
      <c r="E631" s="123"/>
      <c r="F631" s="123"/>
      <c r="G631" s="126"/>
      <c r="H631" s="102"/>
      <c r="I631" s="96"/>
      <c r="J631" s="96"/>
      <c r="K631" s="96"/>
      <c r="L631" s="99"/>
      <c r="M631" s="102"/>
      <c r="N631" s="96"/>
      <c r="O631" s="96"/>
      <c r="P631" s="96"/>
      <c r="Q631" s="99"/>
      <c r="R631" s="111"/>
      <c r="S631" s="105"/>
      <c r="T631" s="105"/>
      <c r="U631" s="105"/>
      <c r="V631" s="108"/>
      <c r="W631" s="102"/>
      <c r="X631" s="96"/>
      <c r="Y631" s="96"/>
      <c r="Z631" s="96"/>
      <c r="AA631" s="99"/>
      <c r="AB631" s="133"/>
    </row>
    <row r="632" spans="1:28" ht="14.25" customHeight="1" x14ac:dyDescent="0.25">
      <c r="A632" s="137"/>
      <c r="B632" s="137"/>
      <c r="C632" s="94"/>
      <c r="D632" s="124"/>
      <c r="E632" s="124"/>
      <c r="F632" s="124"/>
      <c r="G632" s="127"/>
      <c r="H632" s="103"/>
      <c r="I632" s="97"/>
      <c r="J632" s="97"/>
      <c r="K632" s="97"/>
      <c r="L632" s="100"/>
      <c r="M632" s="103"/>
      <c r="N632" s="97"/>
      <c r="O632" s="97"/>
      <c r="P632" s="97"/>
      <c r="Q632" s="100"/>
      <c r="R632" s="112"/>
      <c r="S632" s="106"/>
      <c r="T632" s="106"/>
      <c r="U632" s="106"/>
      <c r="V632" s="109"/>
      <c r="W632" s="103"/>
      <c r="X632" s="97"/>
      <c r="Y632" s="97"/>
      <c r="Z632" s="97"/>
      <c r="AA632" s="100"/>
      <c r="AB632" s="134"/>
    </row>
    <row r="633" spans="1:28" ht="13.5" customHeight="1" thickBot="1" x14ac:dyDescent="0.3">
      <c r="A633" s="138"/>
      <c r="B633" s="138"/>
      <c r="C633" s="95"/>
      <c r="D633" s="125"/>
      <c r="E633" s="125"/>
      <c r="F633" s="125"/>
      <c r="G633" s="128"/>
      <c r="H633" s="104"/>
      <c r="I633" s="98"/>
      <c r="J633" s="98"/>
      <c r="K633" s="98"/>
      <c r="L633" s="101"/>
      <c r="M633" s="104"/>
      <c r="N633" s="98"/>
      <c r="O633" s="98"/>
      <c r="P633" s="98"/>
      <c r="Q633" s="101"/>
      <c r="R633" s="113"/>
      <c r="S633" s="107"/>
      <c r="T633" s="107"/>
      <c r="U633" s="107"/>
      <c r="V633" s="110"/>
      <c r="W633" s="104"/>
      <c r="X633" s="98"/>
      <c r="Y633" s="98"/>
      <c r="Z633" s="98"/>
      <c r="AA633" s="101"/>
      <c r="AB633" s="135"/>
    </row>
    <row r="634" spans="1:28" ht="13.5" customHeight="1" x14ac:dyDescent="0.25">
      <c r="A634" s="136">
        <f>ESCUADRAS!B121</f>
        <v>115</v>
      </c>
      <c r="B634" s="136">
        <f>ESCUADRAS!C121</f>
        <v>0</v>
      </c>
      <c r="C634" s="93"/>
      <c r="D634" s="123"/>
      <c r="E634" s="123"/>
      <c r="F634" s="123"/>
      <c r="G634" s="126"/>
      <c r="H634" s="102"/>
      <c r="I634" s="96"/>
      <c r="J634" s="96"/>
      <c r="K634" s="96"/>
      <c r="L634" s="99"/>
      <c r="M634" s="111"/>
      <c r="N634" s="105"/>
      <c r="O634" s="105"/>
      <c r="P634" s="105"/>
      <c r="Q634" s="108"/>
      <c r="R634" s="102"/>
      <c r="S634" s="96"/>
      <c r="T634" s="96"/>
      <c r="U634" s="96"/>
      <c r="V634" s="99"/>
      <c r="W634" s="102"/>
      <c r="X634" s="96"/>
      <c r="Y634" s="96"/>
      <c r="Z634" s="96"/>
      <c r="AA634" s="99"/>
      <c r="AB634" s="133"/>
    </row>
    <row r="635" spans="1:28" ht="14.25" customHeight="1" x14ac:dyDescent="0.25">
      <c r="A635" s="137"/>
      <c r="B635" s="137"/>
      <c r="C635" s="94"/>
      <c r="D635" s="124"/>
      <c r="E635" s="124"/>
      <c r="F635" s="124"/>
      <c r="G635" s="127"/>
      <c r="H635" s="103"/>
      <c r="I635" s="97"/>
      <c r="J635" s="97"/>
      <c r="K635" s="97"/>
      <c r="L635" s="100"/>
      <c r="M635" s="112"/>
      <c r="N635" s="106"/>
      <c r="O635" s="106"/>
      <c r="P635" s="106"/>
      <c r="Q635" s="109"/>
      <c r="R635" s="103"/>
      <c r="S635" s="97"/>
      <c r="T635" s="97"/>
      <c r="U635" s="97"/>
      <c r="V635" s="100"/>
      <c r="W635" s="103"/>
      <c r="X635" s="97"/>
      <c r="Y635" s="97"/>
      <c r="Z635" s="97"/>
      <c r="AA635" s="100"/>
      <c r="AB635" s="134"/>
    </row>
    <row r="636" spans="1:28" ht="13.5" customHeight="1" thickBot="1" x14ac:dyDescent="0.3">
      <c r="A636" s="138"/>
      <c r="B636" s="138"/>
      <c r="C636" s="95"/>
      <c r="D636" s="125"/>
      <c r="E636" s="125"/>
      <c r="F636" s="125"/>
      <c r="G636" s="128"/>
      <c r="H636" s="104"/>
      <c r="I636" s="98"/>
      <c r="J636" s="98"/>
      <c r="K636" s="98"/>
      <c r="L636" s="101"/>
      <c r="M636" s="113"/>
      <c r="N636" s="107"/>
      <c r="O636" s="107"/>
      <c r="P636" s="107"/>
      <c r="Q636" s="110"/>
      <c r="R636" s="104"/>
      <c r="S636" s="98"/>
      <c r="T636" s="98"/>
      <c r="U636" s="98"/>
      <c r="V636" s="101"/>
      <c r="W636" s="104"/>
      <c r="X636" s="98"/>
      <c r="Y636" s="98"/>
      <c r="Z636" s="98"/>
      <c r="AA636" s="101"/>
      <c r="AB636" s="135"/>
    </row>
    <row r="637" spans="1:28" ht="13.5" customHeight="1" x14ac:dyDescent="0.25">
      <c r="A637" s="136">
        <f>ESCUADRAS!B122</f>
        <v>116</v>
      </c>
      <c r="B637" s="136">
        <f>ESCUADRAS!C122</f>
        <v>0</v>
      </c>
      <c r="C637" s="93"/>
      <c r="D637" s="123"/>
      <c r="E637" s="123"/>
      <c r="F637" s="123"/>
      <c r="G637" s="126"/>
      <c r="H637" s="111"/>
      <c r="I637" s="105"/>
      <c r="J637" s="105"/>
      <c r="K637" s="105"/>
      <c r="L637" s="108"/>
      <c r="M637" s="102"/>
      <c r="N637" s="96"/>
      <c r="O637" s="96"/>
      <c r="P637" s="96"/>
      <c r="Q637" s="99"/>
      <c r="R637" s="102"/>
      <c r="S637" s="96"/>
      <c r="T637" s="96"/>
      <c r="U637" s="96"/>
      <c r="V637" s="99"/>
      <c r="W637" s="102"/>
      <c r="X637" s="96"/>
      <c r="Y637" s="96"/>
      <c r="Z637" s="96"/>
      <c r="AA637" s="99"/>
      <c r="AB637" s="133"/>
    </row>
    <row r="638" spans="1:28" ht="14.25" customHeight="1" x14ac:dyDescent="0.25">
      <c r="A638" s="137"/>
      <c r="B638" s="137"/>
      <c r="C638" s="94"/>
      <c r="D638" s="124"/>
      <c r="E638" s="124"/>
      <c r="F638" s="124"/>
      <c r="G638" s="127"/>
      <c r="H638" s="112"/>
      <c r="I638" s="106"/>
      <c r="J638" s="106"/>
      <c r="K638" s="106"/>
      <c r="L638" s="109"/>
      <c r="M638" s="103"/>
      <c r="N638" s="97"/>
      <c r="O638" s="97"/>
      <c r="P638" s="97"/>
      <c r="Q638" s="100"/>
      <c r="R638" s="103"/>
      <c r="S638" s="97"/>
      <c r="T638" s="97"/>
      <c r="U638" s="97"/>
      <c r="V638" s="100"/>
      <c r="W638" s="103"/>
      <c r="X638" s="97"/>
      <c r="Y638" s="97"/>
      <c r="Z638" s="97"/>
      <c r="AA638" s="100"/>
      <c r="AB638" s="134"/>
    </row>
    <row r="639" spans="1:28" ht="13.5" customHeight="1" thickBot="1" x14ac:dyDescent="0.3">
      <c r="A639" s="138"/>
      <c r="B639" s="138"/>
      <c r="C639" s="95"/>
      <c r="D639" s="125"/>
      <c r="E639" s="125"/>
      <c r="F639" s="125"/>
      <c r="G639" s="128"/>
      <c r="H639" s="113"/>
      <c r="I639" s="107"/>
      <c r="J639" s="107"/>
      <c r="K639" s="107"/>
      <c r="L639" s="110"/>
      <c r="M639" s="104"/>
      <c r="N639" s="98"/>
      <c r="O639" s="98"/>
      <c r="P639" s="98"/>
      <c r="Q639" s="101"/>
      <c r="R639" s="104"/>
      <c r="S639" s="98"/>
      <c r="T639" s="98"/>
      <c r="U639" s="98"/>
      <c r="V639" s="101"/>
      <c r="W639" s="104"/>
      <c r="X639" s="98"/>
      <c r="Y639" s="98"/>
      <c r="Z639" s="98"/>
      <c r="AA639" s="101"/>
      <c r="AB639" s="135"/>
    </row>
    <row r="640" spans="1:28" ht="12.75" customHeight="1" x14ac:dyDescent="0.25">
      <c r="A640" s="136">
        <f>ESCUADRAS!B123</f>
        <v>117</v>
      </c>
      <c r="B640" s="136">
        <f>ESCUADRAS!C123</f>
        <v>0</v>
      </c>
      <c r="C640" s="111"/>
      <c r="D640" s="105"/>
      <c r="E640" s="105"/>
      <c r="F640" s="105"/>
      <c r="G640" s="108"/>
      <c r="H640" s="122"/>
      <c r="I640" s="120"/>
      <c r="J640" s="120"/>
      <c r="K640" s="120"/>
      <c r="L640" s="121"/>
      <c r="M640" s="122"/>
      <c r="N640" s="120"/>
      <c r="O640" s="120"/>
      <c r="P640" s="120"/>
      <c r="Q640" s="121"/>
      <c r="R640" s="122"/>
      <c r="S640" s="120"/>
      <c r="T640" s="120"/>
      <c r="U640" s="120"/>
      <c r="V640" s="121"/>
      <c r="W640" s="122"/>
      <c r="X640" s="120"/>
      <c r="Y640" s="120"/>
      <c r="Z640" s="120"/>
      <c r="AA640" s="121"/>
      <c r="AB640" s="133"/>
    </row>
    <row r="641" spans="1:32" ht="14.25" customHeight="1" x14ac:dyDescent="0.25">
      <c r="A641" s="137"/>
      <c r="B641" s="137"/>
      <c r="C641" s="112"/>
      <c r="D641" s="106"/>
      <c r="E641" s="106"/>
      <c r="F641" s="106"/>
      <c r="G641" s="109"/>
      <c r="H641" s="103"/>
      <c r="I641" s="97"/>
      <c r="J641" s="97"/>
      <c r="K641" s="97"/>
      <c r="L641" s="100"/>
      <c r="M641" s="103"/>
      <c r="N641" s="97"/>
      <c r="O641" s="97"/>
      <c r="P641" s="97"/>
      <c r="Q641" s="100"/>
      <c r="R641" s="103"/>
      <c r="S641" s="97"/>
      <c r="T641" s="97"/>
      <c r="U641" s="97"/>
      <c r="V641" s="100"/>
      <c r="W641" s="103"/>
      <c r="X641" s="97"/>
      <c r="Y641" s="97"/>
      <c r="Z641" s="97"/>
      <c r="AA641" s="100"/>
      <c r="AB641" s="134"/>
    </row>
    <row r="642" spans="1:32" ht="13.5" customHeight="1" thickBot="1" x14ac:dyDescent="0.3">
      <c r="A642" s="138"/>
      <c r="B642" s="138"/>
      <c r="C642" s="113"/>
      <c r="D642" s="107"/>
      <c r="E642" s="107"/>
      <c r="F642" s="107"/>
      <c r="G642" s="110"/>
      <c r="H642" s="104"/>
      <c r="I642" s="98"/>
      <c r="J642" s="98"/>
      <c r="K642" s="98"/>
      <c r="L642" s="101"/>
      <c r="M642" s="104"/>
      <c r="N642" s="98"/>
      <c r="O642" s="98"/>
      <c r="P642" s="98"/>
      <c r="Q642" s="101"/>
      <c r="R642" s="104"/>
      <c r="S642" s="98"/>
      <c r="T642" s="98"/>
      <c r="U642" s="98"/>
      <c r="V642" s="101"/>
      <c r="W642" s="104"/>
      <c r="X642" s="98"/>
      <c r="Y642" s="98"/>
      <c r="Z642" s="98"/>
      <c r="AA642" s="101"/>
      <c r="AB642" s="135"/>
    </row>
    <row r="644" spans="1:32" ht="15" x14ac:dyDescent="0.25">
      <c r="A644" s="28"/>
      <c r="B644" s="26" t="s">
        <v>35</v>
      </c>
      <c r="E644" s="21" t="s">
        <v>41</v>
      </c>
      <c r="I644" s="21" t="s">
        <v>42</v>
      </c>
      <c r="M644" s="21" t="s">
        <v>43</v>
      </c>
      <c r="Q644" s="21" t="s">
        <v>44</v>
      </c>
      <c r="U644" s="21" t="s">
        <v>45</v>
      </c>
      <c r="Y644" s="21" t="s">
        <v>46</v>
      </c>
    </row>
    <row r="651" spans="1:32" ht="24.6" x14ac:dyDescent="0.25">
      <c r="A651" s="144" t="str">
        <f>'INSCRIPCION '!A$1</f>
        <v>TIRADA</v>
      </c>
      <c r="B651" s="144"/>
      <c r="C651" s="144"/>
      <c r="D651" s="144"/>
      <c r="E651" s="144"/>
      <c r="F651" s="144"/>
      <c r="G651" s="144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  <c r="AF651" s="144"/>
    </row>
    <row r="652" spans="1:32" ht="24.6" x14ac:dyDescent="0.4">
      <c r="A652" s="23"/>
      <c r="B652" s="23"/>
    </row>
    <row r="653" spans="1:32" ht="22.8" x14ac:dyDescent="0.25">
      <c r="A653" s="132" t="str">
        <f>'INSCRIPCION '!A$2</f>
        <v>CAMPO DE TIRO LA ISLA</v>
      </c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32"/>
      <c r="N653" s="132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32"/>
      <c r="AF653" s="132"/>
    </row>
    <row r="654" spans="1:32" ht="20.399999999999999" x14ac:dyDescent="0.25">
      <c r="A654" s="143" t="str">
        <f>'INSCRIPCION '!A$3</f>
        <v>XXX PLATOS</v>
      </c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</row>
    <row r="655" spans="1:32" ht="22.8" x14ac:dyDescent="0.4">
      <c r="A655" s="24"/>
      <c r="B655" s="24"/>
    </row>
    <row r="656" spans="1:32" ht="17.399999999999999" x14ac:dyDescent="0.3">
      <c r="A656" s="25" t="s">
        <v>30</v>
      </c>
      <c r="B656" s="25"/>
      <c r="J656" s="9" t="s">
        <v>6</v>
      </c>
      <c r="K656" s="9"/>
      <c r="L656" s="9"/>
      <c r="M656" s="9"/>
      <c r="N656" s="9"/>
      <c r="O656" s="22">
        <v>4</v>
      </c>
      <c r="P656" s="22"/>
      <c r="Q656" s="8"/>
      <c r="R656" s="8"/>
      <c r="S656" s="7"/>
      <c r="T656" s="8"/>
      <c r="U656" s="8"/>
      <c r="V656" s="9" t="s">
        <v>7</v>
      </c>
      <c r="W656" s="9"/>
      <c r="X656" s="9"/>
      <c r="Y656" s="9"/>
      <c r="Z656" s="22">
        <v>4</v>
      </c>
      <c r="AA656" s="22"/>
    </row>
    <row r="657" spans="1:28" ht="13.8" thickBot="1" x14ac:dyDescent="0.3"/>
    <row r="658" spans="1:28" ht="15.6" thickBot="1" x14ac:dyDescent="0.3">
      <c r="A658" s="27" t="s">
        <v>0</v>
      </c>
      <c r="B658" s="27" t="s">
        <v>8</v>
      </c>
      <c r="C658" s="47">
        <v>1</v>
      </c>
      <c r="D658" s="48">
        <v>2</v>
      </c>
      <c r="E658" s="48">
        <v>3</v>
      </c>
      <c r="F658" s="48">
        <v>4</v>
      </c>
      <c r="G658" s="49">
        <v>5</v>
      </c>
      <c r="H658" s="47">
        <v>6</v>
      </c>
      <c r="I658" s="48">
        <v>7</v>
      </c>
      <c r="J658" s="48">
        <v>8</v>
      </c>
      <c r="K658" s="48">
        <v>9</v>
      </c>
      <c r="L658" s="49">
        <v>10</v>
      </c>
      <c r="M658" s="47">
        <v>11</v>
      </c>
      <c r="N658" s="48">
        <v>12</v>
      </c>
      <c r="O658" s="48">
        <v>13</v>
      </c>
      <c r="P658" s="48">
        <v>14</v>
      </c>
      <c r="Q658" s="49">
        <v>15</v>
      </c>
      <c r="R658" s="47">
        <v>16</v>
      </c>
      <c r="S658" s="48">
        <v>17</v>
      </c>
      <c r="T658" s="48">
        <v>18</v>
      </c>
      <c r="U658" s="48">
        <v>19</v>
      </c>
      <c r="V658" s="49">
        <v>20</v>
      </c>
      <c r="W658" s="47">
        <v>21</v>
      </c>
      <c r="X658" s="48">
        <v>22</v>
      </c>
      <c r="Y658" s="48">
        <v>23</v>
      </c>
      <c r="Z658" s="48">
        <v>24</v>
      </c>
      <c r="AA658" s="49">
        <v>25</v>
      </c>
      <c r="AB658" s="30" t="s">
        <v>1</v>
      </c>
    </row>
    <row r="659" spans="1:28" ht="14.25" customHeight="1" x14ac:dyDescent="0.25">
      <c r="A659" s="136">
        <f>ESCUADRAS!B130</f>
        <v>124</v>
      </c>
      <c r="B659" s="136">
        <f>ESCUADRAS!C130</f>
        <v>0</v>
      </c>
      <c r="C659" s="129"/>
      <c r="D659" s="114"/>
      <c r="E659" s="114"/>
      <c r="F659" s="114"/>
      <c r="G659" s="117"/>
      <c r="H659" s="111"/>
      <c r="I659" s="105"/>
      <c r="J659" s="105"/>
      <c r="K659" s="105"/>
      <c r="L659" s="108"/>
      <c r="M659" s="111"/>
      <c r="N659" s="105"/>
      <c r="O659" s="105"/>
      <c r="P659" s="105"/>
      <c r="Q659" s="108"/>
      <c r="R659" s="111"/>
      <c r="S659" s="105"/>
      <c r="T659" s="105"/>
      <c r="U659" s="105"/>
      <c r="V659" s="108"/>
      <c r="W659" s="111"/>
      <c r="X659" s="105"/>
      <c r="Y659" s="105"/>
      <c r="Z659" s="105"/>
      <c r="AA659" s="108"/>
      <c r="AB659" s="133"/>
    </row>
    <row r="660" spans="1:28" ht="14.25" customHeight="1" x14ac:dyDescent="0.25">
      <c r="A660" s="137"/>
      <c r="B660" s="137"/>
      <c r="C660" s="130"/>
      <c r="D660" s="115"/>
      <c r="E660" s="115"/>
      <c r="F660" s="115"/>
      <c r="G660" s="118"/>
      <c r="H660" s="112"/>
      <c r="I660" s="106"/>
      <c r="J660" s="106"/>
      <c r="K660" s="106"/>
      <c r="L660" s="109"/>
      <c r="M660" s="112"/>
      <c r="N660" s="106"/>
      <c r="O660" s="106"/>
      <c r="P660" s="106"/>
      <c r="Q660" s="109"/>
      <c r="R660" s="112"/>
      <c r="S660" s="106"/>
      <c r="T660" s="106"/>
      <c r="U660" s="106"/>
      <c r="V660" s="109"/>
      <c r="W660" s="112"/>
      <c r="X660" s="106"/>
      <c r="Y660" s="106"/>
      <c r="Z660" s="106"/>
      <c r="AA660" s="109"/>
      <c r="AB660" s="134"/>
    </row>
    <row r="661" spans="1:28" ht="13.5" customHeight="1" thickBot="1" x14ac:dyDescent="0.3">
      <c r="A661" s="138"/>
      <c r="B661" s="138"/>
      <c r="C661" s="131"/>
      <c r="D661" s="116"/>
      <c r="E661" s="116"/>
      <c r="F661" s="116"/>
      <c r="G661" s="119"/>
      <c r="H661" s="113"/>
      <c r="I661" s="107"/>
      <c r="J661" s="107"/>
      <c r="K661" s="107"/>
      <c r="L661" s="110"/>
      <c r="M661" s="113"/>
      <c r="N661" s="107"/>
      <c r="O661" s="107"/>
      <c r="P661" s="107"/>
      <c r="Q661" s="110"/>
      <c r="R661" s="113"/>
      <c r="S661" s="107"/>
      <c r="T661" s="107"/>
      <c r="U661" s="107"/>
      <c r="V661" s="110"/>
      <c r="W661" s="113"/>
      <c r="X661" s="107"/>
      <c r="Y661" s="107"/>
      <c r="Z661" s="107"/>
      <c r="AA661" s="110"/>
      <c r="AB661" s="135"/>
    </row>
    <row r="662" spans="1:28" ht="14.25" customHeight="1" x14ac:dyDescent="0.25">
      <c r="A662" s="136">
        <f>ESCUADRAS!B131</f>
        <v>125</v>
      </c>
      <c r="B662" s="136">
        <f>ESCUADRAS!C131</f>
        <v>0</v>
      </c>
      <c r="C662" s="93"/>
      <c r="D662" s="123"/>
      <c r="E662" s="123"/>
      <c r="F662" s="123"/>
      <c r="G662" s="126"/>
      <c r="H662" s="102"/>
      <c r="I662" s="96"/>
      <c r="J662" s="96"/>
      <c r="K662" s="96"/>
      <c r="L662" s="99"/>
      <c r="M662" s="102"/>
      <c r="N662" s="96"/>
      <c r="O662" s="96"/>
      <c r="P662" s="96"/>
      <c r="Q662" s="99"/>
      <c r="R662" s="102"/>
      <c r="S662" s="96"/>
      <c r="T662" s="96"/>
      <c r="U662" s="96"/>
      <c r="V662" s="99"/>
      <c r="W662" s="111"/>
      <c r="X662" s="105"/>
      <c r="Y662" s="105"/>
      <c r="Z662" s="105"/>
      <c r="AA662" s="108"/>
      <c r="AB662" s="133"/>
    </row>
    <row r="663" spans="1:28" ht="14.25" customHeight="1" x14ac:dyDescent="0.25">
      <c r="A663" s="137"/>
      <c r="B663" s="137"/>
      <c r="C663" s="94"/>
      <c r="D663" s="124"/>
      <c r="E663" s="124"/>
      <c r="F663" s="124"/>
      <c r="G663" s="127"/>
      <c r="H663" s="103"/>
      <c r="I663" s="97"/>
      <c r="J663" s="97"/>
      <c r="K663" s="97"/>
      <c r="L663" s="100"/>
      <c r="M663" s="103"/>
      <c r="N663" s="97"/>
      <c r="O663" s="97"/>
      <c r="P663" s="97"/>
      <c r="Q663" s="100"/>
      <c r="R663" s="103"/>
      <c r="S663" s="97"/>
      <c r="T663" s="97"/>
      <c r="U663" s="97"/>
      <c r="V663" s="100"/>
      <c r="W663" s="112"/>
      <c r="X663" s="106"/>
      <c r="Y663" s="106"/>
      <c r="Z663" s="106"/>
      <c r="AA663" s="109"/>
      <c r="AB663" s="134"/>
    </row>
    <row r="664" spans="1:28" ht="13.5" customHeight="1" thickBot="1" x14ac:dyDescent="0.3">
      <c r="A664" s="138"/>
      <c r="B664" s="138"/>
      <c r="C664" s="95"/>
      <c r="D664" s="125"/>
      <c r="E664" s="125"/>
      <c r="F664" s="125"/>
      <c r="G664" s="128"/>
      <c r="H664" s="104"/>
      <c r="I664" s="98"/>
      <c r="J664" s="98"/>
      <c r="K664" s="98"/>
      <c r="L664" s="101"/>
      <c r="M664" s="104"/>
      <c r="N664" s="98"/>
      <c r="O664" s="98"/>
      <c r="P664" s="98"/>
      <c r="Q664" s="101"/>
      <c r="R664" s="104"/>
      <c r="S664" s="98"/>
      <c r="T664" s="98"/>
      <c r="U664" s="98"/>
      <c r="V664" s="101"/>
      <c r="W664" s="113"/>
      <c r="X664" s="107"/>
      <c r="Y664" s="107"/>
      <c r="Z664" s="107"/>
      <c r="AA664" s="110"/>
      <c r="AB664" s="135"/>
    </row>
    <row r="665" spans="1:28" ht="14.25" customHeight="1" x14ac:dyDescent="0.25">
      <c r="A665" s="136">
        <f>ESCUADRAS!B132</f>
        <v>126</v>
      </c>
      <c r="B665" s="136">
        <f>ESCUADRAS!C132</f>
        <v>0</v>
      </c>
      <c r="C665" s="93"/>
      <c r="D665" s="123"/>
      <c r="E665" s="123"/>
      <c r="F665" s="123"/>
      <c r="G665" s="126"/>
      <c r="H665" s="102"/>
      <c r="I665" s="96"/>
      <c r="J665" s="96"/>
      <c r="K665" s="96"/>
      <c r="L665" s="99"/>
      <c r="M665" s="102"/>
      <c r="N665" s="96"/>
      <c r="O665" s="96"/>
      <c r="P665" s="96"/>
      <c r="Q665" s="99"/>
      <c r="R665" s="111"/>
      <c r="S665" s="105"/>
      <c r="T665" s="105"/>
      <c r="U665" s="105"/>
      <c r="V665" s="108"/>
      <c r="W665" s="102"/>
      <c r="X665" s="96"/>
      <c r="Y665" s="96"/>
      <c r="Z665" s="96"/>
      <c r="AA665" s="99"/>
      <c r="AB665" s="133"/>
    </row>
    <row r="666" spans="1:28" ht="14.25" customHeight="1" x14ac:dyDescent="0.25">
      <c r="A666" s="137"/>
      <c r="B666" s="137"/>
      <c r="C666" s="94"/>
      <c r="D666" s="124"/>
      <c r="E666" s="124"/>
      <c r="F666" s="124"/>
      <c r="G666" s="127"/>
      <c r="H666" s="103"/>
      <c r="I666" s="97"/>
      <c r="J666" s="97"/>
      <c r="K666" s="97"/>
      <c r="L666" s="100"/>
      <c r="M666" s="103"/>
      <c r="N666" s="97"/>
      <c r="O666" s="97"/>
      <c r="P666" s="97"/>
      <c r="Q666" s="100"/>
      <c r="R666" s="112"/>
      <c r="S666" s="106"/>
      <c r="T666" s="106"/>
      <c r="U666" s="106"/>
      <c r="V666" s="109"/>
      <c r="W666" s="103"/>
      <c r="X666" s="97"/>
      <c r="Y666" s="97"/>
      <c r="Z666" s="97"/>
      <c r="AA666" s="100"/>
      <c r="AB666" s="134"/>
    </row>
    <row r="667" spans="1:28" ht="13.5" customHeight="1" thickBot="1" x14ac:dyDescent="0.3">
      <c r="A667" s="138"/>
      <c r="B667" s="138"/>
      <c r="C667" s="95"/>
      <c r="D667" s="125"/>
      <c r="E667" s="125"/>
      <c r="F667" s="125"/>
      <c r="G667" s="128"/>
      <c r="H667" s="104"/>
      <c r="I667" s="98"/>
      <c r="J667" s="98"/>
      <c r="K667" s="98"/>
      <c r="L667" s="101"/>
      <c r="M667" s="104"/>
      <c r="N667" s="98"/>
      <c r="O667" s="98"/>
      <c r="P667" s="98"/>
      <c r="Q667" s="101"/>
      <c r="R667" s="113"/>
      <c r="S667" s="107"/>
      <c r="T667" s="107"/>
      <c r="U667" s="107"/>
      <c r="V667" s="110"/>
      <c r="W667" s="104"/>
      <c r="X667" s="98"/>
      <c r="Y667" s="98"/>
      <c r="Z667" s="98"/>
      <c r="AA667" s="101"/>
      <c r="AB667" s="135"/>
    </row>
    <row r="668" spans="1:28" ht="13.5" customHeight="1" x14ac:dyDescent="0.25">
      <c r="A668" s="136">
        <f>ESCUADRAS!B127</f>
        <v>121</v>
      </c>
      <c r="B668" s="136">
        <f>ESCUADRAS!C127</f>
        <v>0</v>
      </c>
      <c r="C668" s="93"/>
      <c r="D668" s="123"/>
      <c r="E668" s="123"/>
      <c r="F668" s="123"/>
      <c r="G668" s="126"/>
      <c r="H668" s="102"/>
      <c r="I668" s="96"/>
      <c r="J668" s="96"/>
      <c r="K668" s="96"/>
      <c r="L668" s="99"/>
      <c r="M668" s="111"/>
      <c r="N668" s="105"/>
      <c r="O668" s="105"/>
      <c r="P668" s="105"/>
      <c r="Q668" s="108"/>
      <c r="R668" s="102"/>
      <c r="S668" s="96"/>
      <c r="T668" s="96"/>
      <c r="U668" s="96"/>
      <c r="V668" s="99"/>
      <c r="W668" s="102"/>
      <c r="X668" s="96"/>
      <c r="Y668" s="96"/>
      <c r="Z668" s="96"/>
      <c r="AA668" s="99"/>
      <c r="AB668" s="133"/>
    </row>
    <row r="669" spans="1:28" ht="14.25" customHeight="1" x14ac:dyDescent="0.25">
      <c r="A669" s="137"/>
      <c r="B669" s="137"/>
      <c r="C669" s="94"/>
      <c r="D669" s="124"/>
      <c r="E669" s="124"/>
      <c r="F669" s="124"/>
      <c r="G669" s="127"/>
      <c r="H669" s="103"/>
      <c r="I669" s="97"/>
      <c r="J669" s="97"/>
      <c r="K669" s="97"/>
      <c r="L669" s="100"/>
      <c r="M669" s="112"/>
      <c r="N669" s="106"/>
      <c r="O669" s="106"/>
      <c r="P669" s="106"/>
      <c r="Q669" s="109"/>
      <c r="R669" s="103"/>
      <c r="S669" s="97"/>
      <c r="T669" s="97"/>
      <c r="U669" s="97"/>
      <c r="V669" s="100"/>
      <c r="W669" s="103"/>
      <c r="X669" s="97"/>
      <c r="Y669" s="97"/>
      <c r="Z669" s="97"/>
      <c r="AA669" s="100"/>
      <c r="AB669" s="134"/>
    </row>
    <row r="670" spans="1:28" ht="13.5" customHeight="1" thickBot="1" x14ac:dyDescent="0.3">
      <c r="A670" s="138"/>
      <c r="B670" s="138"/>
      <c r="C670" s="95"/>
      <c r="D670" s="125"/>
      <c r="E670" s="125"/>
      <c r="F670" s="125"/>
      <c r="G670" s="128"/>
      <c r="H670" s="104"/>
      <c r="I670" s="98"/>
      <c r="J670" s="98"/>
      <c r="K670" s="98"/>
      <c r="L670" s="101"/>
      <c r="M670" s="113"/>
      <c r="N670" s="107"/>
      <c r="O670" s="107"/>
      <c r="P670" s="107"/>
      <c r="Q670" s="110"/>
      <c r="R670" s="104"/>
      <c r="S670" s="98"/>
      <c r="T670" s="98"/>
      <c r="U670" s="98"/>
      <c r="V670" s="101"/>
      <c r="W670" s="104"/>
      <c r="X670" s="98"/>
      <c r="Y670" s="98"/>
      <c r="Z670" s="98"/>
      <c r="AA670" s="101"/>
      <c r="AB670" s="135"/>
    </row>
    <row r="671" spans="1:28" ht="14.25" customHeight="1" x14ac:dyDescent="0.25">
      <c r="A671" s="136">
        <f>ESCUADRAS!B128</f>
        <v>122</v>
      </c>
      <c r="B671" s="136">
        <f>ESCUADRAS!C128</f>
        <v>0</v>
      </c>
      <c r="C671" s="93"/>
      <c r="D671" s="123"/>
      <c r="E671" s="123"/>
      <c r="F671" s="123"/>
      <c r="G671" s="126"/>
      <c r="H671" s="111"/>
      <c r="I671" s="105"/>
      <c r="J671" s="105"/>
      <c r="K671" s="105"/>
      <c r="L671" s="108"/>
      <c r="M671" s="102"/>
      <c r="N671" s="96"/>
      <c r="O671" s="96"/>
      <c r="P671" s="96"/>
      <c r="Q671" s="99"/>
      <c r="R671" s="102"/>
      <c r="S671" s="96"/>
      <c r="T671" s="96"/>
      <c r="U671" s="96"/>
      <c r="V671" s="99"/>
      <c r="W671" s="102"/>
      <c r="X671" s="96"/>
      <c r="Y671" s="96"/>
      <c r="Z671" s="96"/>
      <c r="AA671" s="99"/>
      <c r="AB671" s="133"/>
    </row>
    <row r="672" spans="1:28" ht="14.25" customHeight="1" x14ac:dyDescent="0.25">
      <c r="A672" s="137"/>
      <c r="B672" s="137"/>
      <c r="C672" s="94"/>
      <c r="D672" s="124"/>
      <c r="E672" s="124"/>
      <c r="F672" s="124"/>
      <c r="G672" s="127"/>
      <c r="H672" s="112"/>
      <c r="I672" s="106"/>
      <c r="J672" s="106"/>
      <c r="K672" s="106"/>
      <c r="L672" s="109"/>
      <c r="M672" s="103"/>
      <c r="N672" s="97"/>
      <c r="O672" s="97"/>
      <c r="P672" s="97"/>
      <c r="Q672" s="100"/>
      <c r="R672" s="103"/>
      <c r="S672" s="97"/>
      <c r="T672" s="97"/>
      <c r="U672" s="97"/>
      <c r="V672" s="100"/>
      <c r="W672" s="103"/>
      <c r="X672" s="97"/>
      <c r="Y672" s="97"/>
      <c r="Z672" s="97"/>
      <c r="AA672" s="100"/>
      <c r="AB672" s="134"/>
    </row>
    <row r="673" spans="1:32" ht="13.5" customHeight="1" thickBot="1" x14ac:dyDescent="0.3">
      <c r="A673" s="138"/>
      <c r="B673" s="138"/>
      <c r="C673" s="95"/>
      <c r="D673" s="125"/>
      <c r="E673" s="125"/>
      <c r="F673" s="125"/>
      <c r="G673" s="128"/>
      <c r="H673" s="113"/>
      <c r="I673" s="107"/>
      <c r="J673" s="107"/>
      <c r="K673" s="107"/>
      <c r="L673" s="110"/>
      <c r="M673" s="104"/>
      <c r="N673" s="98"/>
      <c r="O673" s="98"/>
      <c r="P673" s="98"/>
      <c r="Q673" s="101"/>
      <c r="R673" s="104"/>
      <c r="S673" s="98"/>
      <c r="T673" s="98"/>
      <c r="U673" s="98"/>
      <c r="V673" s="101"/>
      <c r="W673" s="104"/>
      <c r="X673" s="98"/>
      <c r="Y673" s="98"/>
      <c r="Z673" s="98"/>
      <c r="AA673" s="101"/>
      <c r="AB673" s="135"/>
    </row>
    <row r="674" spans="1:32" ht="13.5" customHeight="1" x14ac:dyDescent="0.25">
      <c r="A674" s="136">
        <f>ESCUADRAS!B129</f>
        <v>123</v>
      </c>
      <c r="B674" s="136">
        <f>ESCUADRAS!C129</f>
        <v>0</v>
      </c>
      <c r="C674" s="111"/>
      <c r="D674" s="105"/>
      <c r="E674" s="105"/>
      <c r="F674" s="105"/>
      <c r="G674" s="108"/>
      <c r="H674" s="122"/>
      <c r="I674" s="120"/>
      <c r="J674" s="120"/>
      <c r="K674" s="120"/>
      <c r="L674" s="121"/>
      <c r="M674" s="122"/>
      <c r="N674" s="120"/>
      <c r="O674" s="120"/>
      <c r="P674" s="120"/>
      <c r="Q674" s="121"/>
      <c r="R674" s="122"/>
      <c r="S674" s="120"/>
      <c r="T674" s="120"/>
      <c r="U674" s="120"/>
      <c r="V674" s="121"/>
      <c r="W674" s="122"/>
      <c r="X674" s="120"/>
      <c r="Y674" s="120"/>
      <c r="Z674" s="120"/>
      <c r="AA674" s="121"/>
      <c r="AB674" s="133"/>
    </row>
    <row r="675" spans="1:32" ht="14.25" customHeight="1" x14ac:dyDescent="0.25">
      <c r="A675" s="137"/>
      <c r="B675" s="137"/>
      <c r="C675" s="112"/>
      <c r="D675" s="106"/>
      <c r="E675" s="106"/>
      <c r="F675" s="106"/>
      <c r="G675" s="109"/>
      <c r="H675" s="103"/>
      <c r="I675" s="97"/>
      <c r="J675" s="97"/>
      <c r="K675" s="97"/>
      <c r="L675" s="100"/>
      <c r="M675" s="103"/>
      <c r="N675" s="97"/>
      <c r="O675" s="97"/>
      <c r="P675" s="97"/>
      <c r="Q675" s="100"/>
      <c r="R675" s="103"/>
      <c r="S675" s="97"/>
      <c r="T675" s="97"/>
      <c r="U675" s="97"/>
      <c r="V675" s="100"/>
      <c r="W675" s="103"/>
      <c r="X675" s="97"/>
      <c r="Y675" s="97"/>
      <c r="Z675" s="97"/>
      <c r="AA675" s="100"/>
      <c r="AB675" s="134"/>
    </row>
    <row r="676" spans="1:32" ht="13.5" customHeight="1" thickBot="1" x14ac:dyDescent="0.3">
      <c r="A676" s="138"/>
      <c r="B676" s="138"/>
      <c r="C676" s="113"/>
      <c r="D676" s="107"/>
      <c r="E676" s="107"/>
      <c r="F676" s="107"/>
      <c r="G676" s="110"/>
      <c r="H676" s="104"/>
      <c r="I676" s="98"/>
      <c r="J676" s="98"/>
      <c r="K676" s="98"/>
      <c r="L676" s="101"/>
      <c r="M676" s="104"/>
      <c r="N676" s="98"/>
      <c r="O676" s="98"/>
      <c r="P676" s="98"/>
      <c r="Q676" s="101"/>
      <c r="R676" s="104"/>
      <c r="S676" s="98"/>
      <c r="T676" s="98"/>
      <c r="U676" s="98"/>
      <c r="V676" s="101"/>
      <c r="W676" s="104"/>
      <c r="X676" s="98"/>
      <c r="Y676" s="98"/>
      <c r="Z676" s="98"/>
      <c r="AA676" s="101"/>
      <c r="AB676" s="135"/>
    </row>
    <row r="678" spans="1:32" ht="15" x14ac:dyDescent="0.25">
      <c r="A678" s="28"/>
      <c r="B678" s="26" t="s">
        <v>35</v>
      </c>
      <c r="E678" s="21" t="s">
        <v>41</v>
      </c>
      <c r="I678" s="21" t="s">
        <v>42</v>
      </c>
      <c r="M678" s="21" t="s">
        <v>43</v>
      </c>
      <c r="Q678" s="21" t="s">
        <v>44</v>
      </c>
      <c r="U678" s="21" t="s">
        <v>45</v>
      </c>
      <c r="Y678" s="21" t="s">
        <v>46</v>
      </c>
    </row>
    <row r="685" spans="1:32" ht="24.6" x14ac:dyDescent="0.25">
      <c r="A685" s="144" t="str">
        <f>'INSCRIPCION '!A$1</f>
        <v>TIRADA</v>
      </c>
      <c r="B685" s="144"/>
      <c r="C685" s="144"/>
      <c r="D685" s="144"/>
      <c r="E685" s="144"/>
      <c r="F685" s="144"/>
      <c r="G685" s="144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  <c r="AF685" s="144"/>
    </row>
    <row r="686" spans="1:32" ht="24.6" x14ac:dyDescent="0.4">
      <c r="A686" s="23"/>
      <c r="B686" s="23"/>
    </row>
    <row r="687" spans="1:32" ht="22.8" x14ac:dyDescent="0.25">
      <c r="A687" s="132" t="str">
        <f>'INSCRIPCION '!A$2</f>
        <v>CAMPO DE TIRO LA ISLA</v>
      </c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L687" s="132"/>
      <c r="M687" s="132"/>
      <c r="N687" s="132"/>
      <c r="O687" s="132"/>
      <c r="P687" s="132"/>
      <c r="Q687" s="132"/>
      <c r="R687" s="132"/>
      <c r="S687" s="132"/>
      <c r="T687" s="132"/>
      <c r="U687" s="132"/>
      <c r="V687" s="132"/>
      <c r="W687" s="132"/>
      <c r="X687" s="132"/>
      <c r="Y687" s="132"/>
      <c r="Z687" s="132"/>
      <c r="AA687" s="132"/>
      <c r="AB687" s="132"/>
      <c r="AC687" s="132"/>
      <c r="AD687" s="132"/>
      <c r="AE687" s="132"/>
      <c r="AF687" s="132"/>
    </row>
    <row r="688" spans="1:32" ht="20.399999999999999" x14ac:dyDescent="0.25">
      <c r="A688" s="143" t="str">
        <f>'INSCRIPCION '!A$3</f>
        <v>XXX PLATOS</v>
      </c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</row>
    <row r="689" spans="1:28" ht="22.8" x14ac:dyDescent="0.4">
      <c r="A689" s="24"/>
      <c r="B689" s="24"/>
    </row>
    <row r="690" spans="1:28" ht="17.399999999999999" x14ac:dyDescent="0.3">
      <c r="A690" s="25" t="s">
        <v>31</v>
      </c>
      <c r="B690" s="25"/>
      <c r="J690" s="9" t="s">
        <v>6</v>
      </c>
      <c r="K690" s="9"/>
      <c r="L690" s="9"/>
      <c r="M690" s="9"/>
      <c r="N690" s="9"/>
      <c r="O690" s="22">
        <v>1</v>
      </c>
      <c r="P690" s="22"/>
      <c r="Q690" s="8"/>
      <c r="R690" s="8"/>
      <c r="S690" s="7"/>
      <c r="T690" s="8"/>
      <c r="U690" s="8"/>
      <c r="V690" s="9" t="s">
        <v>7</v>
      </c>
      <c r="W690" s="9"/>
      <c r="X690" s="9"/>
      <c r="Y690" s="9"/>
      <c r="Z690" s="22">
        <v>4</v>
      </c>
      <c r="AA690" s="22"/>
    </row>
    <row r="691" spans="1:28" ht="13.8" thickBot="1" x14ac:dyDescent="0.3"/>
    <row r="692" spans="1:28" ht="15.6" thickBot="1" x14ac:dyDescent="0.3">
      <c r="A692" s="27" t="s">
        <v>0</v>
      </c>
      <c r="B692" s="27" t="s">
        <v>8</v>
      </c>
      <c r="C692" s="47">
        <v>1</v>
      </c>
      <c r="D692" s="48">
        <v>2</v>
      </c>
      <c r="E692" s="48">
        <v>3</v>
      </c>
      <c r="F692" s="48">
        <v>4</v>
      </c>
      <c r="G692" s="49">
        <v>5</v>
      </c>
      <c r="H692" s="47">
        <v>6</v>
      </c>
      <c r="I692" s="48">
        <v>7</v>
      </c>
      <c r="J692" s="48">
        <v>8</v>
      </c>
      <c r="K692" s="48">
        <v>9</v>
      </c>
      <c r="L692" s="49">
        <v>10</v>
      </c>
      <c r="M692" s="47">
        <v>11</v>
      </c>
      <c r="N692" s="48">
        <v>12</v>
      </c>
      <c r="O692" s="48">
        <v>13</v>
      </c>
      <c r="P692" s="48">
        <v>14</v>
      </c>
      <c r="Q692" s="49">
        <v>15</v>
      </c>
      <c r="R692" s="47">
        <v>16</v>
      </c>
      <c r="S692" s="48">
        <v>17</v>
      </c>
      <c r="T692" s="48">
        <v>18</v>
      </c>
      <c r="U692" s="48">
        <v>19</v>
      </c>
      <c r="V692" s="49">
        <v>20</v>
      </c>
      <c r="W692" s="47">
        <v>21</v>
      </c>
      <c r="X692" s="48">
        <v>22</v>
      </c>
      <c r="Y692" s="48">
        <v>23</v>
      </c>
      <c r="Z692" s="48">
        <v>24</v>
      </c>
      <c r="AA692" s="49">
        <v>25</v>
      </c>
      <c r="AB692" s="30" t="s">
        <v>1</v>
      </c>
    </row>
    <row r="693" spans="1:28" ht="12.75" customHeight="1" x14ac:dyDescent="0.25">
      <c r="A693" s="136">
        <f>ESCUADRAS!B136</f>
        <v>130</v>
      </c>
      <c r="B693" s="136">
        <f>ESCUADRAS!C136</f>
        <v>0</v>
      </c>
      <c r="C693" s="129"/>
      <c r="D693" s="114"/>
      <c r="E693" s="114"/>
      <c r="F693" s="114"/>
      <c r="G693" s="117"/>
      <c r="H693" s="111"/>
      <c r="I693" s="105"/>
      <c r="J693" s="105"/>
      <c r="K693" s="105"/>
      <c r="L693" s="108"/>
      <c r="M693" s="111"/>
      <c r="N693" s="105"/>
      <c r="O693" s="105"/>
      <c r="P693" s="105"/>
      <c r="Q693" s="108"/>
      <c r="R693" s="111"/>
      <c r="S693" s="105"/>
      <c r="T693" s="105"/>
      <c r="U693" s="105"/>
      <c r="V693" s="108"/>
      <c r="W693" s="111"/>
      <c r="X693" s="105"/>
      <c r="Y693" s="105"/>
      <c r="Z693" s="105"/>
      <c r="AA693" s="108"/>
      <c r="AB693" s="133"/>
    </row>
    <row r="694" spans="1:28" ht="14.25" customHeight="1" x14ac:dyDescent="0.25">
      <c r="A694" s="137"/>
      <c r="B694" s="137"/>
      <c r="C694" s="130"/>
      <c r="D694" s="115"/>
      <c r="E694" s="115"/>
      <c r="F694" s="115"/>
      <c r="G694" s="118"/>
      <c r="H694" s="112"/>
      <c r="I694" s="106"/>
      <c r="J694" s="106"/>
      <c r="K694" s="106"/>
      <c r="L694" s="109"/>
      <c r="M694" s="112"/>
      <c r="N694" s="106"/>
      <c r="O694" s="106"/>
      <c r="P694" s="106"/>
      <c r="Q694" s="109"/>
      <c r="R694" s="112"/>
      <c r="S694" s="106"/>
      <c r="T694" s="106"/>
      <c r="U694" s="106"/>
      <c r="V694" s="109"/>
      <c r="W694" s="112"/>
      <c r="X694" s="106"/>
      <c r="Y694" s="106"/>
      <c r="Z694" s="106"/>
      <c r="AA694" s="109"/>
      <c r="AB694" s="134"/>
    </row>
    <row r="695" spans="1:28" ht="13.5" customHeight="1" thickBot="1" x14ac:dyDescent="0.3">
      <c r="A695" s="138"/>
      <c r="B695" s="138"/>
      <c r="C695" s="131"/>
      <c r="D695" s="116"/>
      <c r="E695" s="116"/>
      <c r="F695" s="116"/>
      <c r="G695" s="119"/>
      <c r="H695" s="113"/>
      <c r="I695" s="107"/>
      <c r="J695" s="107"/>
      <c r="K695" s="107"/>
      <c r="L695" s="110"/>
      <c r="M695" s="113"/>
      <c r="N695" s="107"/>
      <c r="O695" s="107"/>
      <c r="P695" s="107"/>
      <c r="Q695" s="110"/>
      <c r="R695" s="113"/>
      <c r="S695" s="107"/>
      <c r="T695" s="107"/>
      <c r="U695" s="107"/>
      <c r="V695" s="110"/>
      <c r="W695" s="113"/>
      <c r="X695" s="107"/>
      <c r="Y695" s="107"/>
      <c r="Z695" s="107"/>
      <c r="AA695" s="110"/>
      <c r="AB695" s="135"/>
    </row>
    <row r="696" spans="1:28" ht="14.25" customHeight="1" x14ac:dyDescent="0.25">
      <c r="A696" s="136">
        <f>ESCUADRAS!B137</f>
        <v>131</v>
      </c>
      <c r="B696" s="136">
        <f>ESCUADRAS!C137</f>
        <v>0</v>
      </c>
      <c r="C696" s="93"/>
      <c r="D696" s="123"/>
      <c r="E696" s="123"/>
      <c r="F696" s="123"/>
      <c r="G696" s="126"/>
      <c r="H696" s="102"/>
      <c r="I696" s="96"/>
      <c r="J696" s="96"/>
      <c r="K696" s="96"/>
      <c r="L696" s="99"/>
      <c r="M696" s="102"/>
      <c r="N696" s="96"/>
      <c r="O696" s="96"/>
      <c r="P696" s="96"/>
      <c r="Q696" s="99"/>
      <c r="R696" s="102"/>
      <c r="S696" s="96"/>
      <c r="T696" s="96"/>
      <c r="U696" s="96"/>
      <c r="V696" s="99"/>
      <c r="W696" s="111"/>
      <c r="X696" s="105"/>
      <c r="Y696" s="105"/>
      <c r="Z696" s="105"/>
      <c r="AA696" s="108"/>
      <c r="AB696" s="133"/>
    </row>
    <row r="697" spans="1:28" ht="14.25" customHeight="1" x14ac:dyDescent="0.25">
      <c r="A697" s="137"/>
      <c r="B697" s="137"/>
      <c r="C697" s="94"/>
      <c r="D697" s="124"/>
      <c r="E697" s="124"/>
      <c r="F697" s="124"/>
      <c r="G697" s="127"/>
      <c r="H697" s="103"/>
      <c r="I697" s="97"/>
      <c r="J697" s="97"/>
      <c r="K697" s="97"/>
      <c r="L697" s="100"/>
      <c r="M697" s="103"/>
      <c r="N697" s="97"/>
      <c r="O697" s="97"/>
      <c r="P697" s="97"/>
      <c r="Q697" s="100"/>
      <c r="R697" s="103"/>
      <c r="S697" s="97"/>
      <c r="T697" s="97"/>
      <c r="U697" s="97"/>
      <c r="V697" s="100"/>
      <c r="W697" s="112"/>
      <c r="X697" s="106"/>
      <c r="Y697" s="106"/>
      <c r="Z697" s="106"/>
      <c r="AA697" s="109"/>
      <c r="AB697" s="134"/>
    </row>
    <row r="698" spans="1:28" ht="13.5" customHeight="1" thickBot="1" x14ac:dyDescent="0.3">
      <c r="A698" s="138"/>
      <c r="B698" s="138"/>
      <c r="C698" s="95"/>
      <c r="D698" s="125"/>
      <c r="E698" s="125"/>
      <c r="F698" s="125"/>
      <c r="G698" s="128"/>
      <c r="H698" s="104"/>
      <c r="I698" s="98"/>
      <c r="J698" s="98"/>
      <c r="K698" s="98"/>
      <c r="L698" s="101"/>
      <c r="M698" s="104"/>
      <c r="N698" s="98"/>
      <c r="O698" s="98"/>
      <c r="P698" s="98"/>
      <c r="Q698" s="101"/>
      <c r="R698" s="104"/>
      <c r="S698" s="98"/>
      <c r="T698" s="98"/>
      <c r="U698" s="98"/>
      <c r="V698" s="101"/>
      <c r="W698" s="113"/>
      <c r="X698" s="107"/>
      <c r="Y698" s="107"/>
      <c r="Z698" s="107"/>
      <c r="AA698" s="110"/>
      <c r="AB698" s="135"/>
    </row>
    <row r="699" spans="1:28" ht="14.25" customHeight="1" x14ac:dyDescent="0.25">
      <c r="A699" s="136">
        <f>ESCUADRAS!B138</f>
        <v>132</v>
      </c>
      <c r="B699" s="136">
        <f>ESCUADRAS!C138</f>
        <v>0</v>
      </c>
      <c r="C699" s="93"/>
      <c r="D699" s="123"/>
      <c r="E699" s="123"/>
      <c r="F699" s="123"/>
      <c r="G699" s="126"/>
      <c r="H699" s="102"/>
      <c r="I699" s="96"/>
      <c r="J699" s="96"/>
      <c r="K699" s="96"/>
      <c r="L699" s="99"/>
      <c r="M699" s="102"/>
      <c r="N699" s="96"/>
      <c r="O699" s="96"/>
      <c r="P699" s="96"/>
      <c r="Q699" s="99"/>
      <c r="R699" s="111"/>
      <c r="S699" s="105"/>
      <c r="T699" s="105"/>
      <c r="U699" s="105"/>
      <c r="V699" s="108"/>
      <c r="W699" s="102"/>
      <c r="X699" s="96"/>
      <c r="Y699" s="96"/>
      <c r="Z699" s="96"/>
      <c r="AA699" s="99"/>
      <c r="AB699" s="133"/>
    </row>
    <row r="700" spans="1:28" ht="14.25" customHeight="1" x14ac:dyDescent="0.25">
      <c r="A700" s="137"/>
      <c r="B700" s="137"/>
      <c r="C700" s="94"/>
      <c r="D700" s="124"/>
      <c r="E700" s="124"/>
      <c r="F700" s="124"/>
      <c r="G700" s="127"/>
      <c r="H700" s="103"/>
      <c r="I700" s="97"/>
      <c r="J700" s="97"/>
      <c r="K700" s="97"/>
      <c r="L700" s="100"/>
      <c r="M700" s="103"/>
      <c r="N700" s="97"/>
      <c r="O700" s="97"/>
      <c r="P700" s="97"/>
      <c r="Q700" s="100"/>
      <c r="R700" s="112"/>
      <c r="S700" s="106"/>
      <c r="T700" s="106"/>
      <c r="U700" s="106"/>
      <c r="V700" s="109"/>
      <c r="W700" s="103"/>
      <c r="X700" s="97"/>
      <c r="Y700" s="97"/>
      <c r="Z700" s="97"/>
      <c r="AA700" s="100"/>
      <c r="AB700" s="134"/>
    </row>
    <row r="701" spans="1:28" ht="13.5" customHeight="1" thickBot="1" x14ac:dyDescent="0.3">
      <c r="A701" s="138"/>
      <c r="B701" s="138"/>
      <c r="C701" s="95"/>
      <c r="D701" s="125"/>
      <c r="E701" s="125"/>
      <c r="F701" s="125"/>
      <c r="G701" s="128"/>
      <c r="H701" s="104"/>
      <c r="I701" s="98"/>
      <c r="J701" s="98"/>
      <c r="K701" s="98"/>
      <c r="L701" s="101"/>
      <c r="M701" s="104"/>
      <c r="N701" s="98"/>
      <c r="O701" s="98"/>
      <c r="P701" s="98"/>
      <c r="Q701" s="101"/>
      <c r="R701" s="113"/>
      <c r="S701" s="107"/>
      <c r="T701" s="107"/>
      <c r="U701" s="107"/>
      <c r="V701" s="110"/>
      <c r="W701" s="104"/>
      <c r="X701" s="98"/>
      <c r="Y701" s="98"/>
      <c r="Z701" s="98"/>
      <c r="AA701" s="101"/>
      <c r="AB701" s="135"/>
    </row>
    <row r="702" spans="1:28" ht="13.5" customHeight="1" x14ac:dyDescent="0.25">
      <c r="A702" s="136">
        <f>ESCUADRAS!B133</f>
        <v>127</v>
      </c>
      <c r="B702" s="136">
        <f>ESCUADRAS!C133</f>
        <v>0</v>
      </c>
      <c r="C702" s="93"/>
      <c r="D702" s="123"/>
      <c r="E702" s="123"/>
      <c r="F702" s="123"/>
      <c r="G702" s="126"/>
      <c r="H702" s="102"/>
      <c r="I702" s="96"/>
      <c r="J702" s="96"/>
      <c r="K702" s="96"/>
      <c r="L702" s="99"/>
      <c r="M702" s="111"/>
      <c r="N702" s="105"/>
      <c r="O702" s="105"/>
      <c r="P702" s="105"/>
      <c r="Q702" s="108"/>
      <c r="R702" s="102"/>
      <c r="S702" s="96"/>
      <c r="T702" s="96"/>
      <c r="U702" s="96"/>
      <c r="V702" s="99"/>
      <c r="W702" s="102"/>
      <c r="X702" s="96"/>
      <c r="Y702" s="96"/>
      <c r="Z702" s="96"/>
      <c r="AA702" s="99"/>
      <c r="AB702" s="133"/>
    </row>
    <row r="703" spans="1:28" ht="14.25" customHeight="1" x14ac:dyDescent="0.25">
      <c r="A703" s="137"/>
      <c r="B703" s="137"/>
      <c r="C703" s="94"/>
      <c r="D703" s="124"/>
      <c r="E703" s="124"/>
      <c r="F703" s="124"/>
      <c r="G703" s="127"/>
      <c r="H703" s="103"/>
      <c r="I703" s="97"/>
      <c r="J703" s="97"/>
      <c r="K703" s="97"/>
      <c r="L703" s="100"/>
      <c r="M703" s="112"/>
      <c r="N703" s="106"/>
      <c r="O703" s="106"/>
      <c r="P703" s="106"/>
      <c r="Q703" s="109"/>
      <c r="R703" s="103"/>
      <c r="S703" s="97"/>
      <c r="T703" s="97"/>
      <c r="U703" s="97"/>
      <c r="V703" s="100"/>
      <c r="W703" s="103"/>
      <c r="X703" s="97"/>
      <c r="Y703" s="97"/>
      <c r="Z703" s="97"/>
      <c r="AA703" s="100"/>
      <c r="AB703" s="134"/>
    </row>
    <row r="704" spans="1:28" ht="13.5" customHeight="1" thickBot="1" x14ac:dyDescent="0.3">
      <c r="A704" s="138"/>
      <c r="B704" s="138"/>
      <c r="C704" s="95"/>
      <c r="D704" s="125"/>
      <c r="E704" s="125"/>
      <c r="F704" s="125"/>
      <c r="G704" s="128"/>
      <c r="H704" s="104"/>
      <c r="I704" s="98"/>
      <c r="J704" s="98"/>
      <c r="K704" s="98"/>
      <c r="L704" s="101"/>
      <c r="M704" s="113"/>
      <c r="N704" s="107"/>
      <c r="O704" s="107"/>
      <c r="P704" s="107"/>
      <c r="Q704" s="110"/>
      <c r="R704" s="104"/>
      <c r="S704" s="98"/>
      <c r="T704" s="98"/>
      <c r="U704" s="98"/>
      <c r="V704" s="101"/>
      <c r="W704" s="104"/>
      <c r="X704" s="98"/>
      <c r="Y704" s="98"/>
      <c r="Z704" s="98"/>
      <c r="AA704" s="101"/>
      <c r="AB704" s="135"/>
    </row>
    <row r="705" spans="1:32" ht="13.5" customHeight="1" x14ac:dyDescent="0.25">
      <c r="A705" s="136">
        <f>ESCUADRAS!B134</f>
        <v>128</v>
      </c>
      <c r="B705" s="136">
        <f>ESCUADRAS!C134</f>
        <v>0</v>
      </c>
      <c r="C705" s="93"/>
      <c r="D705" s="123"/>
      <c r="E705" s="123"/>
      <c r="F705" s="123"/>
      <c r="G705" s="126"/>
      <c r="H705" s="111"/>
      <c r="I705" s="105"/>
      <c r="J705" s="105"/>
      <c r="K705" s="105"/>
      <c r="L705" s="108"/>
      <c r="M705" s="102"/>
      <c r="N705" s="96"/>
      <c r="O705" s="96"/>
      <c r="P705" s="96"/>
      <c r="Q705" s="99"/>
      <c r="R705" s="102"/>
      <c r="S705" s="96"/>
      <c r="T705" s="96"/>
      <c r="U705" s="96"/>
      <c r="V705" s="99"/>
      <c r="W705" s="102"/>
      <c r="X705" s="96"/>
      <c r="Y705" s="96"/>
      <c r="Z705" s="96"/>
      <c r="AA705" s="99"/>
      <c r="AB705" s="133"/>
    </row>
    <row r="706" spans="1:32" ht="14.25" customHeight="1" x14ac:dyDescent="0.25">
      <c r="A706" s="137"/>
      <c r="B706" s="137"/>
      <c r="C706" s="94"/>
      <c r="D706" s="124"/>
      <c r="E706" s="124"/>
      <c r="F706" s="124"/>
      <c r="G706" s="127"/>
      <c r="H706" s="112"/>
      <c r="I706" s="106"/>
      <c r="J706" s="106"/>
      <c r="K706" s="106"/>
      <c r="L706" s="109"/>
      <c r="M706" s="103"/>
      <c r="N706" s="97"/>
      <c r="O706" s="97"/>
      <c r="P706" s="97"/>
      <c r="Q706" s="100"/>
      <c r="R706" s="103"/>
      <c r="S706" s="97"/>
      <c r="T706" s="97"/>
      <c r="U706" s="97"/>
      <c r="V706" s="100"/>
      <c r="W706" s="103"/>
      <c r="X706" s="97"/>
      <c r="Y706" s="97"/>
      <c r="Z706" s="97"/>
      <c r="AA706" s="100"/>
      <c r="AB706" s="134"/>
    </row>
    <row r="707" spans="1:32" ht="13.5" customHeight="1" thickBot="1" x14ac:dyDescent="0.3">
      <c r="A707" s="138"/>
      <c r="B707" s="138"/>
      <c r="C707" s="95"/>
      <c r="D707" s="125"/>
      <c r="E707" s="125"/>
      <c r="F707" s="125"/>
      <c r="G707" s="128"/>
      <c r="H707" s="113"/>
      <c r="I707" s="107"/>
      <c r="J707" s="107"/>
      <c r="K707" s="107"/>
      <c r="L707" s="110"/>
      <c r="M707" s="104"/>
      <c r="N707" s="98"/>
      <c r="O707" s="98"/>
      <c r="P707" s="98"/>
      <c r="Q707" s="101"/>
      <c r="R707" s="104"/>
      <c r="S707" s="98"/>
      <c r="T707" s="98"/>
      <c r="U707" s="98"/>
      <c r="V707" s="101"/>
      <c r="W707" s="104"/>
      <c r="X707" s="98"/>
      <c r="Y707" s="98"/>
      <c r="Z707" s="98"/>
      <c r="AA707" s="101"/>
      <c r="AB707" s="135"/>
    </row>
    <row r="708" spans="1:32" ht="12.75" customHeight="1" x14ac:dyDescent="0.25">
      <c r="A708" s="136">
        <f>ESCUADRAS!B135</f>
        <v>129</v>
      </c>
      <c r="B708" s="136">
        <f>ESCUADRAS!C135</f>
        <v>0</v>
      </c>
      <c r="C708" s="111"/>
      <c r="D708" s="105"/>
      <c r="E708" s="105"/>
      <c r="F708" s="105"/>
      <c r="G708" s="108"/>
      <c r="H708" s="122"/>
      <c r="I708" s="120"/>
      <c r="J708" s="120"/>
      <c r="K708" s="120"/>
      <c r="L708" s="121"/>
      <c r="M708" s="122"/>
      <c r="N708" s="120"/>
      <c r="O708" s="120"/>
      <c r="P708" s="120"/>
      <c r="Q708" s="121"/>
      <c r="R708" s="122"/>
      <c r="S708" s="120"/>
      <c r="T708" s="120"/>
      <c r="U708" s="120"/>
      <c r="V708" s="121"/>
      <c r="W708" s="122"/>
      <c r="X708" s="120"/>
      <c r="Y708" s="120"/>
      <c r="Z708" s="120"/>
      <c r="AA708" s="121"/>
      <c r="AB708" s="133"/>
    </row>
    <row r="709" spans="1:32" ht="14.25" customHeight="1" x14ac:dyDescent="0.25">
      <c r="A709" s="137"/>
      <c r="B709" s="137"/>
      <c r="C709" s="112"/>
      <c r="D709" s="106"/>
      <c r="E709" s="106"/>
      <c r="F709" s="106"/>
      <c r="G709" s="109"/>
      <c r="H709" s="103"/>
      <c r="I709" s="97"/>
      <c r="J709" s="97"/>
      <c r="K709" s="97"/>
      <c r="L709" s="100"/>
      <c r="M709" s="103"/>
      <c r="N709" s="97"/>
      <c r="O709" s="97"/>
      <c r="P709" s="97"/>
      <c r="Q709" s="100"/>
      <c r="R709" s="103"/>
      <c r="S709" s="97"/>
      <c r="T709" s="97"/>
      <c r="U709" s="97"/>
      <c r="V709" s="100"/>
      <c r="W709" s="103"/>
      <c r="X709" s="97"/>
      <c r="Y709" s="97"/>
      <c r="Z709" s="97"/>
      <c r="AA709" s="100"/>
      <c r="AB709" s="134"/>
    </row>
    <row r="710" spans="1:32" ht="13.5" customHeight="1" thickBot="1" x14ac:dyDescent="0.3">
      <c r="A710" s="138"/>
      <c r="B710" s="138"/>
      <c r="C710" s="113"/>
      <c r="D710" s="107"/>
      <c r="E710" s="107"/>
      <c r="F710" s="107"/>
      <c r="G710" s="110"/>
      <c r="H710" s="104"/>
      <c r="I710" s="98"/>
      <c r="J710" s="98"/>
      <c r="K710" s="98"/>
      <c r="L710" s="101"/>
      <c r="M710" s="104"/>
      <c r="N710" s="98"/>
      <c r="O710" s="98"/>
      <c r="P710" s="98"/>
      <c r="Q710" s="101"/>
      <c r="R710" s="104"/>
      <c r="S710" s="98"/>
      <c r="T710" s="98"/>
      <c r="U710" s="98"/>
      <c r="V710" s="101"/>
      <c r="W710" s="104"/>
      <c r="X710" s="98"/>
      <c r="Y710" s="98"/>
      <c r="Z710" s="98"/>
      <c r="AA710" s="101"/>
      <c r="AB710" s="135"/>
    </row>
    <row r="712" spans="1:32" ht="15" x14ac:dyDescent="0.25">
      <c r="A712" s="28"/>
      <c r="B712" s="26" t="s">
        <v>35</v>
      </c>
      <c r="E712" s="21" t="s">
        <v>41</v>
      </c>
      <c r="I712" s="21" t="s">
        <v>42</v>
      </c>
      <c r="M712" s="21" t="s">
        <v>43</v>
      </c>
      <c r="Q712" s="21" t="s">
        <v>44</v>
      </c>
      <c r="U712" s="21" t="s">
        <v>45</v>
      </c>
      <c r="Y712" s="21" t="s">
        <v>46</v>
      </c>
    </row>
    <row r="719" spans="1:32" ht="24.6" x14ac:dyDescent="0.25">
      <c r="A719" s="144" t="str">
        <f>'INSCRIPCION '!A$1</f>
        <v>TIRADA</v>
      </c>
      <c r="B719" s="144"/>
      <c r="C719" s="144"/>
      <c r="D719" s="144"/>
      <c r="E719" s="144"/>
      <c r="F719" s="144"/>
      <c r="G719" s="144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  <c r="AF719" s="144"/>
    </row>
    <row r="720" spans="1:32" ht="24.6" x14ac:dyDescent="0.4">
      <c r="A720" s="23"/>
      <c r="B720" s="23"/>
    </row>
    <row r="721" spans="1:32" ht="22.8" x14ac:dyDescent="0.25">
      <c r="A721" s="132" t="str">
        <f>'INSCRIPCION '!A$2</f>
        <v>CAMPO DE TIRO LA ISLA</v>
      </c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32"/>
      <c r="N721" s="132"/>
      <c r="O721" s="132"/>
      <c r="P721" s="132"/>
      <c r="Q721" s="132"/>
      <c r="R721" s="132"/>
      <c r="S721" s="132"/>
      <c r="T721" s="132"/>
      <c r="U721" s="132"/>
      <c r="V721" s="132"/>
      <c r="W721" s="132"/>
      <c r="X721" s="132"/>
      <c r="Y721" s="132"/>
      <c r="Z721" s="132"/>
      <c r="AA721" s="132"/>
      <c r="AB721" s="132"/>
      <c r="AC721" s="132"/>
      <c r="AD721" s="132"/>
      <c r="AE721" s="132"/>
      <c r="AF721" s="132"/>
    </row>
    <row r="722" spans="1:32" ht="20.399999999999999" x14ac:dyDescent="0.25">
      <c r="A722" s="143" t="str">
        <f>'INSCRIPCION '!A$3</f>
        <v>XXX PLATOS</v>
      </c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</row>
    <row r="723" spans="1:32" ht="22.8" x14ac:dyDescent="0.4">
      <c r="A723" s="24"/>
      <c r="B723" s="24"/>
    </row>
    <row r="724" spans="1:32" ht="17.399999999999999" x14ac:dyDescent="0.3">
      <c r="A724" s="25" t="s">
        <v>32</v>
      </c>
      <c r="B724" s="25"/>
      <c r="J724" s="9" t="s">
        <v>6</v>
      </c>
      <c r="K724" s="9"/>
      <c r="L724" s="9"/>
      <c r="M724" s="9"/>
      <c r="N724" s="9"/>
      <c r="O724" s="22">
        <v>2</v>
      </c>
      <c r="P724" s="22"/>
      <c r="Q724" s="8"/>
      <c r="R724" s="8"/>
      <c r="S724" s="7"/>
      <c r="T724" s="8"/>
      <c r="U724" s="8"/>
      <c r="V724" s="9" t="s">
        <v>7</v>
      </c>
      <c r="W724" s="9"/>
      <c r="X724" s="9"/>
      <c r="Y724" s="9"/>
      <c r="Z724" s="22">
        <v>4</v>
      </c>
      <c r="AA724" s="22"/>
    </row>
    <row r="725" spans="1:32" ht="13.8" thickBot="1" x14ac:dyDescent="0.3"/>
    <row r="726" spans="1:32" ht="15.6" thickBot="1" x14ac:dyDescent="0.3">
      <c r="A726" s="27" t="s">
        <v>0</v>
      </c>
      <c r="B726" s="27" t="s">
        <v>8</v>
      </c>
      <c r="C726" s="47">
        <v>1</v>
      </c>
      <c r="D726" s="48">
        <v>2</v>
      </c>
      <c r="E726" s="48">
        <v>3</v>
      </c>
      <c r="F726" s="48">
        <v>4</v>
      </c>
      <c r="G726" s="49">
        <v>5</v>
      </c>
      <c r="H726" s="47">
        <v>6</v>
      </c>
      <c r="I726" s="48">
        <v>7</v>
      </c>
      <c r="J726" s="48">
        <v>8</v>
      </c>
      <c r="K726" s="48">
        <v>9</v>
      </c>
      <c r="L726" s="49">
        <v>10</v>
      </c>
      <c r="M726" s="47">
        <v>11</v>
      </c>
      <c r="N726" s="48">
        <v>12</v>
      </c>
      <c r="O726" s="48">
        <v>13</v>
      </c>
      <c r="P726" s="48">
        <v>14</v>
      </c>
      <c r="Q726" s="49">
        <v>15</v>
      </c>
      <c r="R726" s="47">
        <v>16</v>
      </c>
      <c r="S726" s="48">
        <v>17</v>
      </c>
      <c r="T726" s="48">
        <v>18</v>
      </c>
      <c r="U726" s="48">
        <v>19</v>
      </c>
      <c r="V726" s="49">
        <v>20</v>
      </c>
      <c r="W726" s="47">
        <v>21</v>
      </c>
      <c r="X726" s="48">
        <v>22</v>
      </c>
      <c r="Y726" s="48">
        <v>23</v>
      </c>
      <c r="Z726" s="48">
        <v>24</v>
      </c>
      <c r="AA726" s="49">
        <v>25</v>
      </c>
      <c r="AB726" s="30" t="s">
        <v>1</v>
      </c>
    </row>
    <row r="727" spans="1:32" ht="12.75" customHeight="1" x14ac:dyDescent="0.25">
      <c r="A727" s="136">
        <f>ESCUADRAS!B142</f>
        <v>136</v>
      </c>
      <c r="B727" s="136">
        <f>ESCUADRAS!C142</f>
        <v>0</v>
      </c>
      <c r="C727" s="129"/>
      <c r="D727" s="114"/>
      <c r="E727" s="114"/>
      <c r="F727" s="114"/>
      <c r="G727" s="117"/>
      <c r="H727" s="111"/>
      <c r="I727" s="105"/>
      <c r="J727" s="105"/>
      <c r="K727" s="105"/>
      <c r="L727" s="108"/>
      <c r="M727" s="111"/>
      <c r="N727" s="105"/>
      <c r="O727" s="105"/>
      <c r="P727" s="105"/>
      <c r="Q727" s="108"/>
      <c r="R727" s="111"/>
      <c r="S727" s="105"/>
      <c r="T727" s="105"/>
      <c r="U727" s="105"/>
      <c r="V727" s="108"/>
      <c r="W727" s="111"/>
      <c r="X727" s="105"/>
      <c r="Y727" s="105"/>
      <c r="Z727" s="105"/>
      <c r="AA727" s="108"/>
      <c r="AB727" s="133"/>
    </row>
    <row r="728" spans="1:32" ht="14.25" customHeight="1" x14ac:dyDescent="0.25">
      <c r="A728" s="137"/>
      <c r="B728" s="137"/>
      <c r="C728" s="130"/>
      <c r="D728" s="115"/>
      <c r="E728" s="115"/>
      <c r="F728" s="115"/>
      <c r="G728" s="118"/>
      <c r="H728" s="112"/>
      <c r="I728" s="106"/>
      <c r="J728" s="106"/>
      <c r="K728" s="106"/>
      <c r="L728" s="109"/>
      <c r="M728" s="112"/>
      <c r="N728" s="106"/>
      <c r="O728" s="106"/>
      <c r="P728" s="106"/>
      <c r="Q728" s="109"/>
      <c r="R728" s="112"/>
      <c r="S728" s="106"/>
      <c r="T728" s="106"/>
      <c r="U728" s="106"/>
      <c r="V728" s="109"/>
      <c r="W728" s="112"/>
      <c r="X728" s="106"/>
      <c r="Y728" s="106"/>
      <c r="Z728" s="106"/>
      <c r="AA728" s="109"/>
      <c r="AB728" s="134"/>
    </row>
    <row r="729" spans="1:32" ht="13.5" customHeight="1" thickBot="1" x14ac:dyDescent="0.3">
      <c r="A729" s="138"/>
      <c r="B729" s="138"/>
      <c r="C729" s="131"/>
      <c r="D729" s="116"/>
      <c r="E729" s="116"/>
      <c r="F729" s="116"/>
      <c r="G729" s="119"/>
      <c r="H729" s="113"/>
      <c r="I729" s="107"/>
      <c r="J729" s="107"/>
      <c r="K729" s="107"/>
      <c r="L729" s="110"/>
      <c r="M729" s="113"/>
      <c r="N729" s="107"/>
      <c r="O729" s="107"/>
      <c r="P729" s="107"/>
      <c r="Q729" s="110"/>
      <c r="R729" s="113"/>
      <c r="S729" s="107"/>
      <c r="T729" s="107"/>
      <c r="U729" s="107"/>
      <c r="V729" s="110"/>
      <c r="W729" s="113"/>
      <c r="X729" s="107"/>
      <c r="Y729" s="107"/>
      <c r="Z729" s="107"/>
      <c r="AA729" s="110"/>
      <c r="AB729" s="135"/>
    </row>
    <row r="730" spans="1:32" ht="14.25" customHeight="1" x14ac:dyDescent="0.25">
      <c r="A730" s="136">
        <f>ESCUADRAS!B143</f>
        <v>137</v>
      </c>
      <c r="B730" s="136">
        <f>ESCUADRAS!C143</f>
        <v>0</v>
      </c>
      <c r="C730" s="93"/>
      <c r="D730" s="123"/>
      <c r="E730" s="123"/>
      <c r="F730" s="123"/>
      <c r="G730" s="126"/>
      <c r="H730" s="102"/>
      <c r="I730" s="96"/>
      <c r="J730" s="96"/>
      <c r="K730" s="96"/>
      <c r="L730" s="99"/>
      <c r="M730" s="102"/>
      <c r="N730" s="96"/>
      <c r="O730" s="96"/>
      <c r="P730" s="96"/>
      <c r="Q730" s="99"/>
      <c r="R730" s="102"/>
      <c r="S730" s="96"/>
      <c r="T730" s="96"/>
      <c r="U730" s="96"/>
      <c r="V730" s="99"/>
      <c r="W730" s="111"/>
      <c r="X730" s="105"/>
      <c r="Y730" s="105"/>
      <c r="Z730" s="105"/>
      <c r="AA730" s="108"/>
      <c r="AB730" s="133"/>
    </row>
    <row r="731" spans="1:32" ht="14.25" customHeight="1" x14ac:dyDescent="0.25">
      <c r="A731" s="137"/>
      <c r="B731" s="137"/>
      <c r="C731" s="94"/>
      <c r="D731" s="124"/>
      <c r="E731" s="124"/>
      <c r="F731" s="124"/>
      <c r="G731" s="127"/>
      <c r="H731" s="103"/>
      <c r="I731" s="97"/>
      <c r="J731" s="97"/>
      <c r="K731" s="97"/>
      <c r="L731" s="100"/>
      <c r="M731" s="103"/>
      <c r="N731" s="97"/>
      <c r="O731" s="97"/>
      <c r="P731" s="97"/>
      <c r="Q731" s="100"/>
      <c r="R731" s="103"/>
      <c r="S731" s="97"/>
      <c r="T731" s="97"/>
      <c r="U731" s="97"/>
      <c r="V731" s="100"/>
      <c r="W731" s="112"/>
      <c r="X731" s="106"/>
      <c r="Y731" s="106"/>
      <c r="Z731" s="106"/>
      <c r="AA731" s="109"/>
      <c r="AB731" s="134"/>
    </row>
    <row r="732" spans="1:32" ht="13.5" customHeight="1" thickBot="1" x14ac:dyDescent="0.3">
      <c r="A732" s="138"/>
      <c r="B732" s="138"/>
      <c r="C732" s="95"/>
      <c r="D732" s="125"/>
      <c r="E732" s="125"/>
      <c r="F732" s="125"/>
      <c r="G732" s="128"/>
      <c r="H732" s="104"/>
      <c r="I732" s="98"/>
      <c r="J732" s="98"/>
      <c r="K732" s="98"/>
      <c r="L732" s="101"/>
      <c r="M732" s="104"/>
      <c r="N732" s="98"/>
      <c r="O732" s="98"/>
      <c r="P732" s="98"/>
      <c r="Q732" s="101"/>
      <c r="R732" s="104"/>
      <c r="S732" s="98"/>
      <c r="T732" s="98"/>
      <c r="U732" s="98"/>
      <c r="V732" s="101"/>
      <c r="W732" s="113"/>
      <c r="X732" s="107"/>
      <c r="Y732" s="107"/>
      <c r="Z732" s="107"/>
      <c r="AA732" s="110"/>
      <c r="AB732" s="135"/>
    </row>
    <row r="733" spans="1:32" ht="14.25" customHeight="1" x14ac:dyDescent="0.25">
      <c r="A733" s="136">
        <f>ESCUADRAS!B144</f>
        <v>138</v>
      </c>
      <c r="B733" s="136">
        <f>ESCUADRAS!C144</f>
        <v>0</v>
      </c>
      <c r="C733" s="93"/>
      <c r="D733" s="123"/>
      <c r="E733" s="123"/>
      <c r="F733" s="123"/>
      <c r="G733" s="126"/>
      <c r="H733" s="102"/>
      <c r="I733" s="96"/>
      <c r="J733" s="96"/>
      <c r="K733" s="96"/>
      <c r="L733" s="99"/>
      <c r="M733" s="102"/>
      <c r="N733" s="96"/>
      <c r="O733" s="96"/>
      <c r="P733" s="96"/>
      <c r="Q733" s="99"/>
      <c r="R733" s="111"/>
      <c r="S733" s="105"/>
      <c r="T733" s="105"/>
      <c r="U733" s="105"/>
      <c r="V733" s="108"/>
      <c r="W733" s="102"/>
      <c r="X733" s="96"/>
      <c r="Y733" s="96"/>
      <c r="Z733" s="96"/>
      <c r="AA733" s="99"/>
      <c r="AB733" s="133"/>
    </row>
    <row r="734" spans="1:32" ht="14.25" customHeight="1" x14ac:dyDescent="0.25">
      <c r="A734" s="137"/>
      <c r="B734" s="137"/>
      <c r="C734" s="94"/>
      <c r="D734" s="124"/>
      <c r="E734" s="124"/>
      <c r="F734" s="124"/>
      <c r="G734" s="127"/>
      <c r="H734" s="103"/>
      <c r="I734" s="97"/>
      <c r="J734" s="97"/>
      <c r="K734" s="97"/>
      <c r="L734" s="100"/>
      <c r="M734" s="103"/>
      <c r="N734" s="97"/>
      <c r="O734" s="97"/>
      <c r="P734" s="97"/>
      <c r="Q734" s="100"/>
      <c r="R734" s="112"/>
      <c r="S734" s="106"/>
      <c r="T734" s="106"/>
      <c r="U734" s="106"/>
      <c r="V734" s="109"/>
      <c r="W734" s="103"/>
      <c r="X734" s="97"/>
      <c r="Y734" s="97"/>
      <c r="Z734" s="97"/>
      <c r="AA734" s="100"/>
      <c r="AB734" s="134"/>
    </row>
    <row r="735" spans="1:32" ht="13.5" customHeight="1" thickBot="1" x14ac:dyDescent="0.3">
      <c r="A735" s="138"/>
      <c r="B735" s="138"/>
      <c r="C735" s="95"/>
      <c r="D735" s="125"/>
      <c r="E735" s="125"/>
      <c r="F735" s="125"/>
      <c r="G735" s="128"/>
      <c r="H735" s="104"/>
      <c r="I735" s="98"/>
      <c r="J735" s="98"/>
      <c r="K735" s="98"/>
      <c r="L735" s="101"/>
      <c r="M735" s="104"/>
      <c r="N735" s="98"/>
      <c r="O735" s="98"/>
      <c r="P735" s="98"/>
      <c r="Q735" s="101"/>
      <c r="R735" s="113"/>
      <c r="S735" s="107"/>
      <c r="T735" s="107"/>
      <c r="U735" s="107"/>
      <c r="V735" s="110"/>
      <c r="W735" s="104"/>
      <c r="X735" s="98"/>
      <c r="Y735" s="98"/>
      <c r="Z735" s="98"/>
      <c r="AA735" s="101"/>
      <c r="AB735" s="135"/>
    </row>
    <row r="736" spans="1:32" ht="13.5" customHeight="1" x14ac:dyDescent="0.25">
      <c r="A736" s="136">
        <f>ESCUADRAS!B139</f>
        <v>133</v>
      </c>
      <c r="B736" s="136">
        <f>ESCUADRAS!C139</f>
        <v>0</v>
      </c>
      <c r="C736" s="93"/>
      <c r="D736" s="123"/>
      <c r="E736" s="123"/>
      <c r="F736" s="123"/>
      <c r="G736" s="126"/>
      <c r="H736" s="102"/>
      <c r="I736" s="96"/>
      <c r="J736" s="96"/>
      <c r="K736" s="96"/>
      <c r="L736" s="99"/>
      <c r="M736" s="111"/>
      <c r="N736" s="105"/>
      <c r="O736" s="105"/>
      <c r="P736" s="105"/>
      <c r="Q736" s="108"/>
      <c r="R736" s="102"/>
      <c r="S736" s="96"/>
      <c r="T736" s="96"/>
      <c r="U736" s="96"/>
      <c r="V736" s="99"/>
      <c r="W736" s="102"/>
      <c r="X736" s="96"/>
      <c r="Y736" s="96"/>
      <c r="Z736" s="96"/>
      <c r="AA736" s="99"/>
      <c r="AB736" s="133"/>
    </row>
    <row r="737" spans="1:28" ht="14.25" customHeight="1" x14ac:dyDescent="0.25">
      <c r="A737" s="137"/>
      <c r="B737" s="137"/>
      <c r="C737" s="94"/>
      <c r="D737" s="124"/>
      <c r="E737" s="124"/>
      <c r="F737" s="124"/>
      <c r="G737" s="127"/>
      <c r="H737" s="103"/>
      <c r="I737" s="97"/>
      <c r="J737" s="97"/>
      <c r="K737" s="97"/>
      <c r="L737" s="100"/>
      <c r="M737" s="112"/>
      <c r="N737" s="106"/>
      <c r="O737" s="106"/>
      <c r="P737" s="106"/>
      <c r="Q737" s="109"/>
      <c r="R737" s="103"/>
      <c r="S737" s="97"/>
      <c r="T737" s="97"/>
      <c r="U737" s="97"/>
      <c r="V737" s="100"/>
      <c r="W737" s="103"/>
      <c r="X737" s="97"/>
      <c r="Y737" s="97"/>
      <c r="Z737" s="97"/>
      <c r="AA737" s="100"/>
      <c r="AB737" s="134"/>
    </row>
    <row r="738" spans="1:28" ht="13.5" customHeight="1" thickBot="1" x14ac:dyDescent="0.3">
      <c r="A738" s="138"/>
      <c r="B738" s="138"/>
      <c r="C738" s="95"/>
      <c r="D738" s="125"/>
      <c r="E738" s="125"/>
      <c r="F738" s="125"/>
      <c r="G738" s="128"/>
      <c r="H738" s="104"/>
      <c r="I738" s="98"/>
      <c r="J738" s="98"/>
      <c r="K738" s="98"/>
      <c r="L738" s="101"/>
      <c r="M738" s="113"/>
      <c r="N738" s="107"/>
      <c r="O738" s="107"/>
      <c r="P738" s="107"/>
      <c r="Q738" s="110"/>
      <c r="R738" s="104"/>
      <c r="S738" s="98"/>
      <c r="T738" s="98"/>
      <c r="U738" s="98"/>
      <c r="V738" s="101"/>
      <c r="W738" s="104"/>
      <c r="X738" s="98"/>
      <c r="Y738" s="98"/>
      <c r="Z738" s="98"/>
      <c r="AA738" s="101"/>
      <c r="AB738" s="135"/>
    </row>
    <row r="739" spans="1:28" ht="13.5" customHeight="1" x14ac:dyDescent="0.25">
      <c r="A739" s="136">
        <f>ESCUADRAS!B140</f>
        <v>134</v>
      </c>
      <c r="B739" s="136">
        <f>ESCUADRAS!C140</f>
        <v>0</v>
      </c>
      <c r="C739" s="93"/>
      <c r="D739" s="123"/>
      <c r="E739" s="123"/>
      <c r="F739" s="123"/>
      <c r="G739" s="126"/>
      <c r="H739" s="111"/>
      <c r="I739" s="105"/>
      <c r="J739" s="105"/>
      <c r="K739" s="105"/>
      <c r="L739" s="108"/>
      <c r="M739" s="102"/>
      <c r="N739" s="96"/>
      <c r="O739" s="96"/>
      <c r="P739" s="96"/>
      <c r="Q739" s="99"/>
      <c r="R739" s="102"/>
      <c r="S739" s="96"/>
      <c r="T739" s="96"/>
      <c r="U739" s="96"/>
      <c r="V739" s="99"/>
      <c r="W739" s="102"/>
      <c r="X739" s="96"/>
      <c r="Y739" s="96"/>
      <c r="Z739" s="96"/>
      <c r="AA739" s="99"/>
      <c r="AB739" s="133"/>
    </row>
    <row r="740" spans="1:28" ht="14.25" customHeight="1" x14ac:dyDescent="0.25">
      <c r="A740" s="137"/>
      <c r="B740" s="137"/>
      <c r="C740" s="94"/>
      <c r="D740" s="124"/>
      <c r="E740" s="124"/>
      <c r="F740" s="124"/>
      <c r="G740" s="127"/>
      <c r="H740" s="112"/>
      <c r="I740" s="106"/>
      <c r="J740" s="106"/>
      <c r="K740" s="106"/>
      <c r="L740" s="109"/>
      <c r="M740" s="103"/>
      <c r="N740" s="97"/>
      <c r="O740" s="97"/>
      <c r="P740" s="97"/>
      <c r="Q740" s="100"/>
      <c r="R740" s="103"/>
      <c r="S740" s="97"/>
      <c r="T740" s="97"/>
      <c r="U740" s="97"/>
      <c r="V740" s="100"/>
      <c r="W740" s="103"/>
      <c r="X740" s="97"/>
      <c r="Y740" s="97"/>
      <c r="Z740" s="97"/>
      <c r="AA740" s="100"/>
      <c r="AB740" s="134"/>
    </row>
    <row r="741" spans="1:28" ht="13.5" customHeight="1" thickBot="1" x14ac:dyDescent="0.3">
      <c r="A741" s="138"/>
      <c r="B741" s="138"/>
      <c r="C741" s="95"/>
      <c r="D741" s="125"/>
      <c r="E741" s="125"/>
      <c r="F741" s="125"/>
      <c r="G741" s="128"/>
      <c r="H741" s="113"/>
      <c r="I741" s="107"/>
      <c r="J741" s="107"/>
      <c r="K741" s="107"/>
      <c r="L741" s="110"/>
      <c r="M741" s="104"/>
      <c r="N741" s="98"/>
      <c r="O741" s="98"/>
      <c r="P741" s="98"/>
      <c r="Q741" s="101"/>
      <c r="R741" s="104"/>
      <c r="S741" s="98"/>
      <c r="T741" s="98"/>
      <c r="U741" s="98"/>
      <c r="V741" s="101"/>
      <c r="W741" s="104"/>
      <c r="X741" s="98"/>
      <c r="Y741" s="98"/>
      <c r="Z741" s="98"/>
      <c r="AA741" s="101"/>
      <c r="AB741" s="135"/>
    </row>
    <row r="742" spans="1:28" ht="12.75" customHeight="1" x14ac:dyDescent="0.25">
      <c r="A742" s="136">
        <f>ESCUADRAS!B141</f>
        <v>135</v>
      </c>
      <c r="B742" s="136">
        <f>ESCUADRAS!C141</f>
        <v>0</v>
      </c>
      <c r="C742" s="111"/>
      <c r="D742" s="105"/>
      <c r="E742" s="105"/>
      <c r="F742" s="105"/>
      <c r="G742" s="108"/>
      <c r="H742" s="122"/>
      <c r="I742" s="120"/>
      <c r="J742" s="120"/>
      <c r="K742" s="120"/>
      <c r="L742" s="121"/>
      <c r="M742" s="122"/>
      <c r="N742" s="120"/>
      <c r="O742" s="120"/>
      <c r="P742" s="120"/>
      <c r="Q742" s="121"/>
      <c r="R742" s="122"/>
      <c r="S742" s="120"/>
      <c r="T742" s="120"/>
      <c r="U742" s="120"/>
      <c r="V742" s="121"/>
      <c r="W742" s="122"/>
      <c r="X742" s="120"/>
      <c r="Y742" s="120"/>
      <c r="Z742" s="120"/>
      <c r="AA742" s="121"/>
      <c r="AB742" s="133"/>
    </row>
    <row r="743" spans="1:28" ht="14.25" customHeight="1" x14ac:dyDescent="0.25">
      <c r="A743" s="137"/>
      <c r="B743" s="137"/>
      <c r="C743" s="112"/>
      <c r="D743" s="106"/>
      <c r="E743" s="106"/>
      <c r="F743" s="106"/>
      <c r="G743" s="109"/>
      <c r="H743" s="103"/>
      <c r="I743" s="97"/>
      <c r="J743" s="97"/>
      <c r="K743" s="97"/>
      <c r="L743" s="100"/>
      <c r="M743" s="103"/>
      <c r="N743" s="97"/>
      <c r="O743" s="97"/>
      <c r="P743" s="97"/>
      <c r="Q743" s="100"/>
      <c r="R743" s="103"/>
      <c r="S743" s="97"/>
      <c r="T743" s="97"/>
      <c r="U743" s="97"/>
      <c r="V743" s="100"/>
      <c r="W743" s="103"/>
      <c r="X743" s="97"/>
      <c r="Y743" s="97"/>
      <c r="Z743" s="97"/>
      <c r="AA743" s="100"/>
      <c r="AB743" s="134"/>
    </row>
    <row r="744" spans="1:28" ht="13.5" customHeight="1" thickBot="1" x14ac:dyDescent="0.3">
      <c r="A744" s="138"/>
      <c r="B744" s="138"/>
      <c r="C744" s="113"/>
      <c r="D744" s="107"/>
      <c r="E744" s="107"/>
      <c r="F744" s="107"/>
      <c r="G744" s="110"/>
      <c r="H744" s="104"/>
      <c r="I744" s="98"/>
      <c r="J744" s="98"/>
      <c r="K744" s="98"/>
      <c r="L744" s="101"/>
      <c r="M744" s="104"/>
      <c r="N744" s="98"/>
      <c r="O744" s="98"/>
      <c r="P744" s="98"/>
      <c r="Q744" s="101"/>
      <c r="R744" s="104"/>
      <c r="S744" s="98"/>
      <c r="T744" s="98"/>
      <c r="U744" s="98"/>
      <c r="V744" s="101"/>
      <c r="W744" s="104"/>
      <c r="X744" s="98"/>
      <c r="Y744" s="98"/>
      <c r="Z744" s="98"/>
      <c r="AA744" s="101"/>
      <c r="AB744" s="135"/>
    </row>
    <row r="746" spans="1:28" ht="15" x14ac:dyDescent="0.25">
      <c r="A746" s="28"/>
      <c r="B746" s="26" t="s">
        <v>35</v>
      </c>
      <c r="E746" s="21" t="s">
        <v>41</v>
      </c>
      <c r="I746" s="21" t="s">
        <v>42</v>
      </c>
      <c r="M746" s="21" t="s">
        <v>43</v>
      </c>
      <c r="Q746" s="21" t="s">
        <v>44</v>
      </c>
      <c r="U746" s="21" t="s">
        <v>45</v>
      </c>
      <c r="Y746" s="21" t="s">
        <v>46</v>
      </c>
    </row>
    <row r="753" spans="1:32" ht="24.6" x14ac:dyDescent="0.25">
      <c r="A753" s="144" t="str">
        <f>'INSCRIPCION '!A$1</f>
        <v>TIRADA</v>
      </c>
      <c r="B753" s="144"/>
      <c r="C753" s="144"/>
      <c r="D753" s="144"/>
      <c r="E753" s="144"/>
      <c r="F753" s="144"/>
      <c r="G753" s="144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  <c r="AF753" s="144"/>
    </row>
    <row r="754" spans="1:32" ht="24.6" x14ac:dyDescent="0.4">
      <c r="A754" s="23"/>
      <c r="B754" s="23"/>
    </row>
    <row r="755" spans="1:32" ht="22.8" x14ac:dyDescent="0.25">
      <c r="A755" s="132" t="str">
        <f>'INSCRIPCION '!A$2</f>
        <v>CAMPO DE TIRO LA ISLA</v>
      </c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32"/>
      <c r="N755" s="132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32"/>
      <c r="AF755" s="132"/>
    </row>
    <row r="756" spans="1:32" ht="20.399999999999999" x14ac:dyDescent="0.25">
      <c r="A756" s="143" t="str">
        <f>'INSCRIPCION '!A$3</f>
        <v>XXX PLATOS</v>
      </c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</row>
    <row r="757" spans="1:32" ht="22.8" x14ac:dyDescent="0.4">
      <c r="A757" s="24"/>
      <c r="B757" s="24"/>
    </row>
    <row r="758" spans="1:32" ht="17.399999999999999" x14ac:dyDescent="0.3">
      <c r="A758" s="25" t="s">
        <v>33</v>
      </c>
      <c r="B758" s="25"/>
      <c r="J758" s="9" t="s">
        <v>6</v>
      </c>
      <c r="K758" s="9"/>
      <c r="L758" s="9"/>
      <c r="M758" s="9"/>
      <c r="N758" s="9"/>
      <c r="O758" s="22">
        <v>3</v>
      </c>
      <c r="P758" s="22"/>
      <c r="Q758" s="8"/>
      <c r="R758" s="8"/>
      <c r="S758" s="7"/>
      <c r="T758" s="8"/>
      <c r="U758" s="8"/>
      <c r="V758" s="9" t="s">
        <v>7</v>
      </c>
      <c r="W758" s="9"/>
      <c r="X758" s="9"/>
      <c r="Y758" s="9"/>
      <c r="Z758" s="22">
        <v>4</v>
      </c>
      <c r="AA758" s="22"/>
    </row>
    <row r="759" spans="1:32" ht="13.8" thickBot="1" x14ac:dyDescent="0.3"/>
    <row r="760" spans="1:32" ht="15.6" thickBot="1" x14ac:dyDescent="0.3">
      <c r="A760" s="27" t="s">
        <v>0</v>
      </c>
      <c r="B760" s="27" t="s">
        <v>8</v>
      </c>
      <c r="C760" s="47">
        <v>1</v>
      </c>
      <c r="D760" s="48">
        <v>2</v>
      </c>
      <c r="E760" s="48">
        <v>3</v>
      </c>
      <c r="F760" s="48">
        <v>4</v>
      </c>
      <c r="G760" s="49">
        <v>5</v>
      </c>
      <c r="H760" s="47">
        <v>6</v>
      </c>
      <c r="I760" s="48">
        <v>7</v>
      </c>
      <c r="J760" s="48">
        <v>8</v>
      </c>
      <c r="K760" s="48">
        <v>9</v>
      </c>
      <c r="L760" s="49">
        <v>10</v>
      </c>
      <c r="M760" s="47">
        <v>11</v>
      </c>
      <c r="N760" s="48">
        <v>12</v>
      </c>
      <c r="O760" s="48">
        <v>13</v>
      </c>
      <c r="P760" s="48">
        <v>14</v>
      </c>
      <c r="Q760" s="49">
        <v>15</v>
      </c>
      <c r="R760" s="47">
        <v>16</v>
      </c>
      <c r="S760" s="48">
        <v>17</v>
      </c>
      <c r="T760" s="48">
        <v>18</v>
      </c>
      <c r="U760" s="48">
        <v>19</v>
      </c>
      <c r="V760" s="49">
        <v>20</v>
      </c>
      <c r="W760" s="47">
        <v>21</v>
      </c>
      <c r="X760" s="48">
        <v>22</v>
      </c>
      <c r="Y760" s="48">
        <v>23</v>
      </c>
      <c r="Z760" s="48">
        <v>24</v>
      </c>
      <c r="AA760" s="49">
        <v>25</v>
      </c>
      <c r="AB760" s="30" t="s">
        <v>1</v>
      </c>
    </row>
    <row r="761" spans="1:32" ht="14.25" customHeight="1" x14ac:dyDescent="0.25">
      <c r="A761" s="136">
        <f>ESCUADRAS!B148</f>
        <v>142</v>
      </c>
      <c r="B761" s="136">
        <f>ESCUADRAS!C148</f>
        <v>0</v>
      </c>
      <c r="C761" s="129"/>
      <c r="D761" s="114"/>
      <c r="E761" s="114"/>
      <c r="F761" s="114"/>
      <c r="G761" s="117"/>
      <c r="H761" s="111"/>
      <c r="I761" s="105"/>
      <c r="J761" s="105"/>
      <c r="K761" s="105"/>
      <c r="L761" s="108"/>
      <c r="M761" s="111"/>
      <c r="N761" s="105"/>
      <c r="O761" s="105"/>
      <c r="P761" s="105"/>
      <c r="Q761" s="108"/>
      <c r="R761" s="111"/>
      <c r="S761" s="105"/>
      <c r="T761" s="105"/>
      <c r="U761" s="105"/>
      <c r="V761" s="108"/>
      <c r="W761" s="111"/>
      <c r="X761" s="105"/>
      <c r="Y761" s="105"/>
      <c r="Z761" s="105"/>
      <c r="AA761" s="108"/>
      <c r="AB761" s="133"/>
    </row>
    <row r="762" spans="1:32" ht="14.25" customHeight="1" x14ac:dyDescent="0.25">
      <c r="A762" s="137"/>
      <c r="B762" s="137"/>
      <c r="C762" s="130"/>
      <c r="D762" s="115"/>
      <c r="E762" s="115"/>
      <c r="F762" s="115"/>
      <c r="G762" s="118"/>
      <c r="H762" s="112"/>
      <c r="I762" s="106"/>
      <c r="J762" s="106"/>
      <c r="K762" s="106"/>
      <c r="L762" s="109"/>
      <c r="M762" s="112"/>
      <c r="N762" s="106"/>
      <c r="O762" s="106"/>
      <c r="P762" s="106"/>
      <c r="Q762" s="109"/>
      <c r="R762" s="112"/>
      <c r="S762" s="106"/>
      <c r="T762" s="106"/>
      <c r="U762" s="106"/>
      <c r="V762" s="109"/>
      <c r="W762" s="112"/>
      <c r="X762" s="106"/>
      <c r="Y762" s="106"/>
      <c r="Z762" s="106"/>
      <c r="AA762" s="109"/>
      <c r="AB762" s="134"/>
    </row>
    <row r="763" spans="1:32" ht="13.5" customHeight="1" thickBot="1" x14ac:dyDescent="0.3">
      <c r="A763" s="138"/>
      <c r="B763" s="138"/>
      <c r="C763" s="131"/>
      <c r="D763" s="116"/>
      <c r="E763" s="116"/>
      <c r="F763" s="116"/>
      <c r="G763" s="119"/>
      <c r="H763" s="113"/>
      <c r="I763" s="107"/>
      <c r="J763" s="107"/>
      <c r="K763" s="107"/>
      <c r="L763" s="110"/>
      <c r="M763" s="113"/>
      <c r="N763" s="107"/>
      <c r="O763" s="107"/>
      <c r="P763" s="107"/>
      <c r="Q763" s="110"/>
      <c r="R763" s="113"/>
      <c r="S763" s="107"/>
      <c r="T763" s="107"/>
      <c r="U763" s="107"/>
      <c r="V763" s="110"/>
      <c r="W763" s="113"/>
      <c r="X763" s="107"/>
      <c r="Y763" s="107"/>
      <c r="Z763" s="107"/>
      <c r="AA763" s="110"/>
      <c r="AB763" s="135"/>
    </row>
    <row r="764" spans="1:32" ht="14.25" customHeight="1" x14ac:dyDescent="0.25">
      <c r="A764" s="136">
        <f>ESCUADRAS!B149</f>
        <v>143</v>
      </c>
      <c r="B764" s="136">
        <f>ESCUADRAS!C149</f>
        <v>0</v>
      </c>
      <c r="C764" s="93"/>
      <c r="D764" s="123"/>
      <c r="E764" s="123"/>
      <c r="F764" s="123"/>
      <c r="G764" s="126"/>
      <c r="H764" s="102"/>
      <c r="I764" s="96"/>
      <c r="J764" s="96"/>
      <c r="K764" s="96"/>
      <c r="L764" s="99"/>
      <c r="M764" s="102"/>
      <c r="N764" s="96"/>
      <c r="O764" s="96"/>
      <c r="P764" s="96"/>
      <c r="Q764" s="99"/>
      <c r="R764" s="102"/>
      <c r="S764" s="96"/>
      <c r="T764" s="96"/>
      <c r="U764" s="96"/>
      <c r="V764" s="99"/>
      <c r="W764" s="111"/>
      <c r="X764" s="105"/>
      <c r="Y764" s="105"/>
      <c r="Z764" s="105"/>
      <c r="AA764" s="108"/>
      <c r="AB764" s="133"/>
    </row>
    <row r="765" spans="1:32" ht="14.25" customHeight="1" x14ac:dyDescent="0.25">
      <c r="A765" s="137"/>
      <c r="B765" s="137"/>
      <c r="C765" s="94"/>
      <c r="D765" s="124"/>
      <c r="E765" s="124"/>
      <c r="F765" s="124"/>
      <c r="G765" s="127"/>
      <c r="H765" s="103"/>
      <c r="I765" s="97"/>
      <c r="J765" s="97"/>
      <c r="K765" s="97"/>
      <c r="L765" s="100"/>
      <c r="M765" s="103"/>
      <c r="N765" s="97"/>
      <c r="O765" s="97"/>
      <c r="P765" s="97"/>
      <c r="Q765" s="100"/>
      <c r="R765" s="103"/>
      <c r="S765" s="97"/>
      <c r="T765" s="97"/>
      <c r="U765" s="97"/>
      <c r="V765" s="100"/>
      <c r="W765" s="112"/>
      <c r="X765" s="106"/>
      <c r="Y765" s="106"/>
      <c r="Z765" s="106"/>
      <c r="AA765" s="109"/>
      <c r="AB765" s="134"/>
    </row>
    <row r="766" spans="1:32" ht="13.5" customHeight="1" thickBot="1" x14ac:dyDescent="0.3">
      <c r="A766" s="138"/>
      <c r="B766" s="138"/>
      <c r="C766" s="95"/>
      <c r="D766" s="125"/>
      <c r="E766" s="125"/>
      <c r="F766" s="125"/>
      <c r="G766" s="128"/>
      <c r="H766" s="104"/>
      <c r="I766" s="98"/>
      <c r="J766" s="98"/>
      <c r="K766" s="98"/>
      <c r="L766" s="101"/>
      <c r="M766" s="104"/>
      <c r="N766" s="98"/>
      <c r="O766" s="98"/>
      <c r="P766" s="98"/>
      <c r="Q766" s="101"/>
      <c r="R766" s="104"/>
      <c r="S766" s="98"/>
      <c r="T766" s="98"/>
      <c r="U766" s="98"/>
      <c r="V766" s="101"/>
      <c r="W766" s="113"/>
      <c r="X766" s="107"/>
      <c r="Y766" s="107"/>
      <c r="Z766" s="107"/>
      <c r="AA766" s="110"/>
      <c r="AB766" s="135"/>
    </row>
    <row r="767" spans="1:32" ht="14.25" customHeight="1" x14ac:dyDescent="0.25">
      <c r="A767" s="136">
        <f>ESCUADRAS!B150</f>
        <v>144</v>
      </c>
      <c r="B767" s="136">
        <f>ESCUADRAS!C150</f>
        <v>0</v>
      </c>
      <c r="C767" s="93"/>
      <c r="D767" s="123"/>
      <c r="E767" s="123"/>
      <c r="F767" s="123"/>
      <c r="G767" s="126"/>
      <c r="H767" s="102"/>
      <c r="I767" s="96"/>
      <c r="J767" s="96"/>
      <c r="K767" s="96"/>
      <c r="L767" s="99"/>
      <c r="M767" s="102"/>
      <c r="N767" s="96"/>
      <c r="O767" s="96"/>
      <c r="P767" s="96"/>
      <c r="Q767" s="99"/>
      <c r="R767" s="111"/>
      <c r="S767" s="105"/>
      <c r="T767" s="105"/>
      <c r="U767" s="105"/>
      <c r="V767" s="108"/>
      <c r="W767" s="102"/>
      <c r="X767" s="96"/>
      <c r="Y767" s="96"/>
      <c r="Z767" s="96"/>
      <c r="AA767" s="99"/>
      <c r="AB767" s="133"/>
    </row>
    <row r="768" spans="1:32" ht="14.25" customHeight="1" x14ac:dyDescent="0.25">
      <c r="A768" s="137"/>
      <c r="B768" s="137"/>
      <c r="C768" s="94"/>
      <c r="D768" s="124"/>
      <c r="E768" s="124"/>
      <c r="F768" s="124"/>
      <c r="G768" s="127"/>
      <c r="H768" s="103"/>
      <c r="I768" s="97"/>
      <c r="J768" s="97"/>
      <c r="K768" s="97"/>
      <c r="L768" s="100"/>
      <c r="M768" s="103"/>
      <c r="N768" s="97"/>
      <c r="O768" s="97"/>
      <c r="P768" s="97"/>
      <c r="Q768" s="100"/>
      <c r="R768" s="112"/>
      <c r="S768" s="106"/>
      <c r="T768" s="106"/>
      <c r="U768" s="106"/>
      <c r="V768" s="109"/>
      <c r="W768" s="103"/>
      <c r="X768" s="97"/>
      <c r="Y768" s="97"/>
      <c r="Z768" s="97"/>
      <c r="AA768" s="100"/>
      <c r="AB768" s="134"/>
    </row>
    <row r="769" spans="1:28" ht="13.5" customHeight="1" thickBot="1" x14ac:dyDescent="0.3">
      <c r="A769" s="138"/>
      <c r="B769" s="138"/>
      <c r="C769" s="95"/>
      <c r="D769" s="125"/>
      <c r="E769" s="125"/>
      <c r="F769" s="125"/>
      <c r="G769" s="128"/>
      <c r="H769" s="104"/>
      <c r="I769" s="98"/>
      <c r="J769" s="98"/>
      <c r="K769" s="98"/>
      <c r="L769" s="101"/>
      <c r="M769" s="104"/>
      <c r="N769" s="98"/>
      <c r="O769" s="98"/>
      <c r="P769" s="98"/>
      <c r="Q769" s="101"/>
      <c r="R769" s="113"/>
      <c r="S769" s="107"/>
      <c r="T769" s="107"/>
      <c r="U769" s="107"/>
      <c r="V769" s="110"/>
      <c r="W769" s="104"/>
      <c r="X769" s="98"/>
      <c r="Y769" s="98"/>
      <c r="Z769" s="98"/>
      <c r="AA769" s="101"/>
      <c r="AB769" s="135"/>
    </row>
    <row r="770" spans="1:28" ht="13.5" customHeight="1" x14ac:dyDescent="0.25">
      <c r="A770" s="136">
        <f>ESCUADRAS!B145</f>
        <v>139</v>
      </c>
      <c r="B770" s="136">
        <f>ESCUADRAS!C145</f>
        <v>0</v>
      </c>
      <c r="C770" s="93"/>
      <c r="D770" s="123"/>
      <c r="E770" s="123"/>
      <c r="F770" s="123"/>
      <c r="G770" s="126"/>
      <c r="H770" s="102"/>
      <c r="I770" s="96"/>
      <c r="J770" s="96"/>
      <c r="K770" s="96"/>
      <c r="L770" s="99"/>
      <c r="M770" s="111"/>
      <c r="N770" s="105"/>
      <c r="O770" s="105"/>
      <c r="P770" s="105"/>
      <c r="Q770" s="108"/>
      <c r="R770" s="102"/>
      <c r="S770" s="96"/>
      <c r="T770" s="96"/>
      <c r="U770" s="96"/>
      <c r="V770" s="99"/>
      <c r="W770" s="102"/>
      <c r="X770" s="96"/>
      <c r="Y770" s="96"/>
      <c r="Z770" s="96"/>
      <c r="AA770" s="99"/>
      <c r="AB770" s="133"/>
    </row>
    <row r="771" spans="1:28" ht="14.25" customHeight="1" x14ac:dyDescent="0.25">
      <c r="A771" s="137"/>
      <c r="B771" s="137"/>
      <c r="C771" s="94"/>
      <c r="D771" s="124"/>
      <c r="E771" s="124"/>
      <c r="F771" s="124"/>
      <c r="G771" s="127"/>
      <c r="H771" s="103"/>
      <c r="I771" s="97"/>
      <c r="J771" s="97"/>
      <c r="K771" s="97"/>
      <c r="L771" s="100"/>
      <c r="M771" s="112"/>
      <c r="N771" s="106"/>
      <c r="O771" s="106"/>
      <c r="P771" s="106"/>
      <c r="Q771" s="109"/>
      <c r="R771" s="103"/>
      <c r="S771" s="97"/>
      <c r="T771" s="97"/>
      <c r="U771" s="97"/>
      <c r="V771" s="100"/>
      <c r="W771" s="103"/>
      <c r="X771" s="97"/>
      <c r="Y771" s="97"/>
      <c r="Z771" s="97"/>
      <c r="AA771" s="100"/>
      <c r="AB771" s="134"/>
    </row>
    <row r="772" spans="1:28" ht="13.5" customHeight="1" thickBot="1" x14ac:dyDescent="0.3">
      <c r="A772" s="138"/>
      <c r="B772" s="138"/>
      <c r="C772" s="95"/>
      <c r="D772" s="125"/>
      <c r="E772" s="125"/>
      <c r="F772" s="125"/>
      <c r="G772" s="128"/>
      <c r="H772" s="104"/>
      <c r="I772" s="98"/>
      <c r="J772" s="98"/>
      <c r="K772" s="98"/>
      <c r="L772" s="101"/>
      <c r="M772" s="113"/>
      <c r="N772" s="107"/>
      <c r="O772" s="107"/>
      <c r="P772" s="107"/>
      <c r="Q772" s="110"/>
      <c r="R772" s="104"/>
      <c r="S772" s="98"/>
      <c r="T772" s="98"/>
      <c r="U772" s="98"/>
      <c r="V772" s="101"/>
      <c r="W772" s="104"/>
      <c r="X772" s="98"/>
      <c r="Y772" s="98"/>
      <c r="Z772" s="98"/>
      <c r="AA772" s="101"/>
      <c r="AB772" s="135"/>
    </row>
    <row r="773" spans="1:28" ht="14.25" customHeight="1" x14ac:dyDescent="0.25">
      <c r="A773" s="136">
        <f>ESCUADRAS!B146</f>
        <v>140</v>
      </c>
      <c r="B773" s="136">
        <f>ESCUADRAS!C146</f>
        <v>0</v>
      </c>
      <c r="C773" s="93"/>
      <c r="D773" s="123"/>
      <c r="E773" s="123"/>
      <c r="F773" s="123"/>
      <c r="G773" s="126"/>
      <c r="H773" s="111"/>
      <c r="I773" s="105"/>
      <c r="J773" s="105"/>
      <c r="K773" s="105"/>
      <c r="L773" s="108"/>
      <c r="M773" s="102"/>
      <c r="N773" s="96"/>
      <c r="O773" s="96"/>
      <c r="P773" s="96"/>
      <c r="Q773" s="99"/>
      <c r="R773" s="102"/>
      <c r="S773" s="96"/>
      <c r="T773" s="96"/>
      <c r="U773" s="96"/>
      <c r="V773" s="99"/>
      <c r="W773" s="102"/>
      <c r="X773" s="96"/>
      <c r="Y773" s="96"/>
      <c r="Z773" s="96"/>
      <c r="AA773" s="99"/>
      <c r="AB773" s="133"/>
    </row>
    <row r="774" spans="1:28" ht="14.25" customHeight="1" x14ac:dyDescent="0.25">
      <c r="A774" s="137"/>
      <c r="B774" s="137"/>
      <c r="C774" s="94"/>
      <c r="D774" s="124"/>
      <c r="E774" s="124"/>
      <c r="F774" s="124"/>
      <c r="G774" s="127"/>
      <c r="H774" s="112"/>
      <c r="I774" s="106"/>
      <c r="J774" s="106"/>
      <c r="K774" s="106"/>
      <c r="L774" s="109"/>
      <c r="M774" s="103"/>
      <c r="N774" s="97"/>
      <c r="O774" s="97"/>
      <c r="P774" s="97"/>
      <c r="Q774" s="100"/>
      <c r="R774" s="103"/>
      <c r="S774" s="97"/>
      <c r="T774" s="97"/>
      <c r="U774" s="97"/>
      <c r="V774" s="100"/>
      <c r="W774" s="103"/>
      <c r="X774" s="97"/>
      <c r="Y774" s="97"/>
      <c r="Z774" s="97"/>
      <c r="AA774" s="100"/>
      <c r="AB774" s="134"/>
    </row>
    <row r="775" spans="1:28" ht="13.5" customHeight="1" thickBot="1" x14ac:dyDescent="0.3">
      <c r="A775" s="138"/>
      <c r="B775" s="138"/>
      <c r="C775" s="95"/>
      <c r="D775" s="125"/>
      <c r="E775" s="125"/>
      <c r="F775" s="125"/>
      <c r="G775" s="128"/>
      <c r="H775" s="113"/>
      <c r="I775" s="107"/>
      <c r="J775" s="107"/>
      <c r="K775" s="107"/>
      <c r="L775" s="110"/>
      <c r="M775" s="104"/>
      <c r="N775" s="98"/>
      <c r="O775" s="98"/>
      <c r="P775" s="98"/>
      <c r="Q775" s="101"/>
      <c r="R775" s="104"/>
      <c r="S775" s="98"/>
      <c r="T775" s="98"/>
      <c r="U775" s="98"/>
      <c r="V775" s="101"/>
      <c r="W775" s="104"/>
      <c r="X775" s="98"/>
      <c r="Y775" s="98"/>
      <c r="Z775" s="98"/>
      <c r="AA775" s="101"/>
      <c r="AB775" s="135"/>
    </row>
    <row r="776" spans="1:28" ht="13.5" customHeight="1" x14ac:dyDescent="0.25">
      <c r="A776" s="136">
        <f>ESCUADRAS!B147</f>
        <v>141</v>
      </c>
      <c r="B776" s="136">
        <f>ESCUADRAS!C147</f>
        <v>0</v>
      </c>
      <c r="C776" s="111"/>
      <c r="D776" s="105"/>
      <c r="E776" s="105"/>
      <c r="F776" s="105"/>
      <c r="G776" s="108"/>
      <c r="H776" s="122"/>
      <c r="I776" s="120"/>
      <c r="J776" s="120"/>
      <c r="K776" s="120"/>
      <c r="L776" s="121"/>
      <c r="M776" s="122"/>
      <c r="N776" s="120"/>
      <c r="O776" s="120"/>
      <c r="P776" s="120"/>
      <c r="Q776" s="121"/>
      <c r="R776" s="122"/>
      <c r="S776" s="120"/>
      <c r="T776" s="120"/>
      <c r="U776" s="120"/>
      <c r="V776" s="121"/>
      <c r="W776" s="122"/>
      <c r="X776" s="120"/>
      <c r="Y776" s="120"/>
      <c r="Z776" s="120"/>
      <c r="AA776" s="121"/>
      <c r="AB776" s="133"/>
    </row>
    <row r="777" spans="1:28" ht="14.25" customHeight="1" x14ac:dyDescent="0.25">
      <c r="A777" s="137"/>
      <c r="B777" s="137"/>
      <c r="C777" s="112"/>
      <c r="D777" s="106"/>
      <c r="E777" s="106"/>
      <c r="F777" s="106"/>
      <c r="G777" s="109"/>
      <c r="H777" s="103"/>
      <c r="I777" s="97"/>
      <c r="J777" s="97"/>
      <c r="K777" s="97"/>
      <c r="L777" s="100"/>
      <c r="M777" s="103"/>
      <c r="N777" s="97"/>
      <c r="O777" s="97"/>
      <c r="P777" s="97"/>
      <c r="Q777" s="100"/>
      <c r="R777" s="103"/>
      <c r="S777" s="97"/>
      <c r="T777" s="97"/>
      <c r="U777" s="97"/>
      <c r="V777" s="100"/>
      <c r="W777" s="103"/>
      <c r="X777" s="97"/>
      <c r="Y777" s="97"/>
      <c r="Z777" s="97"/>
      <c r="AA777" s="100"/>
      <c r="AB777" s="134"/>
    </row>
    <row r="778" spans="1:28" ht="13.5" customHeight="1" thickBot="1" x14ac:dyDescent="0.3">
      <c r="A778" s="138"/>
      <c r="B778" s="138"/>
      <c r="C778" s="113"/>
      <c r="D778" s="107"/>
      <c r="E778" s="107"/>
      <c r="F778" s="107"/>
      <c r="G778" s="110"/>
      <c r="H778" s="104"/>
      <c r="I778" s="98"/>
      <c r="J778" s="98"/>
      <c r="K778" s="98"/>
      <c r="L778" s="101"/>
      <c r="M778" s="104"/>
      <c r="N778" s="98"/>
      <c r="O778" s="98"/>
      <c r="P778" s="98"/>
      <c r="Q778" s="101"/>
      <c r="R778" s="104"/>
      <c r="S778" s="98"/>
      <c r="T778" s="98"/>
      <c r="U778" s="98"/>
      <c r="V778" s="101"/>
      <c r="W778" s="104"/>
      <c r="X778" s="98"/>
      <c r="Y778" s="98"/>
      <c r="Z778" s="98"/>
      <c r="AA778" s="101"/>
      <c r="AB778" s="135"/>
    </row>
    <row r="780" spans="1:28" ht="15" x14ac:dyDescent="0.25">
      <c r="A780" s="28"/>
      <c r="B780" s="26" t="s">
        <v>35</v>
      </c>
      <c r="E780" s="21" t="s">
        <v>41</v>
      </c>
      <c r="I780" s="21" t="s">
        <v>42</v>
      </c>
      <c r="M780" s="21" t="s">
        <v>43</v>
      </c>
      <c r="Q780" s="21" t="s">
        <v>44</v>
      </c>
      <c r="U780" s="21" t="s">
        <v>45</v>
      </c>
      <c r="Y780" s="21" t="s">
        <v>46</v>
      </c>
    </row>
    <row r="787" spans="1:32" ht="24.6" x14ac:dyDescent="0.25">
      <c r="A787" s="144" t="str">
        <f>'INSCRIPCION '!A$1</f>
        <v>TIRADA</v>
      </c>
      <c r="B787" s="144"/>
      <c r="C787" s="144"/>
      <c r="D787" s="144"/>
      <c r="E787" s="144"/>
      <c r="F787" s="144"/>
      <c r="G787" s="144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  <c r="AF787" s="144"/>
    </row>
    <row r="788" spans="1:32" ht="24.6" x14ac:dyDescent="0.4">
      <c r="A788" s="23"/>
      <c r="B788" s="23"/>
    </row>
    <row r="789" spans="1:32" ht="22.8" x14ac:dyDescent="0.25">
      <c r="A789" s="132" t="str">
        <f>'INSCRIPCION '!A$2</f>
        <v>CAMPO DE TIRO LA ISLA</v>
      </c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32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32"/>
      <c r="AF789" s="132"/>
    </row>
    <row r="790" spans="1:32" ht="20.399999999999999" x14ac:dyDescent="0.25">
      <c r="A790" s="143" t="str">
        <f>'INSCRIPCION '!A$3</f>
        <v>XXX PLATOS</v>
      </c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</row>
    <row r="791" spans="1:32" ht="22.8" x14ac:dyDescent="0.4">
      <c r="A791" s="24"/>
      <c r="B791" s="24"/>
    </row>
    <row r="792" spans="1:32" ht="17.399999999999999" x14ac:dyDescent="0.3">
      <c r="A792" s="25" t="s">
        <v>34</v>
      </c>
      <c r="B792" s="25"/>
      <c r="J792" s="9" t="s">
        <v>6</v>
      </c>
      <c r="K792" s="9"/>
      <c r="L792" s="9"/>
      <c r="M792" s="9"/>
      <c r="N792" s="9"/>
      <c r="O792" s="22">
        <v>4</v>
      </c>
      <c r="P792" s="22"/>
      <c r="Q792" s="8"/>
      <c r="R792" s="8"/>
      <c r="S792" s="7"/>
      <c r="T792" s="8"/>
      <c r="U792" s="8"/>
      <c r="V792" s="9" t="s">
        <v>7</v>
      </c>
      <c r="W792" s="9"/>
      <c r="X792" s="9"/>
      <c r="Y792" s="9"/>
      <c r="Z792" s="22">
        <v>4</v>
      </c>
      <c r="AA792" s="22"/>
    </row>
    <row r="793" spans="1:32" ht="13.8" thickBot="1" x14ac:dyDescent="0.3"/>
    <row r="794" spans="1:32" ht="15.6" thickBot="1" x14ac:dyDescent="0.3">
      <c r="A794" s="27" t="s">
        <v>0</v>
      </c>
      <c r="B794" s="27" t="s">
        <v>8</v>
      </c>
      <c r="C794" s="47">
        <v>1</v>
      </c>
      <c r="D794" s="48">
        <v>2</v>
      </c>
      <c r="E794" s="48">
        <v>3</v>
      </c>
      <c r="F794" s="48">
        <v>4</v>
      </c>
      <c r="G794" s="49">
        <v>5</v>
      </c>
      <c r="H794" s="47">
        <v>6</v>
      </c>
      <c r="I794" s="48">
        <v>7</v>
      </c>
      <c r="J794" s="48">
        <v>8</v>
      </c>
      <c r="K794" s="48">
        <v>9</v>
      </c>
      <c r="L794" s="49">
        <v>10</v>
      </c>
      <c r="M794" s="47">
        <v>11</v>
      </c>
      <c r="N794" s="48">
        <v>12</v>
      </c>
      <c r="O794" s="48">
        <v>13</v>
      </c>
      <c r="P794" s="48">
        <v>14</v>
      </c>
      <c r="Q794" s="49">
        <v>15</v>
      </c>
      <c r="R794" s="47">
        <v>16</v>
      </c>
      <c r="S794" s="48">
        <v>17</v>
      </c>
      <c r="T794" s="48">
        <v>18</v>
      </c>
      <c r="U794" s="48">
        <v>19</v>
      </c>
      <c r="V794" s="49">
        <v>20</v>
      </c>
      <c r="W794" s="47">
        <v>21</v>
      </c>
      <c r="X794" s="48">
        <v>22</v>
      </c>
      <c r="Y794" s="48">
        <v>23</v>
      </c>
      <c r="Z794" s="48">
        <v>24</v>
      </c>
      <c r="AA794" s="49">
        <v>25</v>
      </c>
      <c r="AB794" s="30" t="s">
        <v>1</v>
      </c>
    </row>
    <row r="795" spans="1:32" ht="14.25" customHeight="1" x14ac:dyDescent="0.25">
      <c r="A795" s="136">
        <f>ESCUADRAS!B154</f>
        <v>148</v>
      </c>
      <c r="B795" s="136">
        <f>ESCUADRAS!C154</f>
        <v>0</v>
      </c>
      <c r="C795" s="129"/>
      <c r="D795" s="114"/>
      <c r="E795" s="114"/>
      <c r="F795" s="114"/>
      <c r="G795" s="117"/>
      <c r="H795" s="111"/>
      <c r="I795" s="105"/>
      <c r="J795" s="105"/>
      <c r="K795" s="105"/>
      <c r="L795" s="108"/>
      <c r="M795" s="111"/>
      <c r="N795" s="105"/>
      <c r="O795" s="105"/>
      <c r="P795" s="105"/>
      <c r="Q795" s="108"/>
      <c r="R795" s="111"/>
      <c r="S795" s="105"/>
      <c r="T795" s="105"/>
      <c r="U795" s="105"/>
      <c r="V795" s="108"/>
      <c r="W795" s="111"/>
      <c r="X795" s="105"/>
      <c r="Y795" s="105"/>
      <c r="Z795" s="105"/>
      <c r="AA795" s="108"/>
      <c r="AB795" s="133"/>
    </row>
    <row r="796" spans="1:32" ht="14.25" customHeight="1" x14ac:dyDescent="0.25">
      <c r="A796" s="137"/>
      <c r="B796" s="137"/>
      <c r="C796" s="130"/>
      <c r="D796" s="115"/>
      <c r="E796" s="115"/>
      <c r="F796" s="115"/>
      <c r="G796" s="118"/>
      <c r="H796" s="112"/>
      <c r="I796" s="106"/>
      <c r="J796" s="106"/>
      <c r="K796" s="106"/>
      <c r="L796" s="109"/>
      <c r="M796" s="112"/>
      <c r="N796" s="106"/>
      <c r="O796" s="106"/>
      <c r="P796" s="106"/>
      <c r="Q796" s="109"/>
      <c r="R796" s="112"/>
      <c r="S796" s="106"/>
      <c r="T796" s="106"/>
      <c r="U796" s="106"/>
      <c r="V796" s="109"/>
      <c r="W796" s="112"/>
      <c r="X796" s="106"/>
      <c r="Y796" s="106"/>
      <c r="Z796" s="106"/>
      <c r="AA796" s="109"/>
      <c r="AB796" s="134"/>
    </row>
    <row r="797" spans="1:32" ht="13.5" customHeight="1" thickBot="1" x14ac:dyDescent="0.3">
      <c r="A797" s="138"/>
      <c r="B797" s="138"/>
      <c r="C797" s="131"/>
      <c r="D797" s="116"/>
      <c r="E797" s="116"/>
      <c r="F797" s="116"/>
      <c r="G797" s="119"/>
      <c r="H797" s="113"/>
      <c r="I797" s="107"/>
      <c r="J797" s="107"/>
      <c r="K797" s="107"/>
      <c r="L797" s="110"/>
      <c r="M797" s="113"/>
      <c r="N797" s="107"/>
      <c r="O797" s="107"/>
      <c r="P797" s="107"/>
      <c r="Q797" s="110"/>
      <c r="R797" s="113"/>
      <c r="S797" s="107"/>
      <c r="T797" s="107"/>
      <c r="U797" s="107"/>
      <c r="V797" s="110"/>
      <c r="W797" s="113"/>
      <c r="X797" s="107"/>
      <c r="Y797" s="107"/>
      <c r="Z797" s="107"/>
      <c r="AA797" s="110"/>
      <c r="AB797" s="135"/>
    </row>
    <row r="798" spans="1:32" ht="14.25" customHeight="1" x14ac:dyDescent="0.25">
      <c r="A798" s="136">
        <f>ESCUADRAS!B155</f>
        <v>149</v>
      </c>
      <c r="B798" s="136">
        <f>ESCUADRAS!C155</f>
        <v>0</v>
      </c>
      <c r="C798" s="93"/>
      <c r="D798" s="123"/>
      <c r="E798" s="123"/>
      <c r="F798" s="123"/>
      <c r="G798" s="126"/>
      <c r="H798" s="102"/>
      <c r="I798" s="96"/>
      <c r="J798" s="96"/>
      <c r="K798" s="96"/>
      <c r="L798" s="99"/>
      <c r="M798" s="102"/>
      <c r="N798" s="96"/>
      <c r="O798" s="96"/>
      <c r="P798" s="96"/>
      <c r="Q798" s="99"/>
      <c r="R798" s="102"/>
      <c r="S798" s="96"/>
      <c r="T798" s="96"/>
      <c r="U798" s="96"/>
      <c r="V798" s="99"/>
      <c r="W798" s="111"/>
      <c r="X798" s="105"/>
      <c r="Y798" s="105"/>
      <c r="Z798" s="105"/>
      <c r="AA798" s="108"/>
      <c r="AB798" s="133"/>
    </row>
    <row r="799" spans="1:32" ht="14.25" customHeight="1" x14ac:dyDescent="0.25">
      <c r="A799" s="137"/>
      <c r="B799" s="137"/>
      <c r="C799" s="94"/>
      <c r="D799" s="124"/>
      <c r="E799" s="124"/>
      <c r="F799" s="124"/>
      <c r="G799" s="127"/>
      <c r="H799" s="103"/>
      <c r="I799" s="97"/>
      <c r="J799" s="97"/>
      <c r="K799" s="97"/>
      <c r="L799" s="100"/>
      <c r="M799" s="103"/>
      <c r="N799" s="97"/>
      <c r="O799" s="97"/>
      <c r="P799" s="97"/>
      <c r="Q799" s="100"/>
      <c r="R799" s="103"/>
      <c r="S799" s="97"/>
      <c r="T799" s="97"/>
      <c r="U799" s="97"/>
      <c r="V799" s="100"/>
      <c r="W799" s="112"/>
      <c r="X799" s="106"/>
      <c r="Y799" s="106"/>
      <c r="Z799" s="106"/>
      <c r="AA799" s="109"/>
      <c r="AB799" s="134"/>
    </row>
    <row r="800" spans="1:32" ht="13.5" customHeight="1" thickBot="1" x14ac:dyDescent="0.3">
      <c r="A800" s="138"/>
      <c r="B800" s="138"/>
      <c r="C800" s="95"/>
      <c r="D800" s="125"/>
      <c r="E800" s="125"/>
      <c r="F800" s="125"/>
      <c r="G800" s="128"/>
      <c r="H800" s="104"/>
      <c r="I800" s="98"/>
      <c r="J800" s="98"/>
      <c r="K800" s="98"/>
      <c r="L800" s="101"/>
      <c r="M800" s="104"/>
      <c r="N800" s="98"/>
      <c r="O800" s="98"/>
      <c r="P800" s="98"/>
      <c r="Q800" s="101"/>
      <c r="R800" s="104"/>
      <c r="S800" s="98"/>
      <c r="T800" s="98"/>
      <c r="U800" s="98"/>
      <c r="V800" s="101"/>
      <c r="W800" s="113"/>
      <c r="X800" s="107"/>
      <c r="Y800" s="107"/>
      <c r="Z800" s="107"/>
      <c r="AA800" s="110"/>
      <c r="AB800" s="135"/>
    </row>
    <row r="801" spans="1:28" ht="14.25" customHeight="1" x14ac:dyDescent="0.25">
      <c r="A801" s="136">
        <f>ESCUADRAS!B156</f>
        <v>150</v>
      </c>
      <c r="B801" s="136">
        <f>ESCUADRAS!C156</f>
        <v>0</v>
      </c>
      <c r="C801" s="93"/>
      <c r="D801" s="123"/>
      <c r="E801" s="123"/>
      <c r="F801" s="123"/>
      <c r="G801" s="126"/>
      <c r="H801" s="102"/>
      <c r="I801" s="96"/>
      <c r="J801" s="96"/>
      <c r="K801" s="96"/>
      <c r="L801" s="99"/>
      <c r="M801" s="102"/>
      <c r="N801" s="96"/>
      <c r="O801" s="96"/>
      <c r="P801" s="96"/>
      <c r="Q801" s="99"/>
      <c r="R801" s="111"/>
      <c r="S801" s="105"/>
      <c r="T801" s="105"/>
      <c r="U801" s="105"/>
      <c r="V801" s="108"/>
      <c r="W801" s="102"/>
      <c r="X801" s="96"/>
      <c r="Y801" s="96"/>
      <c r="Z801" s="96"/>
      <c r="AA801" s="99"/>
      <c r="AB801" s="133"/>
    </row>
    <row r="802" spans="1:28" ht="14.25" customHeight="1" x14ac:dyDescent="0.25">
      <c r="A802" s="137"/>
      <c r="B802" s="137"/>
      <c r="C802" s="94"/>
      <c r="D802" s="124"/>
      <c r="E802" s="124"/>
      <c r="F802" s="124"/>
      <c r="G802" s="127"/>
      <c r="H802" s="103"/>
      <c r="I802" s="97"/>
      <c r="J802" s="97"/>
      <c r="K802" s="97"/>
      <c r="L802" s="100"/>
      <c r="M802" s="103"/>
      <c r="N802" s="97"/>
      <c r="O802" s="97"/>
      <c r="P802" s="97"/>
      <c r="Q802" s="100"/>
      <c r="R802" s="112"/>
      <c r="S802" s="106"/>
      <c r="T802" s="106"/>
      <c r="U802" s="106"/>
      <c r="V802" s="109"/>
      <c r="W802" s="103"/>
      <c r="X802" s="97"/>
      <c r="Y802" s="97"/>
      <c r="Z802" s="97"/>
      <c r="AA802" s="100"/>
      <c r="AB802" s="134"/>
    </row>
    <row r="803" spans="1:28" ht="13.5" customHeight="1" thickBot="1" x14ac:dyDescent="0.3">
      <c r="A803" s="138"/>
      <c r="B803" s="138"/>
      <c r="C803" s="95"/>
      <c r="D803" s="125"/>
      <c r="E803" s="125"/>
      <c r="F803" s="125"/>
      <c r="G803" s="128"/>
      <c r="H803" s="104"/>
      <c r="I803" s="98"/>
      <c r="J803" s="98"/>
      <c r="K803" s="98"/>
      <c r="L803" s="101"/>
      <c r="M803" s="104"/>
      <c r="N803" s="98"/>
      <c r="O803" s="98"/>
      <c r="P803" s="98"/>
      <c r="Q803" s="101"/>
      <c r="R803" s="113"/>
      <c r="S803" s="107"/>
      <c r="T803" s="107"/>
      <c r="U803" s="107"/>
      <c r="V803" s="110"/>
      <c r="W803" s="104"/>
      <c r="X803" s="98"/>
      <c r="Y803" s="98"/>
      <c r="Z803" s="98"/>
      <c r="AA803" s="101"/>
      <c r="AB803" s="135"/>
    </row>
    <row r="804" spans="1:28" ht="13.5" customHeight="1" x14ac:dyDescent="0.25">
      <c r="A804" s="136">
        <f>ESCUADRAS!B151</f>
        <v>145</v>
      </c>
      <c r="B804" s="136">
        <f>ESCUADRAS!C151</f>
        <v>0</v>
      </c>
      <c r="C804" s="93"/>
      <c r="D804" s="123"/>
      <c r="E804" s="123"/>
      <c r="F804" s="123"/>
      <c r="G804" s="126"/>
      <c r="H804" s="102"/>
      <c r="I804" s="96"/>
      <c r="J804" s="96"/>
      <c r="K804" s="96"/>
      <c r="L804" s="99"/>
      <c r="M804" s="111"/>
      <c r="N804" s="105"/>
      <c r="O804" s="105"/>
      <c r="P804" s="105"/>
      <c r="Q804" s="108"/>
      <c r="R804" s="102"/>
      <c r="S804" s="96"/>
      <c r="T804" s="96"/>
      <c r="U804" s="96"/>
      <c r="V804" s="99"/>
      <c r="W804" s="102"/>
      <c r="X804" s="96"/>
      <c r="Y804" s="96"/>
      <c r="Z804" s="96"/>
      <c r="AA804" s="99"/>
      <c r="AB804" s="133"/>
    </row>
    <row r="805" spans="1:28" ht="14.25" customHeight="1" x14ac:dyDescent="0.25">
      <c r="A805" s="137"/>
      <c r="B805" s="137"/>
      <c r="C805" s="94"/>
      <c r="D805" s="124"/>
      <c r="E805" s="124"/>
      <c r="F805" s="124"/>
      <c r="G805" s="127"/>
      <c r="H805" s="103"/>
      <c r="I805" s="97"/>
      <c r="J805" s="97"/>
      <c r="K805" s="97"/>
      <c r="L805" s="100"/>
      <c r="M805" s="112"/>
      <c r="N805" s="106"/>
      <c r="O805" s="106"/>
      <c r="P805" s="106"/>
      <c r="Q805" s="109"/>
      <c r="R805" s="103"/>
      <c r="S805" s="97"/>
      <c r="T805" s="97"/>
      <c r="U805" s="97"/>
      <c r="V805" s="100"/>
      <c r="W805" s="103"/>
      <c r="X805" s="97"/>
      <c r="Y805" s="97"/>
      <c r="Z805" s="97"/>
      <c r="AA805" s="100"/>
      <c r="AB805" s="134"/>
    </row>
    <row r="806" spans="1:28" ht="13.5" customHeight="1" thickBot="1" x14ac:dyDescent="0.3">
      <c r="A806" s="138"/>
      <c r="B806" s="138"/>
      <c r="C806" s="95"/>
      <c r="D806" s="125"/>
      <c r="E806" s="125"/>
      <c r="F806" s="125"/>
      <c r="G806" s="128"/>
      <c r="H806" s="104"/>
      <c r="I806" s="98"/>
      <c r="J806" s="98"/>
      <c r="K806" s="98"/>
      <c r="L806" s="101"/>
      <c r="M806" s="113"/>
      <c r="N806" s="107"/>
      <c r="O806" s="107"/>
      <c r="P806" s="107"/>
      <c r="Q806" s="110"/>
      <c r="R806" s="104"/>
      <c r="S806" s="98"/>
      <c r="T806" s="98"/>
      <c r="U806" s="98"/>
      <c r="V806" s="101"/>
      <c r="W806" s="104"/>
      <c r="X806" s="98"/>
      <c r="Y806" s="98"/>
      <c r="Z806" s="98"/>
      <c r="AA806" s="101"/>
      <c r="AB806" s="135"/>
    </row>
    <row r="807" spans="1:28" ht="14.25" customHeight="1" x14ac:dyDescent="0.25">
      <c r="A807" s="136">
        <f>ESCUADRAS!B152</f>
        <v>146</v>
      </c>
      <c r="B807" s="136">
        <f>ESCUADRAS!C152</f>
        <v>0</v>
      </c>
      <c r="C807" s="93"/>
      <c r="D807" s="123"/>
      <c r="E807" s="123"/>
      <c r="F807" s="123"/>
      <c r="G807" s="126"/>
      <c r="H807" s="111"/>
      <c r="I807" s="105"/>
      <c r="J807" s="105"/>
      <c r="K807" s="105"/>
      <c r="L807" s="108"/>
      <c r="M807" s="102"/>
      <c r="N807" s="96"/>
      <c r="O807" s="96"/>
      <c r="P807" s="96"/>
      <c r="Q807" s="99"/>
      <c r="R807" s="102"/>
      <c r="S807" s="96"/>
      <c r="T807" s="96"/>
      <c r="U807" s="96"/>
      <c r="V807" s="99"/>
      <c r="W807" s="102"/>
      <c r="X807" s="96"/>
      <c r="Y807" s="96"/>
      <c r="Z807" s="96"/>
      <c r="AA807" s="99"/>
      <c r="AB807" s="133"/>
    </row>
    <row r="808" spans="1:28" ht="14.25" customHeight="1" x14ac:dyDescent="0.25">
      <c r="A808" s="137"/>
      <c r="B808" s="137"/>
      <c r="C808" s="94"/>
      <c r="D808" s="124"/>
      <c r="E808" s="124"/>
      <c r="F808" s="124"/>
      <c r="G808" s="127"/>
      <c r="H808" s="112"/>
      <c r="I808" s="106"/>
      <c r="J808" s="106"/>
      <c r="K808" s="106"/>
      <c r="L808" s="109"/>
      <c r="M808" s="103"/>
      <c r="N808" s="97"/>
      <c r="O808" s="97"/>
      <c r="P808" s="97"/>
      <c r="Q808" s="100"/>
      <c r="R808" s="103"/>
      <c r="S808" s="97"/>
      <c r="T808" s="97"/>
      <c r="U808" s="97"/>
      <c r="V808" s="100"/>
      <c r="W808" s="103"/>
      <c r="X808" s="97"/>
      <c r="Y808" s="97"/>
      <c r="Z808" s="97"/>
      <c r="AA808" s="100"/>
      <c r="AB808" s="134"/>
    </row>
    <row r="809" spans="1:28" ht="13.5" customHeight="1" thickBot="1" x14ac:dyDescent="0.3">
      <c r="A809" s="138"/>
      <c r="B809" s="138"/>
      <c r="C809" s="95"/>
      <c r="D809" s="125"/>
      <c r="E809" s="125"/>
      <c r="F809" s="125"/>
      <c r="G809" s="128"/>
      <c r="H809" s="113"/>
      <c r="I809" s="107"/>
      <c r="J809" s="107"/>
      <c r="K809" s="107"/>
      <c r="L809" s="110"/>
      <c r="M809" s="104"/>
      <c r="N809" s="98"/>
      <c r="O809" s="98"/>
      <c r="P809" s="98"/>
      <c r="Q809" s="101"/>
      <c r="R809" s="104"/>
      <c r="S809" s="98"/>
      <c r="T809" s="98"/>
      <c r="U809" s="98"/>
      <c r="V809" s="101"/>
      <c r="W809" s="104"/>
      <c r="X809" s="98"/>
      <c r="Y809" s="98"/>
      <c r="Z809" s="98"/>
      <c r="AA809" s="101"/>
      <c r="AB809" s="135"/>
    </row>
    <row r="810" spans="1:28" ht="13.5" customHeight="1" x14ac:dyDescent="0.25">
      <c r="A810" s="136">
        <f>ESCUADRAS!B153</f>
        <v>147</v>
      </c>
      <c r="B810" s="136">
        <f>ESCUADRAS!C153</f>
        <v>0</v>
      </c>
      <c r="C810" s="111"/>
      <c r="D810" s="105"/>
      <c r="E810" s="105"/>
      <c r="F810" s="105"/>
      <c r="G810" s="108"/>
      <c r="H810" s="122"/>
      <c r="I810" s="120"/>
      <c r="J810" s="120"/>
      <c r="K810" s="120"/>
      <c r="L810" s="121"/>
      <c r="M810" s="122"/>
      <c r="N810" s="120"/>
      <c r="O810" s="120"/>
      <c r="P810" s="120"/>
      <c r="Q810" s="121"/>
      <c r="R810" s="122"/>
      <c r="S810" s="120"/>
      <c r="T810" s="120"/>
      <c r="U810" s="120"/>
      <c r="V810" s="121"/>
      <c r="W810" s="122"/>
      <c r="X810" s="120"/>
      <c r="Y810" s="120"/>
      <c r="Z810" s="120"/>
      <c r="AA810" s="121"/>
      <c r="AB810" s="133"/>
    </row>
    <row r="811" spans="1:28" ht="14.25" customHeight="1" x14ac:dyDescent="0.25">
      <c r="A811" s="137"/>
      <c r="B811" s="137"/>
      <c r="C811" s="112"/>
      <c r="D811" s="106"/>
      <c r="E811" s="106"/>
      <c r="F811" s="106"/>
      <c r="G811" s="109"/>
      <c r="H811" s="103"/>
      <c r="I811" s="97"/>
      <c r="J811" s="97"/>
      <c r="K811" s="97"/>
      <c r="L811" s="100"/>
      <c r="M811" s="103"/>
      <c r="N811" s="97"/>
      <c r="O811" s="97"/>
      <c r="P811" s="97"/>
      <c r="Q811" s="100"/>
      <c r="R811" s="103"/>
      <c r="S811" s="97"/>
      <c r="T811" s="97"/>
      <c r="U811" s="97"/>
      <c r="V811" s="100"/>
      <c r="W811" s="103"/>
      <c r="X811" s="97"/>
      <c r="Y811" s="97"/>
      <c r="Z811" s="97"/>
      <c r="AA811" s="100"/>
      <c r="AB811" s="134"/>
    </row>
    <row r="812" spans="1:28" ht="13.5" customHeight="1" thickBot="1" x14ac:dyDescent="0.3">
      <c r="A812" s="138"/>
      <c r="B812" s="138"/>
      <c r="C812" s="113"/>
      <c r="D812" s="107"/>
      <c r="E812" s="107"/>
      <c r="F812" s="107"/>
      <c r="G812" s="110"/>
      <c r="H812" s="104"/>
      <c r="I812" s="98"/>
      <c r="J812" s="98"/>
      <c r="K812" s="98"/>
      <c r="L812" s="101"/>
      <c r="M812" s="104"/>
      <c r="N812" s="98"/>
      <c r="O812" s="98"/>
      <c r="P812" s="98"/>
      <c r="Q812" s="101"/>
      <c r="R812" s="104"/>
      <c r="S812" s="98"/>
      <c r="T812" s="98"/>
      <c r="U812" s="98"/>
      <c r="V812" s="101"/>
      <c r="W812" s="104"/>
      <c r="X812" s="98"/>
      <c r="Y812" s="98"/>
      <c r="Z812" s="98"/>
      <c r="AA812" s="101"/>
      <c r="AB812" s="135"/>
    </row>
    <row r="814" spans="1:28" ht="15" x14ac:dyDescent="0.25">
      <c r="A814" s="28"/>
      <c r="B814" s="26" t="s">
        <v>35</v>
      </c>
      <c r="E814" s="21" t="s">
        <v>41</v>
      </c>
      <c r="I814" s="21" t="s">
        <v>42</v>
      </c>
      <c r="M814" s="21" t="s">
        <v>43</v>
      </c>
      <c r="Q814" s="21" t="s">
        <v>44</v>
      </c>
      <c r="U814" s="21" t="s">
        <v>45</v>
      </c>
      <c r="Y814" s="21" t="s">
        <v>46</v>
      </c>
    </row>
    <row r="821" spans="1:32" ht="24.6" x14ac:dyDescent="0.25">
      <c r="A821" s="144" t="str">
        <f>'INSCRIPCION '!A$1</f>
        <v>TIRADA</v>
      </c>
      <c r="B821" s="144"/>
      <c r="C821" s="144"/>
      <c r="D821" s="144"/>
      <c r="E821" s="144"/>
      <c r="F821" s="144"/>
      <c r="G821" s="144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  <c r="AF821" s="144"/>
    </row>
    <row r="822" spans="1:32" ht="24.6" x14ac:dyDescent="0.4">
      <c r="A822" s="23"/>
      <c r="B822" s="23"/>
    </row>
    <row r="823" spans="1:32" ht="22.8" x14ac:dyDescent="0.25">
      <c r="A823" s="132" t="str">
        <f>'INSCRIPCION '!A$2</f>
        <v>CAMPO DE TIRO LA ISLA</v>
      </c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L823" s="132"/>
      <c r="M823" s="132"/>
      <c r="N823" s="132"/>
      <c r="O823" s="132"/>
      <c r="P823" s="132"/>
      <c r="Q823" s="132"/>
      <c r="R823" s="132"/>
      <c r="S823" s="132"/>
      <c r="T823" s="132"/>
      <c r="U823" s="132"/>
      <c r="V823" s="132"/>
      <c r="W823" s="132"/>
      <c r="X823" s="132"/>
      <c r="Y823" s="132"/>
      <c r="Z823" s="132"/>
      <c r="AA823" s="132"/>
      <c r="AB823" s="132"/>
      <c r="AC823" s="132"/>
      <c r="AD823" s="132"/>
      <c r="AE823" s="132"/>
      <c r="AF823" s="132"/>
    </row>
    <row r="824" spans="1:32" ht="20.399999999999999" x14ac:dyDescent="0.25">
      <c r="A824" s="143" t="str">
        <f>'INSCRIPCION '!A$3</f>
        <v>XXX PLATOS</v>
      </c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</row>
    <row r="825" spans="1:32" ht="22.8" x14ac:dyDescent="0.4">
      <c r="A825" s="24"/>
      <c r="B825" s="24"/>
    </row>
    <row r="826" spans="1:32" ht="17.399999999999999" x14ac:dyDescent="0.3">
      <c r="A826" s="25" t="s">
        <v>36</v>
      </c>
      <c r="B826" s="25"/>
      <c r="J826" s="9" t="s">
        <v>6</v>
      </c>
      <c r="K826" s="9"/>
      <c r="L826" s="9"/>
      <c r="M826" s="9"/>
      <c r="N826" s="9"/>
      <c r="O826" s="22">
        <v>1</v>
      </c>
      <c r="P826" s="22"/>
      <c r="Q826" s="8"/>
      <c r="R826" s="8"/>
      <c r="S826" s="7"/>
      <c r="T826" s="8"/>
      <c r="U826" s="8"/>
      <c r="V826" s="9" t="s">
        <v>7</v>
      </c>
      <c r="W826" s="9"/>
      <c r="X826" s="9"/>
      <c r="Y826" s="9"/>
      <c r="Z826" s="22">
        <v>4</v>
      </c>
      <c r="AA826" s="22"/>
    </row>
    <row r="827" spans="1:32" ht="13.8" thickBot="1" x14ac:dyDescent="0.3"/>
    <row r="828" spans="1:32" ht="15.6" thickBot="1" x14ac:dyDescent="0.3">
      <c r="A828" s="27" t="s">
        <v>0</v>
      </c>
      <c r="B828" s="27" t="s">
        <v>8</v>
      </c>
      <c r="C828" s="47">
        <v>1</v>
      </c>
      <c r="D828" s="48">
        <v>2</v>
      </c>
      <c r="E828" s="48">
        <v>3</v>
      </c>
      <c r="F828" s="48">
        <v>4</v>
      </c>
      <c r="G828" s="49">
        <v>5</v>
      </c>
      <c r="H828" s="47">
        <v>6</v>
      </c>
      <c r="I828" s="48">
        <v>7</v>
      </c>
      <c r="J828" s="48">
        <v>8</v>
      </c>
      <c r="K828" s="48">
        <v>9</v>
      </c>
      <c r="L828" s="49">
        <v>10</v>
      </c>
      <c r="M828" s="47">
        <v>11</v>
      </c>
      <c r="N828" s="48">
        <v>12</v>
      </c>
      <c r="O828" s="48">
        <v>13</v>
      </c>
      <c r="P828" s="48">
        <v>14</v>
      </c>
      <c r="Q828" s="49">
        <v>15</v>
      </c>
      <c r="R828" s="47">
        <v>16</v>
      </c>
      <c r="S828" s="48">
        <v>17</v>
      </c>
      <c r="T828" s="48">
        <v>18</v>
      </c>
      <c r="U828" s="48">
        <v>19</v>
      </c>
      <c r="V828" s="49">
        <v>20</v>
      </c>
      <c r="W828" s="47">
        <v>21</v>
      </c>
      <c r="X828" s="48">
        <v>22</v>
      </c>
      <c r="Y828" s="48">
        <v>23</v>
      </c>
      <c r="Z828" s="48">
        <v>24</v>
      </c>
      <c r="AA828" s="49">
        <v>25</v>
      </c>
      <c r="AB828" s="30" t="s">
        <v>1</v>
      </c>
    </row>
    <row r="829" spans="1:32" ht="14.25" customHeight="1" x14ac:dyDescent="0.25">
      <c r="A829" s="136">
        <f>ESCUADRAS!B160</f>
        <v>154</v>
      </c>
      <c r="B829" s="136">
        <f>ESCUADRAS!C160</f>
        <v>0</v>
      </c>
      <c r="C829" s="129"/>
      <c r="D829" s="114"/>
      <c r="E829" s="114"/>
      <c r="F829" s="114"/>
      <c r="G829" s="117"/>
      <c r="H829" s="111"/>
      <c r="I829" s="105"/>
      <c r="J829" s="105"/>
      <c r="K829" s="105"/>
      <c r="L829" s="108"/>
      <c r="M829" s="111"/>
      <c r="N829" s="105"/>
      <c r="O829" s="105"/>
      <c r="P829" s="105"/>
      <c r="Q829" s="108"/>
      <c r="R829" s="111"/>
      <c r="S829" s="105"/>
      <c r="T829" s="105"/>
      <c r="U829" s="105"/>
      <c r="V829" s="108"/>
      <c r="W829" s="111"/>
      <c r="X829" s="105"/>
      <c r="Y829" s="105"/>
      <c r="Z829" s="105"/>
      <c r="AA829" s="108"/>
      <c r="AB829" s="133"/>
    </row>
    <row r="830" spans="1:32" ht="13.95" customHeight="1" x14ac:dyDescent="0.25">
      <c r="A830" s="137"/>
      <c r="B830" s="137"/>
      <c r="C830" s="130"/>
      <c r="D830" s="115"/>
      <c r="E830" s="115"/>
      <c r="F830" s="115"/>
      <c r="G830" s="118"/>
      <c r="H830" s="112"/>
      <c r="I830" s="106"/>
      <c r="J830" s="106"/>
      <c r="K830" s="106"/>
      <c r="L830" s="109"/>
      <c r="M830" s="112"/>
      <c r="N830" s="106"/>
      <c r="O830" s="106"/>
      <c r="P830" s="106"/>
      <c r="Q830" s="109"/>
      <c r="R830" s="112"/>
      <c r="S830" s="106"/>
      <c r="T830" s="106"/>
      <c r="U830" s="106"/>
      <c r="V830" s="109"/>
      <c r="W830" s="112"/>
      <c r="X830" s="106"/>
      <c r="Y830" s="106"/>
      <c r="Z830" s="106"/>
      <c r="AA830" s="109"/>
      <c r="AB830" s="134"/>
    </row>
    <row r="831" spans="1:32" ht="13.95" customHeight="1" thickBot="1" x14ac:dyDescent="0.3">
      <c r="A831" s="138"/>
      <c r="B831" s="138"/>
      <c r="C831" s="131"/>
      <c r="D831" s="116"/>
      <c r="E831" s="116"/>
      <c r="F831" s="116"/>
      <c r="G831" s="119"/>
      <c r="H831" s="113"/>
      <c r="I831" s="107"/>
      <c r="J831" s="107"/>
      <c r="K831" s="107"/>
      <c r="L831" s="110"/>
      <c r="M831" s="113"/>
      <c r="N831" s="107"/>
      <c r="O831" s="107"/>
      <c r="P831" s="107"/>
      <c r="Q831" s="110"/>
      <c r="R831" s="113"/>
      <c r="S831" s="107"/>
      <c r="T831" s="107"/>
      <c r="U831" s="107"/>
      <c r="V831" s="110"/>
      <c r="W831" s="113"/>
      <c r="X831" s="107"/>
      <c r="Y831" s="107"/>
      <c r="Z831" s="107"/>
      <c r="AA831" s="110"/>
      <c r="AB831" s="135"/>
    </row>
    <row r="832" spans="1:32" ht="14.25" customHeight="1" x14ac:dyDescent="0.25">
      <c r="A832" s="136">
        <f>ESCUADRAS!B161</f>
        <v>155</v>
      </c>
      <c r="B832" s="136">
        <f>ESCUADRAS!C161</f>
        <v>0</v>
      </c>
      <c r="C832" s="93"/>
      <c r="D832" s="123"/>
      <c r="E832" s="123"/>
      <c r="F832" s="123"/>
      <c r="G832" s="126"/>
      <c r="H832" s="102"/>
      <c r="I832" s="96"/>
      <c r="J832" s="96"/>
      <c r="K832" s="96"/>
      <c r="L832" s="99"/>
      <c r="M832" s="102"/>
      <c r="N832" s="96"/>
      <c r="O832" s="96"/>
      <c r="P832" s="96"/>
      <c r="Q832" s="99"/>
      <c r="R832" s="102"/>
      <c r="S832" s="96"/>
      <c r="T832" s="96"/>
      <c r="U832" s="96"/>
      <c r="V832" s="99"/>
      <c r="W832" s="111"/>
      <c r="X832" s="105"/>
      <c r="Y832" s="105"/>
      <c r="Z832" s="105"/>
      <c r="AA832" s="108"/>
      <c r="AB832" s="133"/>
    </row>
    <row r="833" spans="1:28" ht="14.25" customHeight="1" x14ac:dyDescent="0.25">
      <c r="A833" s="137"/>
      <c r="B833" s="137"/>
      <c r="C833" s="94"/>
      <c r="D833" s="124"/>
      <c r="E833" s="124"/>
      <c r="F833" s="124"/>
      <c r="G833" s="127"/>
      <c r="H833" s="103"/>
      <c r="I833" s="97"/>
      <c r="J833" s="97"/>
      <c r="K833" s="97"/>
      <c r="L833" s="100"/>
      <c r="M833" s="103"/>
      <c r="N833" s="97"/>
      <c r="O833" s="97"/>
      <c r="P833" s="97"/>
      <c r="Q833" s="100"/>
      <c r="R833" s="103"/>
      <c r="S833" s="97"/>
      <c r="T833" s="97"/>
      <c r="U833" s="97"/>
      <c r="V833" s="100"/>
      <c r="W833" s="112"/>
      <c r="X833" s="106"/>
      <c r="Y833" s="106"/>
      <c r="Z833" s="106"/>
      <c r="AA833" s="109"/>
      <c r="AB833" s="134"/>
    </row>
    <row r="834" spans="1:28" ht="13.5" customHeight="1" thickBot="1" x14ac:dyDescent="0.3">
      <c r="A834" s="138"/>
      <c r="B834" s="138"/>
      <c r="C834" s="95"/>
      <c r="D834" s="125"/>
      <c r="E834" s="125"/>
      <c r="F834" s="125"/>
      <c r="G834" s="128"/>
      <c r="H834" s="104"/>
      <c r="I834" s="98"/>
      <c r="J834" s="98"/>
      <c r="K834" s="98"/>
      <c r="L834" s="101"/>
      <c r="M834" s="104"/>
      <c r="N834" s="98"/>
      <c r="O834" s="98"/>
      <c r="P834" s="98"/>
      <c r="Q834" s="101"/>
      <c r="R834" s="104"/>
      <c r="S834" s="98"/>
      <c r="T834" s="98"/>
      <c r="U834" s="98"/>
      <c r="V834" s="101"/>
      <c r="W834" s="113"/>
      <c r="X834" s="107"/>
      <c r="Y834" s="107"/>
      <c r="Z834" s="107"/>
      <c r="AA834" s="110"/>
      <c r="AB834" s="135"/>
    </row>
    <row r="835" spans="1:28" ht="14.25" customHeight="1" x14ac:dyDescent="0.25">
      <c r="A835" s="145">
        <f>ESCUADRAS!B162</f>
        <v>156</v>
      </c>
      <c r="B835" s="145">
        <f>ESCUADRAS!C162</f>
        <v>0</v>
      </c>
      <c r="C835" s="93"/>
      <c r="D835" s="123"/>
      <c r="E835" s="123"/>
      <c r="F835" s="123"/>
      <c r="G835" s="126"/>
      <c r="H835" s="102"/>
      <c r="I835" s="96"/>
      <c r="J835" s="96"/>
      <c r="K835" s="96"/>
      <c r="L835" s="99"/>
      <c r="M835" s="102"/>
      <c r="N835" s="96"/>
      <c r="O835" s="96"/>
      <c r="P835" s="96"/>
      <c r="Q835" s="99"/>
      <c r="R835" s="111"/>
      <c r="S835" s="105"/>
      <c r="T835" s="105"/>
      <c r="U835" s="105"/>
      <c r="V835" s="108"/>
      <c r="W835" s="102"/>
      <c r="X835" s="96"/>
      <c r="Y835" s="96"/>
      <c r="Z835" s="96"/>
      <c r="AA835" s="99"/>
      <c r="AB835" s="133"/>
    </row>
    <row r="836" spans="1:28" ht="14.25" customHeight="1" x14ac:dyDescent="0.25">
      <c r="A836" s="146"/>
      <c r="B836" s="146"/>
      <c r="C836" s="94"/>
      <c r="D836" s="124"/>
      <c r="E836" s="124"/>
      <c r="F836" s="124"/>
      <c r="G836" s="127"/>
      <c r="H836" s="103"/>
      <c r="I836" s="97"/>
      <c r="J836" s="97"/>
      <c r="K836" s="97"/>
      <c r="L836" s="100"/>
      <c r="M836" s="103"/>
      <c r="N836" s="97"/>
      <c r="O836" s="97"/>
      <c r="P836" s="97"/>
      <c r="Q836" s="100"/>
      <c r="R836" s="112"/>
      <c r="S836" s="106"/>
      <c r="T836" s="106"/>
      <c r="U836" s="106"/>
      <c r="V836" s="109"/>
      <c r="W836" s="103"/>
      <c r="X836" s="97"/>
      <c r="Y836" s="97"/>
      <c r="Z836" s="97"/>
      <c r="AA836" s="100"/>
      <c r="AB836" s="134"/>
    </row>
    <row r="837" spans="1:28" ht="13.5" customHeight="1" thickBot="1" x14ac:dyDescent="0.3">
      <c r="A837" s="147"/>
      <c r="B837" s="147"/>
      <c r="C837" s="95"/>
      <c r="D837" s="125"/>
      <c r="E837" s="125"/>
      <c r="F837" s="125"/>
      <c r="G837" s="128"/>
      <c r="H837" s="104"/>
      <c r="I837" s="98"/>
      <c r="J837" s="98"/>
      <c r="K837" s="98"/>
      <c r="L837" s="101"/>
      <c r="M837" s="104"/>
      <c r="N837" s="98"/>
      <c r="O837" s="98"/>
      <c r="P837" s="98"/>
      <c r="Q837" s="101"/>
      <c r="R837" s="113"/>
      <c r="S837" s="107"/>
      <c r="T837" s="107"/>
      <c r="U837" s="107"/>
      <c r="V837" s="110"/>
      <c r="W837" s="104"/>
      <c r="X837" s="98"/>
      <c r="Y837" s="98"/>
      <c r="Z837" s="98"/>
      <c r="AA837" s="101"/>
      <c r="AB837" s="135"/>
    </row>
    <row r="838" spans="1:28" ht="13.5" customHeight="1" x14ac:dyDescent="0.25">
      <c r="A838" s="136">
        <f>ESCUADRAS!B157</f>
        <v>151</v>
      </c>
      <c r="B838" s="136">
        <f>ESCUADRAS!C157</f>
        <v>0</v>
      </c>
      <c r="C838" s="93"/>
      <c r="D838" s="123"/>
      <c r="E838" s="123"/>
      <c r="F838" s="123"/>
      <c r="G838" s="126"/>
      <c r="H838" s="102"/>
      <c r="I838" s="96"/>
      <c r="J838" s="96"/>
      <c r="K838" s="96"/>
      <c r="L838" s="99"/>
      <c r="M838" s="111"/>
      <c r="N838" s="105"/>
      <c r="O838" s="105"/>
      <c r="P838" s="105"/>
      <c r="Q838" s="108"/>
      <c r="R838" s="102"/>
      <c r="S838" s="96"/>
      <c r="T838" s="96"/>
      <c r="U838" s="96"/>
      <c r="V838" s="99"/>
      <c r="W838" s="102"/>
      <c r="X838" s="96"/>
      <c r="Y838" s="96"/>
      <c r="Z838" s="96"/>
      <c r="AA838" s="99"/>
      <c r="AB838" s="133"/>
    </row>
    <row r="839" spans="1:28" ht="14.25" customHeight="1" x14ac:dyDescent="0.25">
      <c r="A839" s="137"/>
      <c r="B839" s="137"/>
      <c r="C839" s="94"/>
      <c r="D839" s="124"/>
      <c r="E839" s="124"/>
      <c r="F839" s="124"/>
      <c r="G839" s="127"/>
      <c r="H839" s="103"/>
      <c r="I839" s="97"/>
      <c r="J839" s="97"/>
      <c r="K839" s="97"/>
      <c r="L839" s="100"/>
      <c r="M839" s="112"/>
      <c r="N839" s="106"/>
      <c r="O839" s="106"/>
      <c r="P839" s="106"/>
      <c r="Q839" s="109"/>
      <c r="R839" s="103"/>
      <c r="S839" s="97"/>
      <c r="T839" s="97"/>
      <c r="U839" s="97"/>
      <c r="V839" s="100"/>
      <c r="W839" s="103"/>
      <c r="X839" s="97"/>
      <c r="Y839" s="97"/>
      <c r="Z839" s="97"/>
      <c r="AA839" s="100"/>
      <c r="AB839" s="134"/>
    </row>
    <row r="840" spans="1:28" ht="13.5" customHeight="1" thickBot="1" x14ac:dyDescent="0.3">
      <c r="A840" s="138"/>
      <c r="B840" s="138"/>
      <c r="C840" s="95"/>
      <c r="D840" s="125"/>
      <c r="E840" s="125"/>
      <c r="F840" s="125"/>
      <c r="G840" s="128"/>
      <c r="H840" s="104"/>
      <c r="I840" s="98"/>
      <c r="J840" s="98"/>
      <c r="K840" s="98"/>
      <c r="L840" s="101"/>
      <c r="M840" s="113"/>
      <c r="N840" s="107"/>
      <c r="O840" s="107"/>
      <c r="P840" s="107"/>
      <c r="Q840" s="110"/>
      <c r="R840" s="104"/>
      <c r="S840" s="98"/>
      <c r="T840" s="98"/>
      <c r="U840" s="98"/>
      <c r="V840" s="101"/>
      <c r="W840" s="104"/>
      <c r="X840" s="98"/>
      <c r="Y840" s="98"/>
      <c r="Z840" s="98"/>
      <c r="AA840" s="101"/>
      <c r="AB840" s="135"/>
    </row>
    <row r="841" spans="1:28" ht="14.25" customHeight="1" x14ac:dyDescent="0.25">
      <c r="A841" s="136">
        <f>ESCUADRAS!B158</f>
        <v>152</v>
      </c>
      <c r="B841" s="136">
        <f>ESCUADRAS!C158</f>
        <v>0</v>
      </c>
      <c r="C841" s="93"/>
      <c r="D841" s="123"/>
      <c r="E841" s="123"/>
      <c r="F841" s="123"/>
      <c r="G841" s="126"/>
      <c r="H841" s="111"/>
      <c r="I841" s="105"/>
      <c r="J841" s="105"/>
      <c r="K841" s="105"/>
      <c r="L841" s="108"/>
      <c r="M841" s="102"/>
      <c r="N841" s="96"/>
      <c r="O841" s="96"/>
      <c r="P841" s="96"/>
      <c r="Q841" s="99"/>
      <c r="R841" s="102"/>
      <c r="S841" s="96"/>
      <c r="T841" s="96"/>
      <c r="U841" s="96"/>
      <c r="V841" s="99"/>
      <c r="W841" s="102"/>
      <c r="X841" s="96"/>
      <c r="Y841" s="96"/>
      <c r="Z841" s="96"/>
      <c r="AA841" s="99"/>
      <c r="AB841" s="133"/>
    </row>
    <row r="842" spans="1:28" ht="14.25" customHeight="1" x14ac:dyDescent="0.25">
      <c r="A842" s="137"/>
      <c r="B842" s="137"/>
      <c r="C842" s="94"/>
      <c r="D842" s="124"/>
      <c r="E842" s="124"/>
      <c r="F842" s="124"/>
      <c r="G842" s="127"/>
      <c r="H842" s="112"/>
      <c r="I842" s="106"/>
      <c r="J842" s="106"/>
      <c r="K842" s="106"/>
      <c r="L842" s="109"/>
      <c r="M842" s="103"/>
      <c r="N842" s="97"/>
      <c r="O842" s="97"/>
      <c r="P842" s="97"/>
      <c r="Q842" s="100"/>
      <c r="R842" s="103"/>
      <c r="S842" s="97"/>
      <c r="T842" s="97"/>
      <c r="U842" s="97"/>
      <c r="V842" s="100"/>
      <c r="W842" s="103"/>
      <c r="X842" s="97"/>
      <c r="Y842" s="97"/>
      <c r="Z842" s="97"/>
      <c r="AA842" s="100"/>
      <c r="AB842" s="134"/>
    </row>
    <row r="843" spans="1:28" ht="13.5" customHeight="1" thickBot="1" x14ac:dyDescent="0.3">
      <c r="A843" s="138"/>
      <c r="B843" s="138"/>
      <c r="C843" s="95"/>
      <c r="D843" s="125"/>
      <c r="E843" s="125"/>
      <c r="F843" s="125"/>
      <c r="G843" s="128"/>
      <c r="H843" s="113"/>
      <c r="I843" s="107"/>
      <c r="J843" s="107"/>
      <c r="K843" s="107"/>
      <c r="L843" s="110"/>
      <c r="M843" s="104"/>
      <c r="N843" s="98"/>
      <c r="O843" s="98"/>
      <c r="P843" s="98"/>
      <c r="Q843" s="101"/>
      <c r="R843" s="104"/>
      <c r="S843" s="98"/>
      <c r="T843" s="98"/>
      <c r="U843" s="98"/>
      <c r="V843" s="101"/>
      <c r="W843" s="104"/>
      <c r="X843" s="98"/>
      <c r="Y843" s="98"/>
      <c r="Z843" s="98"/>
      <c r="AA843" s="101"/>
      <c r="AB843" s="135"/>
    </row>
    <row r="844" spans="1:28" ht="13.5" customHeight="1" x14ac:dyDescent="0.25">
      <c r="A844" s="136">
        <f>ESCUADRAS!B159</f>
        <v>153</v>
      </c>
      <c r="B844" s="136">
        <f>ESCUADRAS!C159</f>
        <v>0</v>
      </c>
      <c r="C844" s="111"/>
      <c r="D844" s="105"/>
      <c r="E844" s="105"/>
      <c r="F844" s="105"/>
      <c r="G844" s="108"/>
      <c r="H844" s="122"/>
      <c r="I844" s="120"/>
      <c r="J844" s="120"/>
      <c r="K844" s="120"/>
      <c r="L844" s="121"/>
      <c r="M844" s="122"/>
      <c r="N844" s="120"/>
      <c r="O844" s="120"/>
      <c r="P844" s="120"/>
      <c r="Q844" s="121"/>
      <c r="R844" s="122"/>
      <c r="S844" s="120"/>
      <c r="T844" s="120"/>
      <c r="U844" s="120"/>
      <c r="V844" s="121"/>
      <c r="W844" s="122"/>
      <c r="X844" s="120"/>
      <c r="Y844" s="120"/>
      <c r="Z844" s="120"/>
      <c r="AA844" s="121"/>
      <c r="AB844" s="133"/>
    </row>
    <row r="845" spans="1:28" ht="14.25" customHeight="1" x14ac:dyDescent="0.25">
      <c r="A845" s="137"/>
      <c r="B845" s="137"/>
      <c r="C845" s="112"/>
      <c r="D845" s="106"/>
      <c r="E845" s="106"/>
      <c r="F845" s="106"/>
      <c r="G845" s="109"/>
      <c r="H845" s="103"/>
      <c r="I845" s="97"/>
      <c r="J845" s="97"/>
      <c r="K845" s="97"/>
      <c r="L845" s="100"/>
      <c r="M845" s="103"/>
      <c r="N845" s="97"/>
      <c r="O845" s="97"/>
      <c r="P845" s="97"/>
      <c r="Q845" s="100"/>
      <c r="R845" s="103"/>
      <c r="S845" s="97"/>
      <c r="T845" s="97"/>
      <c r="U845" s="97"/>
      <c r="V845" s="100"/>
      <c r="W845" s="103"/>
      <c r="X845" s="97"/>
      <c r="Y845" s="97"/>
      <c r="Z845" s="97"/>
      <c r="AA845" s="100"/>
      <c r="AB845" s="134"/>
    </row>
    <row r="846" spans="1:28" ht="13.5" customHeight="1" thickBot="1" x14ac:dyDescent="0.3">
      <c r="A846" s="138"/>
      <c r="B846" s="138"/>
      <c r="C846" s="113"/>
      <c r="D846" s="107"/>
      <c r="E846" s="107"/>
      <c r="F846" s="107"/>
      <c r="G846" s="110"/>
      <c r="H846" s="104"/>
      <c r="I846" s="98"/>
      <c r="J846" s="98"/>
      <c r="K846" s="98"/>
      <c r="L846" s="101"/>
      <c r="M846" s="104"/>
      <c r="N846" s="98"/>
      <c r="O846" s="98"/>
      <c r="P846" s="98"/>
      <c r="Q846" s="101"/>
      <c r="R846" s="104"/>
      <c r="S846" s="98"/>
      <c r="T846" s="98"/>
      <c r="U846" s="98"/>
      <c r="V846" s="101"/>
      <c r="W846" s="104"/>
      <c r="X846" s="98"/>
      <c r="Y846" s="98"/>
      <c r="Z846" s="98"/>
      <c r="AA846" s="101"/>
      <c r="AB846" s="135"/>
    </row>
    <row r="848" spans="1:28" ht="15" x14ac:dyDescent="0.25">
      <c r="A848" s="28"/>
      <c r="B848" s="26" t="s">
        <v>35</v>
      </c>
      <c r="E848" s="21" t="s">
        <v>41</v>
      </c>
      <c r="I848" s="21" t="s">
        <v>42</v>
      </c>
      <c r="M848" s="21" t="s">
        <v>43</v>
      </c>
      <c r="Q848" s="21" t="s">
        <v>44</v>
      </c>
      <c r="U848" s="21" t="s">
        <v>45</v>
      </c>
      <c r="Y848" s="21" t="s">
        <v>46</v>
      </c>
    </row>
    <row r="855" spans="1:32" ht="24.6" x14ac:dyDescent="0.25">
      <c r="A855" s="144" t="str">
        <f>'INSCRIPCION '!A$1</f>
        <v>TIRADA</v>
      </c>
      <c r="B855" s="144"/>
      <c r="C855" s="144"/>
      <c r="D855" s="144"/>
      <c r="E855" s="144"/>
      <c r="F855" s="144"/>
      <c r="G855" s="144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  <c r="AF855" s="144"/>
    </row>
    <row r="856" spans="1:32" ht="24.6" x14ac:dyDescent="0.4">
      <c r="A856" s="23"/>
      <c r="B856" s="23"/>
    </row>
    <row r="857" spans="1:32" ht="22.8" x14ac:dyDescent="0.25">
      <c r="A857" s="132" t="str">
        <f>'INSCRIPCION '!A$2</f>
        <v>CAMPO DE TIRO LA ISLA</v>
      </c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32"/>
      <c r="N857" s="132"/>
      <c r="O857" s="132"/>
      <c r="P857" s="132"/>
      <c r="Q857" s="132"/>
      <c r="R857" s="132"/>
      <c r="S857" s="132"/>
      <c r="T857" s="132"/>
      <c r="U857" s="132"/>
      <c r="V857" s="132"/>
      <c r="W857" s="132"/>
      <c r="X857" s="132"/>
      <c r="Y857" s="132"/>
      <c r="Z857" s="132"/>
      <c r="AA857" s="132"/>
      <c r="AB857" s="132"/>
      <c r="AC857" s="132"/>
      <c r="AD857" s="132"/>
      <c r="AE857" s="132"/>
      <c r="AF857" s="132"/>
    </row>
    <row r="858" spans="1:32" ht="20.399999999999999" x14ac:dyDescent="0.25">
      <c r="A858" s="143" t="str">
        <f>'INSCRIPCION '!A$3</f>
        <v>XXX PLATOS</v>
      </c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  <c r="AA858" s="143"/>
      <c r="AB858" s="143"/>
      <c r="AC858" s="143"/>
      <c r="AD858" s="143"/>
      <c r="AE858" s="143"/>
      <c r="AF858" s="143"/>
    </row>
    <row r="859" spans="1:32" ht="22.8" x14ac:dyDescent="0.4">
      <c r="A859" s="24"/>
      <c r="B859" s="24"/>
    </row>
    <row r="860" spans="1:32" ht="17.399999999999999" x14ac:dyDescent="0.3">
      <c r="A860" s="25" t="s">
        <v>37</v>
      </c>
      <c r="B860" s="25"/>
      <c r="J860" s="9" t="s">
        <v>6</v>
      </c>
      <c r="K860" s="9"/>
      <c r="L860" s="9"/>
      <c r="M860" s="9"/>
      <c r="N860" s="9"/>
      <c r="O860" s="22">
        <v>2</v>
      </c>
      <c r="P860" s="22"/>
      <c r="Q860" s="8"/>
      <c r="R860" s="8"/>
      <c r="S860" s="7"/>
      <c r="T860" s="8"/>
      <c r="U860" s="8"/>
      <c r="V860" s="9" t="s">
        <v>7</v>
      </c>
      <c r="W860" s="9"/>
      <c r="X860" s="9"/>
      <c r="Y860" s="9"/>
      <c r="Z860" s="22">
        <v>4</v>
      </c>
      <c r="AA860" s="22"/>
    </row>
    <row r="861" spans="1:32" ht="13.8" thickBot="1" x14ac:dyDescent="0.3"/>
    <row r="862" spans="1:32" ht="15.6" thickBot="1" x14ac:dyDescent="0.3">
      <c r="A862" s="27" t="s">
        <v>0</v>
      </c>
      <c r="B862" s="27" t="s">
        <v>8</v>
      </c>
      <c r="C862" s="47">
        <v>1</v>
      </c>
      <c r="D862" s="48">
        <v>2</v>
      </c>
      <c r="E862" s="48">
        <v>3</v>
      </c>
      <c r="F862" s="48">
        <v>4</v>
      </c>
      <c r="G862" s="49">
        <v>5</v>
      </c>
      <c r="H862" s="47">
        <v>6</v>
      </c>
      <c r="I862" s="48">
        <v>7</v>
      </c>
      <c r="J862" s="48">
        <v>8</v>
      </c>
      <c r="K862" s="48">
        <v>9</v>
      </c>
      <c r="L862" s="49">
        <v>10</v>
      </c>
      <c r="M862" s="47">
        <v>11</v>
      </c>
      <c r="N862" s="48">
        <v>12</v>
      </c>
      <c r="O862" s="48">
        <v>13</v>
      </c>
      <c r="P862" s="48">
        <v>14</v>
      </c>
      <c r="Q862" s="49">
        <v>15</v>
      </c>
      <c r="R862" s="47">
        <v>16</v>
      </c>
      <c r="S862" s="48">
        <v>17</v>
      </c>
      <c r="T862" s="48">
        <v>18</v>
      </c>
      <c r="U862" s="48">
        <v>19</v>
      </c>
      <c r="V862" s="49">
        <v>20</v>
      </c>
      <c r="W862" s="47">
        <v>21</v>
      </c>
      <c r="X862" s="48">
        <v>22</v>
      </c>
      <c r="Y862" s="48">
        <v>23</v>
      </c>
      <c r="Z862" s="48">
        <v>24</v>
      </c>
      <c r="AA862" s="49">
        <v>25</v>
      </c>
      <c r="AB862" s="30" t="s">
        <v>1</v>
      </c>
    </row>
    <row r="863" spans="1:32" ht="14.25" customHeight="1" x14ac:dyDescent="0.25">
      <c r="A863" s="136">
        <f>ESCUADRAS!B166</f>
        <v>160</v>
      </c>
      <c r="B863" s="136">
        <f>ESCUADRAS!C166</f>
        <v>0</v>
      </c>
      <c r="C863" s="129"/>
      <c r="D863" s="114"/>
      <c r="E863" s="114"/>
      <c r="F863" s="114"/>
      <c r="G863" s="117"/>
      <c r="H863" s="111"/>
      <c r="I863" s="105"/>
      <c r="J863" s="105"/>
      <c r="K863" s="105"/>
      <c r="L863" s="108"/>
      <c r="M863" s="111"/>
      <c r="N863" s="105"/>
      <c r="O863" s="105"/>
      <c r="P863" s="105"/>
      <c r="Q863" s="108"/>
      <c r="R863" s="111"/>
      <c r="S863" s="105"/>
      <c r="T863" s="105"/>
      <c r="U863" s="105"/>
      <c r="V863" s="108"/>
      <c r="W863" s="111"/>
      <c r="X863" s="105"/>
      <c r="Y863" s="105"/>
      <c r="Z863" s="105"/>
      <c r="AA863" s="108"/>
      <c r="AB863" s="133"/>
    </row>
    <row r="864" spans="1:32" ht="13.95" customHeight="1" x14ac:dyDescent="0.25">
      <c r="A864" s="137"/>
      <c r="B864" s="137"/>
      <c r="C864" s="130"/>
      <c r="D864" s="115"/>
      <c r="E864" s="115"/>
      <c r="F864" s="115"/>
      <c r="G864" s="118"/>
      <c r="H864" s="112"/>
      <c r="I864" s="106"/>
      <c r="J864" s="106"/>
      <c r="K864" s="106"/>
      <c r="L864" s="109"/>
      <c r="M864" s="112"/>
      <c r="N864" s="106"/>
      <c r="O864" s="106"/>
      <c r="P864" s="106"/>
      <c r="Q864" s="109"/>
      <c r="R864" s="112"/>
      <c r="S864" s="106"/>
      <c r="T864" s="106"/>
      <c r="U864" s="106"/>
      <c r="V864" s="109"/>
      <c r="W864" s="112"/>
      <c r="X864" s="106"/>
      <c r="Y864" s="106"/>
      <c r="Z864" s="106"/>
      <c r="AA864" s="109"/>
      <c r="AB864" s="134"/>
    </row>
    <row r="865" spans="1:28" ht="13.95" customHeight="1" thickBot="1" x14ac:dyDescent="0.3">
      <c r="A865" s="138"/>
      <c r="B865" s="138"/>
      <c r="C865" s="131"/>
      <c r="D865" s="116"/>
      <c r="E865" s="116"/>
      <c r="F865" s="116"/>
      <c r="G865" s="119"/>
      <c r="H865" s="113"/>
      <c r="I865" s="107"/>
      <c r="J865" s="107"/>
      <c r="K865" s="107"/>
      <c r="L865" s="110"/>
      <c r="M865" s="113"/>
      <c r="N865" s="107"/>
      <c r="O865" s="107"/>
      <c r="P865" s="107"/>
      <c r="Q865" s="110"/>
      <c r="R865" s="113"/>
      <c r="S865" s="107"/>
      <c r="T865" s="107"/>
      <c r="U865" s="107"/>
      <c r="V865" s="110"/>
      <c r="W865" s="113"/>
      <c r="X865" s="107"/>
      <c r="Y865" s="107"/>
      <c r="Z865" s="107"/>
      <c r="AA865" s="110"/>
      <c r="AB865" s="135"/>
    </row>
    <row r="866" spans="1:28" ht="14.25" customHeight="1" x14ac:dyDescent="0.25">
      <c r="A866" s="136">
        <f>ESCUADRAS!B167</f>
        <v>161</v>
      </c>
      <c r="B866" s="136">
        <f>ESCUADRAS!C167</f>
        <v>0</v>
      </c>
      <c r="C866" s="93"/>
      <c r="D866" s="123"/>
      <c r="E866" s="123"/>
      <c r="F866" s="123"/>
      <c r="G866" s="126"/>
      <c r="H866" s="102"/>
      <c r="I866" s="96"/>
      <c r="J866" s="96"/>
      <c r="K866" s="96"/>
      <c r="L866" s="99"/>
      <c r="M866" s="102"/>
      <c r="N866" s="96"/>
      <c r="O866" s="96"/>
      <c r="P866" s="96"/>
      <c r="Q866" s="99"/>
      <c r="R866" s="102"/>
      <c r="S866" s="96"/>
      <c r="T866" s="96"/>
      <c r="U866" s="96"/>
      <c r="V866" s="99"/>
      <c r="W866" s="111"/>
      <c r="X866" s="105"/>
      <c r="Y866" s="105"/>
      <c r="Z866" s="105"/>
      <c r="AA866" s="108"/>
      <c r="AB866" s="133"/>
    </row>
    <row r="867" spans="1:28" ht="13.95" customHeight="1" x14ac:dyDescent="0.25">
      <c r="A867" s="137"/>
      <c r="B867" s="137"/>
      <c r="C867" s="94"/>
      <c r="D867" s="124"/>
      <c r="E867" s="124"/>
      <c r="F867" s="124"/>
      <c r="G867" s="127"/>
      <c r="H867" s="103"/>
      <c r="I867" s="97"/>
      <c r="J867" s="97"/>
      <c r="K867" s="97"/>
      <c r="L867" s="100"/>
      <c r="M867" s="103"/>
      <c r="N867" s="97"/>
      <c r="O867" s="97"/>
      <c r="P867" s="97"/>
      <c r="Q867" s="100"/>
      <c r="R867" s="103"/>
      <c r="S867" s="97"/>
      <c r="T867" s="97"/>
      <c r="U867" s="97"/>
      <c r="V867" s="100"/>
      <c r="W867" s="112"/>
      <c r="X867" s="106"/>
      <c r="Y867" s="106"/>
      <c r="Z867" s="106"/>
      <c r="AA867" s="109"/>
      <c r="AB867" s="134"/>
    </row>
    <row r="868" spans="1:28" ht="13.95" customHeight="1" thickBot="1" x14ac:dyDescent="0.3">
      <c r="A868" s="138"/>
      <c r="B868" s="138"/>
      <c r="C868" s="95"/>
      <c r="D868" s="125"/>
      <c r="E868" s="125"/>
      <c r="F868" s="125"/>
      <c r="G868" s="128"/>
      <c r="H868" s="104"/>
      <c r="I868" s="98"/>
      <c r="J868" s="98"/>
      <c r="K868" s="98"/>
      <c r="L868" s="101"/>
      <c r="M868" s="104"/>
      <c r="N868" s="98"/>
      <c r="O868" s="98"/>
      <c r="P868" s="98"/>
      <c r="Q868" s="101"/>
      <c r="R868" s="104"/>
      <c r="S868" s="98"/>
      <c r="T868" s="98"/>
      <c r="U868" s="98"/>
      <c r="V868" s="101"/>
      <c r="W868" s="113"/>
      <c r="X868" s="107"/>
      <c r="Y868" s="107"/>
      <c r="Z868" s="107"/>
      <c r="AA868" s="110"/>
      <c r="AB868" s="135"/>
    </row>
    <row r="869" spans="1:28" ht="14.25" customHeight="1" x14ac:dyDescent="0.25">
      <c r="A869" s="136">
        <f>ESCUADRAS!B168</f>
        <v>162</v>
      </c>
      <c r="B869" s="136">
        <f>ESCUADRAS!C168</f>
        <v>0</v>
      </c>
      <c r="C869" s="93"/>
      <c r="D869" s="123"/>
      <c r="E869" s="123"/>
      <c r="F869" s="123"/>
      <c r="G869" s="126"/>
      <c r="H869" s="102"/>
      <c r="I869" s="96"/>
      <c r="J869" s="96"/>
      <c r="K869" s="96"/>
      <c r="L869" s="99"/>
      <c r="M869" s="102"/>
      <c r="N869" s="96"/>
      <c r="O869" s="96"/>
      <c r="P869" s="96"/>
      <c r="Q869" s="99"/>
      <c r="R869" s="111"/>
      <c r="S869" s="105"/>
      <c r="T869" s="105"/>
      <c r="U869" s="105"/>
      <c r="V869" s="108"/>
      <c r="W869" s="102"/>
      <c r="X869" s="96"/>
      <c r="Y869" s="96"/>
      <c r="Z869" s="96"/>
      <c r="AA869" s="99"/>
      <c r="AB869" s="133"/>
    </row>
    <row r="870" spans="1:28" ht="14.25" customHeight="1" x14ac:dyDescent="0.25">
      <c r="A870" s="137"/>
      <c r="B870" s="137"/>
      <c r="C870" s="94"/>
      <c r="D870" s="124"/>
      <c r="E870" s="124"/>
      <c r="F870" s="124"/>
      <c r="G870" s="127"/>
      <c r="H870" s="103"/>
      <c r="I870" s="97"/>
      <c r="J870" s="97"/>
      <c r="K870" s="97"/>
      <c r="L870" s="100"/>
      <c r="M870" s="103"/>
      <c r="N870" s="97"/>
      <c r="O870" s="97"/>
      <c r="P870" s="97"/>
      <c r="Q870" s="100"/>
      <c r="R870" s="112"/>
      <c r="S870" s="106"/>
      <c r="T870" s="106"/>
      <c r="U870" s="106"/>
      <c r="V870" s="109"/>
      <c r="W870" s="103"/>
      <c r="X870" s="97"/>
      <c r="Y870" s="97"/>
      <c r="Z870" s="97"/>
      <c r="AA870" s="100"/>
      <c r="AB870" s="134"/>
    </row>
    <row r="871" spans="1:28" ht="13.5" customHeight="1" thickBot="1" x14ac:dyDescent="0.3">
      <c r="A871" s="138"/>
      <c r="B871" s="138"/>
      <c r="C871" s="95"/>
      <c r="D871" s="125"/>
      <c r="E871" s="125"/>
      <c r="F871" s="125"/>
      <c r="G871" s="128"/>
      <c r="H871" s="104"/>
      <c r="I871" s="98"/>
      <c r="J871" s="98"/>
      <c r="K871" s="98"/>
      <c r="L871" s="101"/>
      <c r="M871" s="104"/>
      <c r="N871" s="98"/>
      <c r="O871" s="98"/>
      <c r="P871" s="98"/>
      <c r="Q871" s="101"/>
      <c r="R871" s="113"/>
      <c r="S871" s="107"/>
      <c r="T871" s="107"/>
      <c r="U871" s="107"/>
      <c r="V871" s="110"/>
      <c r="W871" s="104"/>
      <c r="X871" s="98"/>
      <c r="Y871" s="98"/>
      <c r="Z871" s="98"/>
      <c r="AA871" s="101"/>
      <c r="AB871" s="135"/>
    </row>
    <row r="872" spans="1:28" ht="13.5" customHeight="1" x14ac:dyDescent="0.25">
      <c r="A872" s="136">
        <f>ESCUADRAS!B163</f>
        <v>157</v>
      </c>
      <c r="B872" s="136">
        <f>ESCUADRAS!C163</f>
        <v>0</v>
      </c>
      <c r="C872" s="93"/>
      <c r="D872" s="123"/>
      <c r="E872" s="123"/>
      <c r="F872" s="123"/>
      <c r="G872" s="126"/>
      <c r="H872" s="102"/>
      <c r="I872" s="96"/>
      <c r="J872" s="96"/>
      <c r="K872" s="96"/>
      <c r="L872" s="99"/>
      <c r="M872" s="111"/>
      <c r="N872" s="105"/>
      <c r="O872" s="105"/>
      <c r="P872" s="105"/>
      <c r="Q872" s="108"/>
      <c r="R872" s="102"/>
      <c r="S872" s="96"/>
      <c r="T872" s="96"/>
      <c r="U872" s="96"/>
      <c r="V872" s="99"/>
      <c r="W872" s="102"/>
      <c r="X872" s="96"/>
      <c r="Y872" s="96"/>
      <c r="Z872" s="96"/>
      <c r="AA872" s="99"/>
      <c r="AB872" s="133"/>
    </row>
    <row r="873" spans="1:28" ht="14.25" customHeight="1" x14ac:dyDescent="0.25">
      <c r="A873" s="137"/>
      <c r="B873" s="137"/>
      <c r="C873" s="94"/>
      <c r="D873" s="124"/>
      <c r="E873" s="124"/>
      <c r="F873" s="124"/>
      <c r="G873" s="127"/>
      <c r="H873" s="103"/>
      <c r="I873" s="97"/>
      <c r="J873" s="97"/>
      <c r="K873" s="97"/>
      <c r="L873" s="100"/>
      <c r="M873" s="112"/>
      <c r="N873" s="106"/>
      <c r="O873" s="106"/>
      <c r="P873" s="106"/>
      <c r="Q873" s="109"/>
      <c r="R873" s="103"/>
      <c r="S873" s="97"/>
      <c r="T873" s="97"/>
      <c r="U873" s="97"/>
      <c r="V873" s="100"/>
      <c r="W873" s="103"/>
      <c r="X873" s="97"/>
      <c r="Y873" s="97"/>
      <c r="Z873" s="97"/>
      <c r="AA873" s="100"/>
      <c r="AB873" s="134"/>
    </row>
    <row r="874" spans="1:28" ht="13.5" customHeight="1" thickBot="1" x14ac:dyDescent="0.3">
      <c r="A874" s="138"/>
      <c r="B874" s="138"/>
      <c r="C874" s="95"/>
      <c r="D874" s="125"/>
      <c r="E874" s="125"/>
      <c r="F874" s="125"/>
      <c r="G874" s="128"/>
      <c r="H874" s="104"/>
      <c r="I874" s="98"/>
      <c r="J874" s="98"/>
      <c r="K874" s="98"/>
      <c r="L874" s="101"/>
      <c r="M874" s="113"/>
      <c r="N874" s="107"/>
      <c r="O874" s="107"/>
      <c r="P874" s="107"/>
      <c r="Q874" s="110"/>
      <c r="R874" s="104"/>
      <c r="S874" s="98"/>
      <c r="T874" s="98"/>
      <c r="U874" s="98"/>
      <c r="V874" s="101"/>
      <c r="W874" s="104"/>
      <c r="X874" s="98"/>
      <c r="Y874" s="98"/>
      <c r="Z874" s="98"/>
      <c r="AA874" s="101"/>
      <c r="AB874" s="135"/>
    </row>
    <row r="875" spans="1:28" ht="14.25" customHeight="1" x14ac:dyDescent="0.25">
      <c r="A875" s="136">
        <f>ESCUADRAS!B164</f>
        <v>158</v>
      </c>
      <c r="B875" s="136">
        <f>ESCUADRAS!C164</f>
        <v>0</v>
      </c>
      <c r="C875" s="93"/>
      <c r="D875" s="123"/>
      <c r="E875" s="123"/>
      <c r="F875" s="123"/>
      <c r="G875" s="126"/>
      <c r="H875" s="111"/>
      <c r="I875" s="105"/>
      <c r="J875" s="105"/>
      <c r="K875" s="105"/>
      <c r="L875" s="108"/>
      <c r="M875" s="102"/>
      <c r="N875" s="96"/>
      <c r="O875" s="96"/>
      <c r="P875" s="96"/>
      <c r="Q875" s="99"/>
      <c r="R875" s="102"/>
      <c r="S875" s="96"/>
      <c r="T875" s="96"/>
      <c r="U875" s="96"/>
      <c r="V875" s="99"/>
      <c r="W875" s="102"/>
      <c r="X875" s="96"/>
      <c r="Y875" s="96"/>
      <c r="Z875" s="96"/>
      <c r="AA875" s="99"/>
      <c r="AB875" s="133"/>
    </row>
    <row r="876" spans="1:28" ht="14.25" customHeight="1" x14ac:dyDescent="0.25">
      <c r="A876" s="137"/>
      <c r="B876" s="137"/>
      <c r="C876" s="94"/>
      <c r="D876" s="124"/>
      <c r="E876" s="124"/>
      <c r="F876" s="124"/>
      <c r="G876" s="127"/>
      <c r="H876" s="112"/>
      <c r="I876" s="106"/>
      <c r="J876" s="106"/>
      <c r="K876" s="106"/>
      <c r="L876" s="109"/>
      <c r="M876" s="103"/>
      <c r="N876" s="97"/>
      <c r="O876" s="97"/>
      <c r="P876" s="97"/>
      <c r="Q876" s="100"/>
      <c r="R876" s="103"/>
      <c r="S876" s="97"/>
      <c r="T876" s="97"/>
      <c r="U876" s="97"/>
      <c r="V876" s="100"/>
      <c r="W876" s="103"/>
      <c r="X876" s="97"/>
      <c r="Y876" s="97"/>
      <c r="Z876" s="97"/>
      <c r="AA876" s="100"/>
      <c r="AB876" s="134"/>
    </row>
    <row r="877" spans="1:28" ht="13.5" customHeight="1" thickBot="1" x14ac:dyDescent="0.3">
      <c r="A877" s="138"/>
      <c r="B877" s="138"/>
      <c r="C877" s="95"/>
      <c r="D877" s="125"/>
      <c r="E877" s="125"/>
      <c r="F877" s="125"/>
      <c r="G877" s="128"/>
      <c r="H877" s="113"/>
      <c r="I877" s="107"/>
      <c r="J877" s="107"/>
      <c r="K877" s="107"/>
      <c r="L877" s="110"/>
      <c r="M877" s="104"/>
      <c r="N877" s="98"/>
      <c r="O877" s="98"/>
      <c r="P877" s="98"/>
      <c r="Q877" s="101"/>
      <c r="R877" s="104"/>
      <c r="S877" s="98"/>
      <c r="T877" s="98"/>
      <c r="U877" s="98"/>
      <c r="V877" s="101"/>
      <c r="W877" s="104"/>
      <c r="X877" s="98"/>
      <c r="Y877" s="98"/>
      <c r="Z877" s="98"/>
      <c r="AA877" s="101"/>
      <c r="AB877" s="135"/>
    </row>
    <row r="878" spans="1:28" ht="13.5" customHeight="1" x14ac:dyDescent="0.25">
      <c r="A878" s="136">
        <f>ESCUADRAS!B165</f>
        <v>159</v>
      </c>
      <c r="B878" s="136">
        <f>ESCUADRAS!C165</f>
        <v>0</v>
      </c>
      <c r="C878" s="111"/>
      <c r="D878" s="105"/>
      <c r="E878" s="105"/>
      <c r="F878" s="105"/>
      <c r="G878" s="108"/>
      <c r="H878" s="122"/>
      <c r="I878" s="120"/>
      <c r="J878" s="120"/>
      <c r="K878" s="120"/>
      <c r="L878" s="121"/>
      <c r="M878" s="122"/>
      <c r="N878" s="120"/>
      <c r="O878" s="120"/>
      <c r="P878" s="120"/>
      <c r="Q878" s="121"/>
      <c r="R878" s="122"/>
      <c r="S878" s="120"/>
      <c r="T878" s="120"/>
      <c r="U878" s="120"/>
      <c r="V878" s="121"/>
      <c r="W878" s="122"/>
      <c r="X878" s="120"/>
      <c r="Y878" s="120"/>
      <c r="Z878" s="120"/>
      <c r="AA878" s="121"/>
      <c r="AB878" s="133"/>
    </row>
    <row r="879" spans="1:28" ht="14.25" customHeight="1" x14ac:dyDescent="0.25">
      <c r="A879" s="137"/>
      <c r="B879" s="137"/>
      <c r="C879" s="112"/>
      <c r="D879" s="106"/>
      <c r="E879" s="106"/>
      <c r="F879" s="106"/>
      <c r="G879" s="109"/>
      <c r="H879" s="103"/>
      <c r="I879" s="97"/>
      <c r="J879" s="97"/>
      <c r="K879" s="97"/>
      <c r="L879" s="100"/>
      <c r="M879" s="103"/>
      <c r="N879" s="97"/>
      <c r="O879" s="97"/>
      <c r="P879" s="97"/>
      <c r="Q879" s="100"/>
      <c r="R879" s="103"/>
      <c r="S879" s="97"/>
      <c r="T879" s="97"/>
      <c r="U879" s="97"/>
      <c r="V879" s="100"/>
      <c r="W879" s="103"/>
      <c r="X879" s="97"/>
      <c r="Y879" s="97"/>
      <c r="Z879" s="97"/>
      <c r="AA879" s="100"/>
      <c r="AB879" s="134"/>
    </row>
    <row r="880" spans="1:28" ht="13.5" customHeight="1" thickBot="1" x14ac:dyDescent="0.3">
      <c r="A880" s="138"/>
      <c r="B880" s="138"/>
      <c r="C880" s="113"/>
      <c r="D880" s="107"/>
      <c r="E880" s="107"/>
      <c r="F880" s="107"/>
      <c r="G880" s="110"/>
      <c r="H880" s="104"/>
      <c r="I880" s="98"/>
      <c r="J880" s="98"/>
      <c r="K880" s="98"/>
      <c r="L880" s="101"/>
      <c r="M880" s="104"/>
      <c r="N880" s="98"/>
      <c r="O880" s="98"/>
      <c r="P880" s="98"/>
      <c r="Q880" s="101"/>
      <c r="R880" s="104"/>
      <c r="S880" s="98"/>
      <c r="T880" s="98"/>
      <c r="U880" s="98"/>
      <c r="V880" s="101"/>
      <c r="W880" s="104"/>
      <c r="X880" s="98"/>
      <c r="Y880" s="98"/>
      <c r="Z880" s="98"/>
      <c r="AA880" s="101"/>
      <c r="AB880" s="135"/>
    </row>
    <row r="882" spans="1:32" ht="15" x14ac:dyDescent="0.25">
      <c r="A882" s="28"/>
      <c r="B882" s="26" t="s">
        <v>35</v>
      </c>
      <c r="E882" s="21" t="s">
        <v>41</v>
      </c>
      <c r="I882" s="21" t="s">
        <v>42</v>
      </c>
      <c r="M882" s="21" t="s">
        <v>43</v>
      </c>
      <c r="Q882" s="21" t="s">
        <v>44</v>
      </c>
      <c r="U882" s="21" t="s">
        <v>45</v>
      </c>
      <c r="Y882" s="21" t="s">
        <v>46</v>
      </c>
    </row>
    <row r="889" spans="1:32" ht="24.6" x14ac:dyDescent="0.25">
      <c r="A889" s="144" t="str">
        <f>'INSCRIPCION '!A$1</f>
        <v>TIRADA</v>
      </c>
      <c r="B889" s="144"/>
      <c r="C889" s="144"/>
      <c r="D889" s="144"/>
      <c r="E889" s="144"/>
      <c r="F889" s="144"/>
      <c r="G889" s="144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  <c r="AF889" s="144"/>
    </row>
    <row r="890" spans="1:32" ht="24.6" x14ac:dyDescent="0.4">
      <c r="A890" s="23"/>
      <c r="B890" s="23"/>
    </row>
    <row r="891" spans="1:32" ht="22.8" x14ac:dyDescent="0.25">
      <c r="A891" s="132" t="str">
        <f>'INSCRIPCION '!A$2</f>
        <v>CAMPO DE TIRO LA ISLA</v>
      </c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32"/>
      <c r="N891" s="132"/>
      <c r="O891" s="132"/>
      <c r="P891" s="132"/>
      <c r="Q891" s="132"/>
      <c r="R891" s="132"/>
      <c r="S891" s="132"/>
      <c r="T891" s="132"/>
      <c r="U891" s="132"/>
      <c r="V891" s="132"/>
      <c r="W891" s="132"/>
      <c r="X891" s="132"/>
      <c r="Y891" s="132"/>
      <c r="Z891" s="132"/>
      <c r="AA891" s="132"/>
      <c r="AB891" s="132"/>
      <c r="AC891" s="132"/>
      <c r="AD891" s="132"/>
      <c r="AE891" s="132"/>
      <c r="AF891" s="132"/>
    </row>
    <row r="892" spans="1:32" ht="20.399999999999999" x14ac:dyDescent="0.25">
      <c r="A892" s="143" t="str">
        <f>'INSCRIPCION '!A$3</f>
        <v>XXX PLATOS</v>
      </c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  <c r="AA892" s="143"/>
      <c r="AB892" s="143"/>
      <c r="AC892" s="143"/>
      <c r="AD892" s="143"/>
      <c r="AE892" s="143"/>
      <c r="AF892" s="143"/>
    </row>
    <row r="893" spans="1:32" ht="22.8" x14ac:dyDescent="0.4">
      <c r="A893" s="24"/>
      <c r="B893" s="24"/>
    </row>
    <row r="894" spans="1:32" ht="17.399999999999999" x14ac:dyDescent="0.3">
      <c r="A894" s="25" t="s">
        <v>38</v>
      </c>
      <c r="B894" s="25"/>
      <c r="J894" s="9" t="s">
        <v>6</v>
      </c>
      <c r="K894" s="9"/>
      <c r="L894" s="9"/>
      <c r="M894" s="9"/>
      <c r="N894" s="9"/>
      <c r="O894" s="22">
        <v>3</v>
      </c>
      <c r="P894" s="22"/>
      <c r="Q894" s="8"/>
      <c r="R894" s="8"/>
      <c r="S894" s="7"/>
      <c r="T894" s="8"/>
      <c r="U894" s="8"/>
      <c r="V894" s="9" t="s">
        <v>7</v>
      </c>
      <c r="W894" s="9"/>
      <c r="X894" s="9"/>
      <c r="Y894" s="9"/>
      <c r="Z894" s="22">
        <v>4</v>
      </c>
      <c r="AA894" s="22"/>
    </row>
    <row r="895" spans="1:32" ht="13.8" thickBot="1" x14ac:dyDescent="0.3"/>
    <row r="896" spans="1:32" ht="15.6" thickBot="1" x14ac:dyDescent="0.3">
      <c r="A896" s="27" t="s">
        <v>0</v>
      </c>
      <c r="B896" s="27" t="s">
        <v>8</v>
      </c>
      <c r="C896" s="47">
        <v>1</v>
      </c>
      <c r="D896" s="48">
        <v>2</v>
      </c>
      <c r="E896" s="48">
        <v>3</v>
      </c>
      <c r="F896" s="48">
        <v>4</v>
      </c>
      <c r="G896" s="49">
        <v>5</v>
      </c>
      <c r="H896" s="47">
        <v>6</v>
      </c>
      <c r="I896" s="48">
        <v>7</v>
      </c>
      <c r="J896" s="48">
        <v>8</v>
      </c>
      <c r="K896" s="48">
        <v>9</v>
      </c>
      <c r="L896" s="49">
        <v>10</v>
      </c>
      <c r="M896" s="47">
        <v>11</v>
      </c>
      <c r="N896" s="48">
        <v>12</v>
      </c>
      <c r="O896" s="48">
        <v>13</v>
      </c>
      <c r="P896" s="48">
        <v>14</v>
      </c>
      <c r="Q896" s="49">
        <v>15</v>
      </c>
      <c r="R896" s="47">
        <v>16</v>
      </c>
      <c r="S896" s="48">
        <v>17</v>
      </c>
      <c r="T896" s="48">
        <v>18</v>
      </c>
      <c r="U896" s="48">
        <v>19</v>
      </c>
      <c r="V896" s="49">
        <v>20</v>
      </c>
      <c r="W896" s="47">
        <v>21</v>
      </c>
      <c r="X896" s="48">
        <v>22</v>
      </c>
      <c r="Y896" s="48">
        <v>23</v>
      </c>
      <c r="Z896" s="48">
        <v>24</v>
      </c>
      <c r="AA896" s="49">
        <v>25</v>
      </c>
      <c r="AB896" s="30" t="s">
        <v>1</v>
      </c>
    </row>
    <row r="897" spans="1:28" ht="14.25" customHeight="1" x14ac:dyDescent="0.25">
      <c r="A897" s="136">
        <f>ESCUADRAS!B172</f>
        <v>166</v>
      </c>
      <c r="B897" s="136">
        <f>ESCUADRAS!C172</f>
        <v>0</v>
      </c>
      <c r="C897" s="129"/>
      <c r="D897" s="114"/>
      <c r="E897" s="114"/>
      <c r="F897" s="114"/>
      <c r="G897" s="117"/>
      <c r="H897" s="111"/>
      <c r="I897" s="105"/>
      <c r="J897" s="105"/>
      <c r="K897" s="105"/>
      <c r="L897" s="108"/>
      <c r="M897" s="111"/>
      <c r="N897" s="105"/>
      <c r="O897" s="105"/>
      <c r="P897" s="105"/>
      <c r="Q897" s="108"/>
      <c r="R897" s="111"/>
      <c r="S897" s="105"/>
      <c r="T897" s="105"/>
      <c r="U897" s="105"/>
      <c r="V897" s="108"/>
      <c r="W897" s="111"/>
      <c r="X897" s="105"/>
      <c r="Y897" s="105"/>
      <c r="Z897" s="105"/>
      <c r="AA897" s="108"/>
      <c r="AB897" s="133"/>
    </row>
    <row r="898" spans="1:28" ht="13.95" customHeight="1" x14ac:dyDescent="0.25">
      <c r="A898" s="137"/>
      <c r="B898" s="137"/>
      <c r="C898" s="130"/>
      <c r="D898" s="115"/>
      <c r="E898" s="115"/>
      <c r="F898" s="115"/>
      <c r="G898" s="118"/>
      <c r="H898" s="112"/>
      <c r="I898" s="106"/>
      <c r="J898" s="106"/>
      <c r="K898" s="106"/>
      <c r="L898" s="109"/>
      <c r="M898" s="112"/>
      <c r="N898" s="106"/>
      <c r="O898" s="106"/>
      <c r="P898" s="106"/>
      <c r="Q898" s="109"/>
      <c r="R898" s="112"/>
      <c r="S898" s="106"/>
      <c r="T898" s="106"/>
      <c r="U898" s="106"/>
      <c r="V898" s="109"/>
      <c r="W898" s="112"/>
      <c r="X898" s="106"/>
      <c r="Y898" s="106"/>
      <c r="Z898" s="106"/>
      <c r="AA898" s="109"/>
      <c r="AB898" s="134"/>
    </row>
    <row r="899" spans="1:28" ht="13.95" customHeight="1" thickBot="1" x14ac:dyDescent="0.3">
      <c r="A899" s="138"/>
      <c r="B899" s="138"/>
      <c r="C899" s="131"/>
      <c r="D899" s="116"/>
      <c r="E899" s="116"/>
      <c r="F899" s="116"/>
      <c r="G899" s="119"/>
      <c r="H899" s="113"/>
      <c r="I899" s="107"/>
      <c r="J899" s="107"/>
      <c r="K899" s="107"/>
      <c r="L899" s="110"/>
      <c r="M899" s="113"/>
      <c r="N899" s="107"/>
      <c r="O899" s="107"/>
      <c r="P899" s="107"/>
      <c r="Q899" s="110"/>
      <c r="R899" s="113"/>
      <c r="S899" s="107"/>
      <c r="T899" s="107"/>
      <c r="U899" s="107"/>
      <c r="V899" s="110"/>
      <c r="W899" s="113"/>
      <c r="X899" s="107"/>
      <c r="Y899" s="107"/>
      <c r="Z899" s="107"/>
      <c r="AA899" s="110"/>
      <c r="AB899" s="135"/>
    </row>
    <row r="900" spans="1:28" ht="14.25" customHeight="1" x14ac:dyDescent="0.25">
      <c r="A900" s="136">
        <f>ESCUADRAS!B173</f>
        <v>167</v>
      </c>
      <c r="B900" s="136">
        <f>ESCUADRAS!C173</f>
        <v>0</v>
      </c>
      <c r="C900" s="93"/>
      <c r="D900" s="123"/>
      <c r="E900" s="123"/>
      <c r="F900" s="123"/>
      <c r="G900" s="126"/>
      <c r="H900" s="102"/>
      <c r="I900" s="96"/>
      <c r="J900" s="96"/>
      <c r="K900" s="96"/>
      <c r="L900" s="99"/>
      <c r="M900" s="102"/>
      <c r="N900" s="96"/>
      <c r="O900" s="96"/>
      <c r="P900" s="96"/>
      <c r="Q900" s="99"/>
      <c r="R900" s="102"/>
      <c r="S900" s="96"/>
      <c r="T900" s="96"/>
      <c r="U900" s="96"/>
      <c r="V900" s="99"/>
      <c r="W900" s="111"/>
      <c r="X900" s="105"/>
      <c r="Y900" s="105"/>
      <c r="Z900" s="105"/>
      <c r="AA900" s="108"/>
      <c r="AB900" s="133"/>
    </row>
    <row r="901" spans="1:28" ht="13.95" customHeight="1" x14ac:dyDescent="0.25">
      <c r="A901" s="137"/>
      <c r="B901" s="137"/>
      <c r="C901" s="94"/>
      <c r="D901" s="124"/>
      <c r="E901" s="124"/>
      <c r="F901" s="124"/>
      <c r="G901" s="127"/>
      <c r="H901" s="103"/>
      <c r="I901" s="97"/>
      <c r="J901" s="97"/>
      <c r="K901" s="97"/>
      <c r="L901" s="100"/>
      <c r="M901" s="103"/>
      <c r="N901" s="97"/>
      <c r="O901" s="97"/>
      <c r="P901" s="97"/>
      <c r="Q901" s="100"/>
      <c r="R901" s="103"/>
      <c r="S901" s="97"/>
      <c r="T901" s="97"/>
      <c r="U901" s="97"/>
      <c r="V901" s="100"/>
      <c r="W901" s="112"/>
      <c r="X901" s="106"/>
      <c r="Y901" s="106"/>
      <c r="Z901" s="106"/>
      <c r="AA901" s="109"/>
      <c r="AB901" s="134"/>
    </row>
    <row r="902" spans="1:28" ht="13.95" customHeight="1" thickBot="1" x14ac:dyDescent="0.3">
      <c r="A902" s="138"/>
      <c r="B902" s="138"/>
      <c r="C902" s="95"/>
      <c r="D902" s="125"/>
      <c r="E902" s="125"/>
      <c r="F902" s="125"/>
      <c r="G902" s="128"/>
      <c r="H902" s="104"/>
      <c r="I902" s="98"/>
      <c r="J902" s="98"/>
      <c r="K902" s="98"/>
      <c r="L902" s="101"/>
      <c r="M902" s="104"/>
      <c r="N902" s="98"/>
      <c r="O902" s="98"/>
      <c r="P902" s="98"/>
      <c r="Q902" s="101"/>
      <c r="R902" s="104"/>
      <c r="S902" s="98"/>
      <c r="T902" s="98"/>
      <c r="U902" s="98"/>
      <c r="V902" s="101"/>
      <c r="W902" s="113"/>
      <c r="X902" s="107"/>
      <c r="Y902" s="107"/>
      <c r="Z902" s="107"/>
      <c r="AA902" s="110"/>
      <c r="AB902" s="135"/>
    </row>
    <row r="903" spans="1:28" ht="14.25" customHeight="1" x14ac:dyDescent="0.25">
      <c r="A903" s="136">
        <f>ESCUADRAS!B174</f>
        <v>168</v>
      </c>
      <c r="B903" s="136">
        <f>ESCUADRAS!C174</f>
        <v>0</v>
      </c>
      <c r="C903" s="93"/>
      <c r="D903" s="123"/>
      <c r="E903" s="123"/>
      <c r="F903" s="123"/>
      <c r="G903" s="126"/>
      <c r="H903" s="102"/>
      <c r="I903" s="96"/>
      <c r="J903" s="96"/>
      <c r="K903" s="96"/>
      <c r="L903" s="99"/>
      <c r="M903" s="102"/>
      <c r="N903" s="96"/>
      <c r="O903" s="96"/>
      <c r="P903" s="96"/>
      <c r="Q903" s="99"/>
      <c r="R903" s="111"/>
      <c r="S903" s="105"/>
      <c r="T903" s="105"/>
      <c r="U903" s="105"/>
      <c r="V903" s="108"/>
      <c r="W903" s="102"/>
      <c r="X903" s="96"/>
      <c r="Y903" s="96"/>
      <c r="Z903" s="96"/>
      <c r="AA903" s="99"/>
      <c r="AB903" s="133"/>
    </row>
    <row r="904" spans="1:28" ht="13.95" customHeight="1" x14ac:dyDescent="0.25">
      <c r="A904" s="137"/>
      <c r="B904" s="137"/>
      <c r="C904" s="94"/>
      <c r="D904" s="124"/>
      <c r="E904" s="124"/>
      <c r="F904" s="124"/>
      <c r="G904" s="127"/>
      <c r="H904" s="103"/>
      <c r="I904" s="97"/>
      <c r="J904" s="97"/>
      <c r="K904" s="97"/>
      <c r="L904" s="100"/>
      <c r="M904" s="103"/>
      <c r="N904" s="97"/>
      <c r="O904" s="97"/>
      <c r="P904" s="97"/>
      <c r="Q904" s="100"/>
      <c r="R904" s="112"/>
      <c r="S904" s="106"/>
      <c r="T904" s="106"/>
      <c r="U904" s="106"/>
      <c r="V904" s="109"/>
      <c r="W904" s="103"/>
      <c r="X904" s="97"/>
      <c r="Y904" s="97"/>
      <c r="Z904" s="97"/>
      <c r="AA904" s="100"/>
      <c r="AB904" s="134"/>
    </row>
    <row r="905" spans="1:28" ht="13.95" customHeight="1" thickBot="1" x14ac:dyDescent="0.3">
      <c r="A905" s="138"/>
      <c r="B905" s="138"/>
      <c r="C905" s="95"/>
      <c r="D905" s="125"/>
      <c r="E905" s="125"/>
      <c r="F905" s="125"/>
      <c r="G905" s="128"/>
      <c r="H905" s="104"/>
      <c r="I905" s="98"/>
      <c r="J905" s="98"/>
      <c r="K905" s="98"/>
      <c r="L905" s="101"/>
      <c r="M905" s="104"/>
      <c r="N905" s="98"/>
      <c r="O905" s="98"/>
      <c r="P905" s="98"/>
      <c r="Q905" s="101"/>
      <c r="R905" s="113"/>
      <c r="S905" s="107"/>
      <c r="T905" s="107"/>
      <c r="U905" s="107"/>
      <c r="V905" s="110"/>
      <c r="W905" s="104"/>
      <c r="X905" s="98"/>
      <c r="Y905" s="98"/>
      <c r="Z905" s="98"/>
      <c r="AA905" s="101"/>
      <c r="AB905" s="135"/>
    </row>
    <row r="906" spans="1:28" ht="13.5" customHeight="1" x14ac:dyDescent="0.25">
      <c r="A906" s="136">
        <f>ESCUADRAS!B169</f>
        <v>163</v>
      </c>
      <c r="B906" s="136">
        <f>ESCUADRAS!C169</f>
        <v>0</v>
      </c>
      <c r="C906" s="93"/>
      <c r="D906" s="123"/>
      <c r="E906" s="123"/>
      <c r="F906" s="123"/>
      <c r="G906" s="126"/>
      <c r="H906" s="102"/>
      <c r="I906" s="96"/>
      <c r="J906" s="96"/>
      <c r="K906" s="96"/>
      <c r="L906" s="99"/>
      <c r="M906" s="111"/>
      <c r="N906" s="105"/>
      <c r="O906" s="105"/>
      <c r="P906" s="105"/>
      <c r="Q906" s="108"/>
      <c r="R906" s="102"/>
      <c r="S906" s="96"/>
      <c r="T906" s="96"/>
      <c r="U906" s="96"/>
      <c r="V906" s="99"/>
      <c r="W906" s="102"/>
      <c r="X906" s="96"/>
      <c r="Y906" s="96"/>
      <c r="Z906" s="96"/>
      <c r="AA906" s="99"/>
      <c r="AB906" s="133"/>
    </row>
    <row r="907" spans="1:28" ht="13.95" customHeight="1" x14ac:dyDescent="0.25">
      <c r="A907" s="137"/>
      <c r="B907" s="137"/>
      <c r="C907" s="94"/>
      <c r="D907" s="124"/>
      <c r="E907" s="124"/>
      <c r="F907" s="124"/>
      <c r="G907" s="127"/>
      <c r="H907" s="103"/>
      <c r="I907" s="97"/>
      <c r="J907" s="97"/>
      <c r="K907" s="97"/>
      <c r="L907" s="100"/>
      <c r="M907" s="112"/>
      <c r="N907" s="106"/>
      <c r="O907" s="106"/>
      <c r="P907" s="106"/>
      <c r="Q907" s="109"/>
      <c r="R907" s="103"/>
      <c r="S907" s="97"/>
      <c r="T907" s="97"/>
      <c r="U907" s="97"/>
      <c r="V907" s="100"/>
      <c r="W907" s="103"/>
      <c r="X907" s="97"/>
      <c r="Y907" s="97"/>
      <c r="Z907" s="97"/>
      <c r="AA907" s="100"/>
      <c r="AB907" s="134"/>
    </row>
    <row r="908" spans="1:28" ht="13.95" customHeight="1" thickBot="1" x14ac:dyDescent="0.3">
      <c r="A908" s="138"/>
      <c r="B908" s="138"/>
      <c r="C908" s="95"/>
      <c r="D908" s="125"/>
      <c r="E908" s="125"/>
      <c r="F908" s="125"/>
      <c r="G908" s="128"/>
      <c r="H908" s="104"/>
      <c r="I908" s="98"/>
      <c r="J908" s="98"/>
      <c r="K908" s="98"/>
      <c r="L908" s="101"/>
      <c r="M908" s="113"/>
      <c r="N908" s="107"/>
      <c r="O908" s="107"/>
      <c r="P908" s="107"/>
      <c r="Q908" s="110"/>
      <c r="R908" s="104"/>
      <c r="S908" s="98"/>
      <c r="T908" s="98"/>
      <c r="U908" s="98"/>
      <c r="V908" s="101"/>
      <c r="W908" s="104"/>
      <c r="X908" s="98"/>
      <c r="Y908" s="98"/>
      <c r="Z908" s="98"/>
      <c r="AA908" s="101"/>
      <c r="AB908" s="135"/>
    </row>
    <row r="909" spans="1:28" ht="14.25" customHeight="1" x14ac:dyDescent="0.25">
      <c r="A909" s="136">
        <f>ESCUADRAS!B170</f>
        <v>164</v>
      </c>
      <c r="B909" s="136">
        <f>ESCUADRAS!C170</f>
        <v>0</v>
      </c>
      <c r="C909" s="93"/>
      <c r="D909" s="123"/>
      <c r="E909" s="123"/>
      <c r="F909" s="123"/>
      <c r="G909" s="126"/>
      <c r="H909" s="111"/>
      <c r="I909" s="105"/>
      <c r="J909" s="105"/>
      <c r="K909" s="105"/>
      <c r="L909" s="108"/>
      <c r="M909" s="102"/>
      <c r="N909" s="96"/>
      <c r="O909" s="96"/>
      <c r="P909" s="96"/>
      <c r="Q909" s="99"/>
      <c r="R909" s="102"/>
      <c r="S909" s="96"/>
      <c r="T909" s="96"/>
      <c r="U909" s="96"/>
      <c r="V909" s="99"/>
      <c r="W909" s="102"/>
      <c r="X909" s="96"/>
      <c r="Y909" s="96"/>
      <c r="Z909" s="96"/>
      <c r="AA909" s="99"/>
      <c r="AB909" s="133"/>
    </row>
    <row r="910" spans="1:28" ht="13.95" customHeight="1" x14ac:dyDescent="0.25">
      <c r="A910" s="137"/>
      <c r="B910" s="137"/>
      <c r="C910" s="94"/>
      <c r="D910" s="124"/>
      <c r="E910" s="124"/>
      <c r="F910" s="124"/>
      <c r="G910" s="127"/>
      <c r="H910" s="112"/>
      <c r="I910" s="106"/>
      <c r="J910" s="106"/>
      <c r="K910" s="106"/>
      <c r="L910" s="109"/>
      <c r="M910" s="103"/>
      <c r="N910" s="97"/>
      <c r="O910" s="97"/>
      <c r="P910" s="97"/>
      <c r="Q910" s="100"/>
      <c r="R910" s="103"/>
      <c r="S910" s="97"/>
      <c r="T910" s="97"/>
      <c r="U910" s="97"/>
      <c r="V910" s="100"/>
      <c r="W910" s="103"/>
      <c r="X910" s="97"/>
      <c r="Y910" s="97"/>
      <c r="Z910" s="97"/>
      <c r="AA910" s="100"/>
      <c r="AB910" s="134"/>
    </row>
    <row r="911" spans="1:28" ht="13.95" customHeight="1" thickBot="1" x14ac:dyDescent="0.3">
      <c r="A911" s="138"/>
      <c r="B911" s="138"/>
      <c r="C911" s="95"/>
      <c r="D911" s="125"/>
      <c r="E911" s="125"/>
      <c r="F911" s="125"/>
      <c r="G911" s="128"/>
      <c r="H911" s="113"/>
      <c r="I911" s="107"/>
      <c r="J911" s="107"/>
      <c r="K911" s="107"/>
      <c r="L911" s="110"/>
      <c r="M911" s="104"/>
      <c r="N911" s="98"/>
      <c r="O911" s="98"/>
      <c r="P911" s="98"/>
      <c r="Q911" s="101"/>
      <c r="R911" s="104"/>
      <c r="S911" s="98"/>
      <c r="T911" s="98"/>
      <c r="U911" s="98"/>
      <c r="V911" s="101"/>
      <c r="W911" s="104"/>
      <c r="X911" s="98"/>
      <c r="Y911" s="98"/>
      <c r="Z911" s="98"/>
      <c r="AA911" s="101"/>
      <c r="AB911" s="135"/>
    </row>
    <row r="912" spans="1:28" ht="13.5" customHeight="1" x14ac:dyDescent="0.25">
      <c r="A912" s="136">
        <f>ESCUADRAS!B171</f>
        <v>165</v>
      </c>
      <c r="B912" s="136">
        <f>ESCUADRAS!C171</f>
        <v>0</v>
      </c>
      <c r="C912" s="111"/>
      <c r="D912" s="105"/>
      <c r="E912" s="105"/>
      <c r="F912" s="105"/>
      <c r="G912" s="108"/>
      <c r="H912" s="122"/>
      <c r="I912" s="120"/>
      <c r="J912" s="120"/>
      <c r="K912" s="120"/>
      <c r="L912" s="121"/>
      <c r="M912" s="122"/>
      <c r="N912" s="120"/>
      <c r="O912" s="120"/>
      <c r="P912" s="120"/>
      <c r="Q912" s="121"/>
      <c r="R912" s="122"/>
      <c r="S912" s="120"/>
      <c r="T912" s="120"/>
      <c r="U912" s="120"/>
      <c r="V912" s="121"/>
      <c r="W912" s="122"/>
      <c r="X912" s="120"/>
      <c r="Y912" s="120"/>
      <c r="Z912" s="120"/>
      <c r="AA912" s="121"/>
      <c r="AB912" s="133"/>
    </row>
    <row r="913" spans="1:32" ht="13.95" customHeight="1" x14ac:dyDescent="0.25">
      <c r="A913" s="137"/>
      <c r="B913" s="137"/>
      <c r="C913" s="112"/>
      <c r="D913" s="106"/>
      <c r="E913" s="106"/>
      <c r="F913" s="106"/>
      <c r="G913" s="109"/>
      <c r="H913" s="103"/>
      <c r="I913" s="97"/>
      <c r="J913" s="97"/>
      <c r="K913" s="97"/>
      <c r="L913" s="100"/>
      <c r="M913" s="103"/>
      <c r="N913" s="97"/>
      <c r="O913" s="97"/>
      <c r="P913" s="97"/>
      <c r="Q913" s="100"/>
      <c r="R913" s="103"/>
      <c r="S913" s="97"/>
      <c r="T913" s="97"/>
      <c r="U913" s="97"/>
      <c r="V913" s="100"/>
      <c r="W913" s="103"/>
      <c r="X913" s="97"/>
      <c r="Y913" s="97"/>
      <c r="Z913" s="97"/>
      <c r="AA913" s="100"/>
      <c r="AB913" s="134"/>
    </row>
    <row r="914" spans="1:32" ht="13.95" customHeight="1" thickBot="1" x14ac:dyDescent="0.3">
      <c r="A914" s="138"/>
      <c r="B914" s="138"/>
      <c r="C914" s="113"/>
      <c r="D914" s="107"/>
      <c r="E914" s="107"/>
      <c r="F914" s="107"/>
      <c r="G914" s="110"/>
      <c r="H914" s="104"/>
      <c r="I914" s="98"/>
      <c r="J914" s="98"/>
      <c r="K914" s="98"/>
      <c r="L914" s="101"/>
      <c r="M914" s="104"/>
      <c r="N914" s="98"/>
      <c r="O914" s="98"/>
      <c r="P914" s="98"/>
      <c r="Q914" s="101"/>
      <c r="R914" s="104"/>
      <c r="S914" s="98"/>
      <c r="T914" s="98"/>
      <c r="U914" s="98"/>
      <c r="V914" s="101"/>
      <c r="W914" s="104"/>
      <c r="X914" s="98"/>
      <c r="Y914" s="98"/>
      <c r="Z914" s="98"/>
      <c r="AA914" s="101"/>
      <c r="AB914" s="135"/>
    </row>
    <row r="916" spans="1:32" ht="15" x14ac:dyDescent="0.25">
      <c r="A916" s="28"/>
      <c r="B916" s="26" t="s">
        <v>35</v>
      </c>
      <c r="E916" s="21" t="s">
        <v>41</v>
      </c>
      <c r="I916" s="21" t="s">
        <v>42</v>
      </c>
      <c r="M916" s="21" t="s">
        <v>43</v>
      </c>
      <c r="Q916" s="21" t="s">
        <v>44</v>
      </c>
      <c r="U916" s="21" t="s">
        <v>45</v>
      </c>
      <c r="Y916" s="21" t="s">
        <v>46</v>
      </c>
    </row>
    <row r="923" spans="1:32" ht="24.6" x14ac:dyDescent="0.25">
      <c r="A923" s="144" t="str">
        <f>'INSCRIPCION '!A$1</f>
        <v>TIRADA</v>
      </c>
      <c r="B923" s="144"/>
      <c r="C923" s="144"/>
      <c r="D923" s="144"/>
      <c r="E923" s="144"/>
      <c r="F923" s="144"/>
      <c r="G923" s="144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  <c r="AF923" s="144"/>
    </row>
    <row r="924" spans="1:32" ht="24.6" x14ac:dyDescent="0.4">
      <c r="A924" s="23"/>
      <c r="B924" s="23"/>
    </row>
    <row r="925" spans="1:32" ht="22.8" x14ac:dyDescent="0.25">
      <c r="A925" s="132" t="str">
        <f>'INSCRIPCION '!A$2</f>
        <v>CAMPO DE TIRO LA ISLA</v>
      </c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M925" s="132"/>
      <c r="N925" s="132"/>
      <c r="O925" s="132"/>
      <c r="P925" s="132"/>
      <c r="Q925" s="132"/>
      <c r="R925" s="132"/>
      <c r="S925" s="132"/>
      <c r="T925" s="132"/>
      <c r="U925" s="132"/>
      <c r="V925" s="132"/>
      <c r="W925" s="132"/>
      <c r="X925" s="132"/>
      <c r="Y925" s="132"/>
      <c r="Z925" s="132"/>
      <c r="AA925" s="132"/>
      <c r="AB925" s="132"/>
      <c r="AC925" s="132"/>
      <c r="AD925" s="132"/>
      <c r="AE925" s="132"/>
      <c r="AF925" s="132"/>
    </row>
    <row r="926" spans="1:32" ht="20.399999999999999" x14ac:dyDescent="0.25">
      <c r="A926" s="143" t="str">
        <f>'INSCRIPCION '!A$3</f>
        <v>XXX PLATOS</v>
      </c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  <c r="AA926" s="143"/>
      <c r="AB926" s="143"/>
      <c r="AC926" s="143"/>
      <c r="AD926" s="143"/>
      <c r="AE926" s="143"/>
      <c r="AF926" s="143"/>
    </row>
    <row r="927" spans="1:32" ht="22.8" x14ac:dyDescent="0.4">
      <c r="A927" s="24"/>
      <c r="B927" s="24"/>
    </row>
    <row r="928" spans="1:32" ht="17.399999999999999" x14ac:dyDescent="0.3">
      <c r="A928" s="25" t="s">
        <v>39</v>
      </c>
      <c r="B928" s="25"/>
      <c r="J928" s="9" t="s">
        <v>6</v>
      </c>
      <c r="K928" s="9"/>
      <c r="L928" s="9"/>
      <c r="M928" s="9"/>
      <c r="N928" s="9"/>
      <c r="O928" s="22">
        <v>4</v>
      </c>
      <c r="P928" s="22"/>
      <c r="Q928" s="8"/>
      <c r="R928" s="8"/>
      <c r="S928" s="7"/>
      <c r="T928" s="8"/>
      <c r="U928" s="8"/>
      <c r="V928" s="9" t="s">
        <v>7</v>
      </c>
      <c r="W928" s="9"/>
      <c r="X928" s="9"/>
      <c r="Y928" s="9"/>
      <c r="Z928" s="22">
        <v>4</v>
      </c>
      <c r="AA928" s="22"/>
    </row>
    <row r="929" spans="1:28" ht="13.8" thickBot="1" x14ac:dyDescent="0.3"/>
    <row r="930" spans="1:28" ht="15.6" thickBot="1" x14ac:dyDescent="0.3">
      <c r="A930" s="27" t="s">
        <v>0</v>
      </c>
      <c r="B930" s="27" t="s">
        <v>8</v>
      </c>
      <c r="C930" s="47">
        <v>1</v>
      </c>
      <c r="D930" s="48">
        <v>2</v>
      </c>
      <c r="E930" s="48">
        <v>3</v>
      </c>
      <c r="F930" s="48">
        <v>4</v>
      </c>
      <c r="G930" s="49">
        <v>5</v>
      </c>
      <c r="H930" s="47">
        <v>6</v>
      </c>
      <c r="I930" s="48">
        <v>7</v>
      </c>
      <c r="J930" s="48">
        <v>8</v>
      </c>
      <c r="K930" s="48">
        <v>9</v>
      </c>
      <c r="L930" s="49">
        <v>10</v>
      </c>
      <c r="M930" s="47">
        <v>11</v>
      </c>
      <c r="N930" s="48">
        <v>12</v>
      </c>
      <c r="O930" s="48">
        <v>13</v>
      </c>
      <c r="P930" s="48">
        <v>14</v>
      </c>
      <c r="Q930" s="49">
        <v>15</v>
      </c>
      <c r="R930" s="47">
        <v>16</v>
      </c>
      <c r="S930" s="48">
        <v>17</v>
      </c>
      <c r="T930" s="48">
        <v>18</v>
      </c>
      <c r="U930" s="48">
        <v>19</v>
      </c>
      <c r="V930" s="49">
        <v>20</v>
      </c>
      <c r="W930" s="47">
        <v>21</v>
      </c>
      <c r="X930" s="48">
        <v>22</v>
      </c>
      <c r="Y930" s="48">
        <v>23</v>
      </c>
      <c r="Z930" s="48">
        <v>24</v>
      </c>
      <c r="AA930" s="49">
        <v>25</v>
      </c>
      <c r="AB930" s="30" t="s">
        <v>1</v>
      </c>
    </row>
    <row r="931" spans="1:28" ht="14.25" customHeight="1" x14ac:dyDescent="0.25">
      <c r="A931" s="136">
        <f>ESCUADRAS!B178</f>
        <v>172</v>
      </c>
      <c r="B931" s="136">
        <f>ESCUADRAS!C178</f>
        <v>0</v>
      </c>
      <c r="C931" s="129"/>
      <c r="D931" s="114"/>
      <c r="E931" s="114"/>
      <c r="F931" s="114"/>
      <c r="G931" s="117"/>
      <c r="H931" s="111"/>
      <c r="I931" s="105"/>
      <c r="J931" s="105"/>
      <c r="K931" s="105"/>
      <c r="L931" s="108"/>
      <c r="M931" s="111"/>
      <c r="N931" s="105"/>
      <c r="O931" s="105"/>
      <c r="P931" s="105"/>
      <c r="Q931" s="108"/>
      <c r="R931" s="111"/>
      <c r="S931" s="105"/>
      <c r="T931" s="105"/>
      <c r="U931" s="105"/>
      <c r="V931" s="108"/>
      <c r="W931" s="111"/>
      <c r="X931" s="105"/>
      <c r="Y931" s="105"/>
      <c r="Z931" s="105"/>
      <c r="AA931" s="108"/>
      <c r="AB931" s="133"/>
    </row>
    <row r="932" spans="1:28" ht="13.95" customHeight="1" x14ac:dyDescent="0.25">
      <c r="A932" s="137"/>
      <c r="B932" s="137"/>
      <c r="C932" s="130"/>
      <c r="D932" s="115"/>
      <c r="E932" s="115"/>
      <c r="F932" s="115"/>
      <c r="G932" s="118"/>
      <c r="H932" s="112"/>
      <c r="I932" s="106"/>
      <c r="J932" s="106"/>
      <c r="K932" s="106"/>
      <c r="L932" s="109"/>
      <c r="M932" s="112"/>
      <c r="N932" s="106"/>
      <c r="O932" s="106"/>
      <c r="P932" s="106"/>
      <c r="Q932" s="109"/>
      <c r="R932" s="112"/>
      <c r="S932" s="106"/>
      <c r="T932" s="106"/>
      <c r="U932" s="106"/>
      <c r="V932" s="109"/>
      <c r="W932" s="112"/>
      <c r="X932" s="106"/>
      <c r="Y932" s="106"/>
      <c r="Z932" s="106"/>
      <c r="AA932" s="109"/>
      <c r="AB932" s="134"/>
    </row>
    <row r="933" spans="1:28" ht="13.95" customHeight="1" thickBot="1" x14ac:dyDescent="0.3">
      <c r="A933" s="138"/>
      <c r="B933" s="138"/>
      <c r="C933" s="131"/>
      <c r="D933" s="116"/>
      <c r="E933" s="116"/>
      <c r="F933" s="116"/>
      <c r="G933" s="119"/>
      <c r="H933" s="113"/>
      <c r="I933" s="107"/>
      <c r="J933" s="107"/>
      <c r="K933" s="107"/>
      <c r="L933" s="110"/>
      <c r="M933" s="113"/>
      <c r="N933" s="107"/>
      <c r="O933" s="107"/>
      <c r="P933" s="107"/>
      <c r="Q933" s="110"/>
      <c r="R933" s="113"/>
      <c r="S933" s="107"/>
      <c r="T933" s="107"/>
      <c r="U933" s="107"/>
      <c r="V933" s="110"/>
      <c r="W933" s="113"/>
      <c r="X933" s="107"/>
      <c r="Y933" s="107"/>
      <c r="Z933" s="107"/>
      <c r="AA933" s="110"/>
      <c r="AB933" s="135"/>
    </row>
    <row r="934" spans="1:28" ht="14.25" customHeight="1" x14ac:dyDescent="0.25">
      <c r="A934" s="136">
        <f>ESCUADRAS!B179</f>
        <v>173</v>
      </c>
      <c r="B934" s="136">
        <f>ESCUADRAS!C179</f>
        <v>0</v>
      </c>
      <c r="C934" s="93"/>
      <c r="D934" s="123"/>
      <c r="E934" s="123"/>
      <c r="F934" s="123"/>
      <c r="G934" s="126"/>
      <c r="H934" s="102"/>
      <c r="I934" s="96"/>
      <c r="J934" s="96"/>
      <c r="K934" s="96"/>
      <c r="L934" s="99"/>
      <c r="M934" s="102"/>
      <c r="N934" s="96"/>
      <c r="O934" s="96"/>
      <c r="P934" s="96"/>
      <c r="Q934" s="99"/>
      <c r="R934" s="102"/>
      <c r="S934" s="96"/>
      <c r="T934" s="96"/>
      <c r="U934" s="96"/>
      <c r="V934" s="99"/>
      <c r="W934" s="111"/>
      <c r="X934" s="105"/>
      <c r="Y934" s="105"/>
      <c r="Z934" s="105"/>
      <c r="AA934" s="108"/>
      <c r="AB934" s="133"/>
    </row>
    <row r="935" spans="1:28" ht="13.95" customHeight="1" x14ac:dyDescent="0.25">
      <c r="A935" s="137"/>
      <c r="B935" s="137"/>
      <c r="C935" s="94"/>
      <c r="D935" s="124"/>
      <c r="E935" s="124"/>
      <c r="F935" s="124"/>
      <c r="G935" s="127"/>
      <c r="H935" s="103"/>
      <c r="I935" s="97"/>
      <c r="J935" s="97"/>
      <c r="K935" s="97"/>
      <c r="L935" s="100"/>
      <c r="M935" s="103"/>
      <c r="N935" s="97"/>
      <c r="O935" s="97"/>
      <c r="P935" s="97"/>
      <c r="Q935" s="100"/>
      <c r="R935" s="103"/>
      <c r="S935" s="97"/>
      <c r="T935" s="97"/>
      <c r="U935" s="97"/>
      <c r="V935" s="100"/>
      <c r="W935" s="112"/>
      <c r="X935" s="106"/>
      <c r="Y935" s="106"/>
      <c r="Z935" s="106"/>
      <c r="AA935" s="109"/>
      <c r="AB935" s="134"/>
    </row>
    <row r="936" spans="1:28" ht="13.95" customHeight="1" thickBot="1" x14ac:dyDescent="0.3">
      <c r="A936" s="138"/>
      <c r="B936" s="138"/>
      <c r="C936" s="95"/>
      <c r="D936" s="125"/>
      <c r="E936" s="125"/>
      <c r="F936" s="125"/>
      <c r="G936" s="128"/>
      <c r="H936" s="104"/>
      <c r="I936" s="98"/>
      <c r="J936" s="98"/>
      <c r="K936" s="98"/>
      <c r="L936" s="101"/>
      <c r="M936" s="104"/>
      <c r="N936" s="98"/>
      <c r="O936" s="98"/>
      <c r="P936" s="98"/>
      <c r="Q936" s="101"/>
      <c r="R936" s="104"/>
      <c r="S936" s="98"/>
      <c r="T936" s="98"/>
      <c r="U936" s="98"/>
      <c r="V936" s="101"/>
      <c r="W936" s="113"/>
      <c r="X936" s="107"/>
      <c r="Y936" s="107"/>
      <c r="Z936" s="107"/>
      <c r="AA936" s="110"/>
      <c r="AB936" s="135"/>
    </row>
    <row r="937" spans="1:28" ht="14.25" customHeight="1" x14ac:dyDescent="0.25">
      <c r="A937" s="136">
        <f>ESCUADRAS!B180</f>
        <v>174</v>
      </c>
      <c r="B937" s="136">
        <f>ESCUADRAS!C180</f>
        <v>0</v>
      </c>
      <c r="C937" s="93"/>
      <c r="D937" s="123"/>
      <c r="E937" s="123"/>
      <c r="F937" s="123"/>
      <c r="G937" s="126"/>
      <c r="H937" s="102"/>
      <c r="I937" s="96"/>
      <c r="J937" s="96"/>
      <c r="K937" s="96"/>
      <c r="L937" s="99"/>
      <c r="M937" s="102"/>
      <c r="N937" s="96"/>
      <c r="O937" s="96"/>
      <c r="P937" s="96"/>
      <c r="Q937" s="99"/>
      <c r="R937" s="111"/>
      <c r="S937" s="105"/>
      <c r="T937" s="105"/>
      <c r="U937" s="105"/>
      <c r="V937" s="108"/>
      <c r="W937" s="102"/>
      <c r="X937" s="96"/>
      <c r="Y937" s="96"/>
      <c r="Z937" s="96"/>
      <c r="AA937" s="99"/>
      <c r="AB937" s="133"/>
    </row>
    <row r="938" spans="1:28" ht="13.95" customHeight="1" x14ac:dyDescent="0.25">
      <c r="A938" s="137"/>
      <c r="B938" s="137"/>
      <c r="C938" s="94"/>
      <c r="D938" s="124"/>
      <c r="E938" s="124"/>
      <c r="F938" s="124"/>
      <c r="G938" s="127"/>
      <c r="H938" s="103"/>
      <c r="I938" s="97"/>
      <c r="J938" s="97"/>
      <c r="K938" s="97"/>
      <c r="L938" s="100"/>
      <c r="M938" s="103"/>
      <c r="N938" s="97"/>
      <c r="O938" s="97"/>
      <c r="P938" s="97"/>
      <c r="Q938" s="100"/>
      <c r="R938" s="112"/>
      <c r="S938" s="106"/>
      <c r="T938" s="106"/>
      <c r="U938" s="106"/>
      <c r="V938" s="109"/>
      <c r="W938" s="103"/>
      <c r="X938" s="97"/>
      <c r="Y938" s="97"/>
      <c r="Z938" s="97"/>
      <c r="AA938" s="100"/>
      <c r="AB938" s="134"/>
    </row>
    <row r="939" spans="1:28" ht="13.95" customHeight="1" thickBot="1" x14ac:dyDescent="0.3">
      <c r="A939" s="138"/>
      <c r="B939" s="138"/>
      <c r="C939" s="95"/>
      <c r="D939" s="125"/>
      <c r="E939" s="125"/>
      <c r="F939" s="125"/>
      <c r="G939" s="128"/>
      <c r="H939" s="104"/>
      <c r="I939" s="98"/>
      <c r="J939" s="98"/>
      <c r="K939" s="98"/>
      <c r="L939" s="101"/>
      <c r="M939" s="104"/>
      <c r="N939" s="98"/>
      <c r="O939" s="98"/>
      <c r="P939" s="98"/>
      <c r="Q939" s="101"/>
      <c r="R939" s="113"/>
      <c r="S939" s="107"/>
      <c r="T939" s="107"/>
      <c r="U939" s="107"/>
      <c r="V939" s="110"/>
      <c r="W939" s="104"/>
      <c r="X939" s="98"/>
      <c r="Y939" s="98"/>
      <c r="Z939" s="98"/>
      <c r="AA939" s="101"/>
      <c r="AB939" s="135"/>
    </row>
    <row r="940" spans="1:28" ht="13.5" customHeight="1" x14ac:dyDescent="0.25">
      <c r="A940" s="136">
        <f>ESCUADRAS!B175</f>
        <v>169</v>
      </c>
      <c r="B940" s="136">
        <f>ESCUADRAS!C175</f>
        <v>0</v>
      </c>
      <c r="C940" s="93"/>
      <c r="D940" s="123"/>
      <c r="E940" s="123"/>
      <c r="F940" s="123"/>
      <c r="G940" s="126"/>
      <c r="H940" s="102"/>
      <c r="I940" s="96"/>
      <c r="J940" s="96"/>
      <c r="K940" s="96"/>
      <c r="L940" s="99"/>
      <c r="M940" s="111"/>
      <c r="N940" s="105"/>
      <c r="O940" s="105"/>
      <c r="P940" s="105"/>
      <c r="Q940" s="108"/>
      <c r="R940" s="102"/>
      <c r="S940" s="96"/>
      <c r="T940" s="96"/>
      <c r="U940" s="96"/>
      <c r="V940" s="99"/>
      <c r="W940" s="102"/>
      <c r="X940" s="96"/>
      <c r="Y940" s="96"/>
      <c r="Z940" s="96"/>
      <c r="AA940" s="99"/>
      <c r="AB940" s="133"/>
    </row>
    <row r="941" spans="1:28" ht="14.25" customHeight="1" x14ac:dyDescent="0.25">
      <c r="A941" s="137"/>
      <c r="B941" s="137"/>
      <c r="C941" s="94"/>
      <c r="D941" s="124"/>
      <c r="E941" s="124"/>
      <c r="F941" s="124"/>
      <c r="G941" s="127"/>
      <c r="H941" s="103"/>
      <c r="I941" s="97"/>
      <c r="J941" s="97"/>
      <c r="K941" s="97"/>
      <c r="L941" s="100"/>
      <c r="M941" s="112"/>
      <c r="N941" s="106"/>
      <c r="O941" s="106"/>
      <c r="P941" s="106"/>
      <c r="Q941" s="109"/>
      <c r="R941" s="103"/>
      <c r="S941" s="97"/>
      <c r="T941" s="97"/>
      <c r="U941" s="97"/>
      <c r="V941" s="100"/>
      <c r="W941" s="103"/>
      <c r="X941" s="97"/>
      <c r="Y941" s="97"/>
      <c r="Z941" s="97"/>
      <c r="AA941" s="100"/>
      <c r="AB941" s="134"/>
    </row>
    <row r="942" spans="1:28" ht="13.5" customHeight="1" thickBot="1" x14ac:dyDescent="0.3">
      <c r="A942" s="138"/>
      <c r="B942" s="138"/>
      <c r="C942" s="95"/>
      <c r="D942" s="125"/>
      <c r="E942" s="125"/>
      <c r="F942" s="125"/>
      <c r="G942" s="128"/>
      <c r="H942" s="104"/>
      <c r="I942" s="98"/>
      <c r="J942" s="98"/>
      <c r="K942" s="98"/>
      <c r="L942" s="101"/>
      <c r="M942" s="113"/>
      <c r="N942" s="107"/>
      <c r="O942" s="107"/>
      <c r="P942" s="107"/>
      <c r="Q942" s="110"/>
      <c r="R942" s="104"/>
      <c r="S942" s="98"/>
      <c r="T942" s="98"/>
      <c r="U942" s="98"/>
      <c r="V942" s="101"/>
      <c r="W942" s="104"/>
      <c r="X942" s="98"/>
      <c r="Y942" s="98"/>
      <c r="Z942" s="98"/>
      <c r="AA942" s="101"/>
      <c r="AB942" s="135"/>
    </row>
    <row r="943" spans="1:28" ht="14.25" customHeight="1" x14ac:dyDescent="0.25">
      <c r="A943" s="136">
        <f>ESCUADRAS!B176</f>
        <v>170</v>
      </c>
      <c r="B943" s="136">
        <f>ESCUADRAS!C176</f>
        <v>0</v>
      </c>
      <c r="C943" s="93"/>
      <c r="D943" s="123"/>
      <c r="E943" s="123"/>
      <c r="F943" s="123"/>
      <c r="G943" s="126"/>
      <c r="H943" s="111"/>
      <c r="I943" s="105"/>
      <c r="J943" s="105"/>
      <c r="K943" s="105"/>
      <c r="L943" s="108"/>
      <c r="M943" s="102"/>
      <c r="N943" s="96"/>
      <c r="O943" s="96"/>
      <c r="P943" s="96"/>
      <c r="Q943" s="99"/>
      <c r="R943" s="102"/>
      <c r="S943" s="96"/>
      <c r="T943" s="96"/>
      <c r="U943" s="96"/>
      <c r="V943" s="99"/>
      <c r="W943" s="102"/>
      <c r="X943" s="96"/>
      <c r="Y943" s="96"/>
      <c r="Z943" s="96"/>
      <c r="AA943" s="99"/>
      <c r="AB943" s="133"/>
    </row>
    <row r="944" spans="1:28" ht="14.25" customHeight="1" x14ac:dyDescent="0.25">
      <c r="A944" s="137"/>
      <c r="B944" s="137"/>
      <c r="C944" s="94"/>
      <c r="D944" s="124"/>
      <c r="E944" s="124"/>
      <c r="F944" s="124"/>
      <c r="G944" s="127"/>
      <c r="H944" s="112"/>
      <c r="I944" s="106"/>
      <c r="J944" s="106"/>
      <c r="K944" s="106"/>
      <c r="L944" s="109"/>
      <c r="M944" s="103"/>
      <c r="N944" s="97"/>
      <c r="O944" s="97"/>
      <c r="P944" s="97"/>
      <c r="Q944" s="100"/>
      <c r="R944" s="103"/>
      <c r="S944" s="97"/>
      <c r="T944" s="97"/>
      <c r="U944" s="97"/>
      <c r="V944" s="100"/>
      <c r="W944" s="103"/>
      <c r="X944" s="97"/>
      <c r="Y944" s="97"/>
      <c r="Z944" s="97"/>
      <c r="AA944" s="100"/>
      <c r="AB944" s="134"/>
    </row>
    <row r="945" spans="1:32" ht="13.5" customHeight="1" thickBot="1" x14ac:dyDescent="0.3">
      <c r="A945" s="138"/>
      <c r="B945" s="138"/>
      <c r="C945" s="95"/>
      <c r="D945" s="125"/>
      <c r="E945" s="125"/>
      <c r="F945" s="125"/>
      <c r="G945" s="128"/>
      <c r="H945" s="113"/>
      <c r="I945" s="107"/>
      <c r="J945" s="107"/>
      <c r="K945" s="107"/>
      <c r="L945" s="110"/>
      <c r="M945" s="104"/>
      <c r="N945" s="98"/>
      <c r="O945" s="98"/>
      <c r="P945" s="98"/>
      <c r="Q945" s="101"/>
      <c r="R945" s="104"/>
      <c r="S945" s="98"/>
      <c r="T945" s="98"/>
      <c r="U945" s="98"/>
      <c r="V945" s="101"/>
      <c r="W945" s="104"/>
      <c r="X945" s="98"/>
      <c r="Y945" s="98"/>
      <c r="Z945" s="98"/>
      <c r="AA945" s="101"/>
      <c r="AB945" s="135"/>
    </row>
    <row r="946" spans="1:32" ht="13.5" customHeight="1" x14ac:dyDescent="0.25">
      <c r="A946" s="136">
        <f>ESCUADRAS!B177</f>
        <v>171</v>
      </c>
      <c r="B946" s="136">
        <f>ESCUADRAS!C177</f>
        <v>0</v>
      </c>
      <c r="C946" s="111"/>
      <c r="D946" s="105"/>
      <c r="E946" s="105"/>
      <c r="F946" s="105"/>
      <c r="G946" s="108"/>
      <c r="H946" s="122"/>
      <c r="I946" s="120"/>
      <c r="J946" s="120"/>
      <c r="K946" s="120"/>
      <c r="L946" s="121"/>
      <c r="M946" s="122"/>
      <c r="N946" s="120"/>
      <c r="O946" s="120"/>
      <c r="P946" s="120"/>
      <c r="Q946" s="121"/>
      <c r="R946" s="122"/>
      <c r="S946" s="120"/>
      <c r="T946" s="120"/>
      <c r="U946" s="120"/>
      <c r="V946" s="121"/>
      <c r="W946" s="122"/>
      <c r="X946" s="120"/>
      <c r="Y946" s="120"/>
      <c r="Z946" s="120"/>
      <c r="AA946" s="121"/>
      <c r="AB946" s="133"/>
    </row>
    <row r="947" spans="1:32" ht="14.25" customHeight="1" x14ac:dyDescent="0.25">
      <c r="A947" s="137"/>
      <c r="B947" s="137"/>
      <c r="C947" s="112"/>
      <c r="D947" s="106"/>
      <c r="E947" s="106"/>
      <c r="F947" s="106"/>
      <c r="G947" s="109"/>
      <c r="H947" s="103"/>
      <c r="I947" s="97"/>
      <c r="J947" s="97"/>
      <c r="K947" s="97"/>
      <c r="L947" s="100"/>
      <c r="M947" s="103"/>
      <c r="N947" s="97"/>
      <c r="O947" s="97"/>
      <c r="P947" s="97"/>
      <c r="Q947" s="100"/>
      <c r="R947" s="103"/>
      <c r="S947" s="97"/>
      <c r="T947" s="97"/>
      <c r="U947" s="97"/>
      <c r="V947" s="100"/>
      <c r="W947" s="103"/>
      <c r="X947" s="97"/>
      <c r="Y947" s="97"/>
      <c r="Z947" s="97"/>
      <c r="AA947" s="100"/>
      <c r="AB947" s="134"/>
    </row>
    <row r="948" spans="1:32" ht="13.5" customHeight="1" thickBot="1" x14ac:dyDescent="0.3">
      <c r="A948" s="138"/>
      <c r="B948" s="138"/>
      <c r="C948" s="113"/>
      <c r="D948" s="107"/>
      <c r="E948" s="107"/>
      <c r="F948" s="107"/>
      <c r="G948" s="110"/>
      <c r="H948" s="104"/>
      <c r="I948" s="98"/>
      <c r="J948" s="98"/>
      <c r="K948" s="98"/>
      <c r="L948" s="101"/>
      <c r="M948" s="104"/>
      <c r="N948" s="98"/>
      <c r="O948" s="98"/>
      <c r="P948" s="98"/>
      <c r="Q948" s="101"/>
      <c r="R948" s="104"/>
      <c r="S948" s="98"/>
      <c r="T948" s="98"/>
      <c r="U948" s="98"/>
      <c r="V948" s="101"/>
      <c r="W948" s="104"/>
      <c r="X948" s="98"/>
      <c r="Y948" s="98"/>
      <c r="Z948" s="98"/>
      <c r="AA948" s="101"/>
      <c r="AB948" s="135"/>
    </row>
    <row r="950" spans="1:32" ht="15" x14ac:dyDescent="0.25">
      <c r="A950" s="28"/>
      <c r="B950" s="26" t="s">
        <v>35</v>
      </c>
      <c r="E950" s="21" t="s">
        <v>41</v>
      </c>
      <c r="I950" s="21" t="s">
        <v>42</v>
      </c>
      <c r="M950" s="21" t="s">
        <v>43</v>
      </c>
      <c r="Q950" s="21" t="s">
        <v>44</v>
      </c>
      <c r="U950" s="21" t="s">
        <v>45</v>
      </c>
      <c r="Y950" s="21" t="s">
        <v>46</v>
      </c>
    </row>
    <row r="957" spans="1:32" ht="24.6" x14ac:dyDescent="0.25">
      <c r="A957" s="144" t="str">
        <f>'INSCRIPCION '!A$1</f>
        <v>TIRADA</v>
      </c>
      <c r="B957" s="144"/>
      <c r="C957" s="144"/>
      <c r="D957" s="144"/>
      <c r="E957" s="144"/>
      <c r="F957" s="144"/>
      <c r="G957" s="144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  <c r="AF957" s="144"/>
    </row>
    <row r="958" spans="1:32" ht="24.6" x14ac:dyDescent="0.4">
      <c r="A958" s="23"/>
      <c r="B958" s="23"/>
    </row>
    <row r="959" spans="1:32" ht="22.8" x14ac:dyDescent="0.25">
      <c r="A959" s="132" t="str">
        <f>'INSCRIPCION '!A$2</f>
        <v>CAMPO DE TIRO LA ISLA</v>
      </c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L959" s="132"/>
      <c r="M959" s="132"/>
      <c r="N959" s="132"/>
      <c r="O959" s="132"/>
      <c r="P959" s="132"/>
      <c r="Q959" s="132"/>
      <c r="R959" s="132"/>
      <c r="S959" s="132"/>
      <c r="T959" s="132"/>
      <c r="U959" s="132"/>
      <c r="V959" s="132"/>
      <c r="W959" s="132"/>
      <c r="X959" s="132"/>
      <c r="Y959" s="132"/>
      <c r="Z959" s="132"/>
      <c r="AA959" s="132"/>
      <c r="AB959" s="132"/>
      <c r="AC959" s="132"/>
      <c r="AD959" s="132"/>
      <c r="AE959" s="132"/>
      <c r="AF959" s="132"/>
    </row>
    <row r="960" spans="1:32" ht="20.399999999999999" x14ac:dyDescent="0.25">
      <c r="A960" s="143" t="str">
        <f>'INSCRIPCION '!A$3</f>
        <v>XXX PLATOS</v>
      </c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143"/>
      <c r="N960" s="143"/>
      <c r="O960" s="143"/>
      <c r="P960" s="143"/>
      <c r="Q960" s="143"/>
      <c r="R960" s="143"/>
      <c r="S960" s="143"/>
      <c r="T960" s="143"/>
      <c r="U960" s="143"/>
      <c r="V960" s="143"/>
      <c r="W960" s="143"/>
      <c r="X960" s="143"/>
      <c r="Y960" s="143"/>
      <c r="Z960" s="143"/>
      <c r="AA960" s="143"/>
      <c r="AB960" s="143"/>
      <c r="AC960" s="143"/>
      <c r="AD960" s="143"/>
      <c r="AE960" s="143"/>
      <c r="AF960" s="143"/>
    </row>
    <row r="961" spans="1:28" ht="22.8" x14ac:dyDescent="0.4">
      <c r="A961" s="24"/>
      <c r="B961" s="24"/>
    </row>
    <row r="962" spans="1:28" ht="17.399999999999999" x14ac:dyDescent="0.3">
      <c r="A962" s="25" t="s">
        <v>40</v>
      </c>
      <c r="B962" s="25"/>
      <c r="J962" s="9" t="s">
        <v>6</v>
      </c>
      <c r="K962" s="9"/>
      <c r="L962" s="9"/>
      <c r="M962" s="9"/>
      <c r="N962" s="9"/>
      <c r="O962" s="22">
        <v>1</v>
      </c>
      <c r="P962" s="22"/>
      <c r="Q962" s="8"/>
      <c r="R962" s="8"/>
      <c r="S962" s="7"/>
      <c r="T962" s="8"/>
      <c r="U962" s="8"/>
      <c r="V962" s="9" t="s">
        <v>7</v>
      </c>
      <c r="W962" s="9"/>
      <c r="X962" s="9"/>
      <c r="Y962" s="9"/>
      <c r="Z962" s="22">
        <v>4</v>
      </c>
      <c r="AA962" s="22"/>
    </row>
    <row r="963" spans="1:28" ht="13.8" thickBot="1" x14ac:dyDescent="0.3"/>
    <row r="964" spans="1:28" ht="15.6" thickBot="1" x14ac:dyDescent="0.3">
      <c r="A964" s="27" t="s">
        <v>0</v>
      </c>
      <c r="B964" s="27" t="s">
        <v>8</v>
      </c>
      <c r="C964" s="47">
        <v>1</v>
      </c>
      <c r="D964" s="48">
        <v>2</v>
      </c>
      <c r="E964" s="48">
        <v>3</v>
      </c>
      <c r="F964" s="48">
        <v>4</v>
      </c>
      <c r="G964" s="49">
        <v>5</v>
      </c>
      <c r="H964" s="47">
        <v>6</v>
      </c>
      <c r="I964" s="48">
        <v>7</v>
      </c>
      <c r="J964" s="48">
        <v>8</v>
      </c>
      <c r="K964" s="48">
        <v>9</v>
      </c>
      <c r="L964" s="49">
        <v>10</v>
      </c>
      <c r="M964" s="47">
        <v>11</v>
      </c>
      <c r="N964" s="48">
        <v>12</v>
      </c>
      <c r="O964" s="48">
        <v>13</v>
      </c>
      <c r="P964" s="48">
        <v>14</v>
      </c>
      <c r="Q964" s="49">
        <v>15</v>
      </c>
      <c r="R964" s="47">
        <v>16</v>
      </c>
      <c r="S964" s="48">
        <v>17</v>
      </c>
      <c r="T964" s="48">
        <v>18</v>
      </c>
      <c r="U964" s="48">
        <v>19</v>
      </c>
      <c r="V964" s="49">
        <v>20</v>
      </c>
      <c r="W964" s="47">
        <v>21</v>
      </c>
      <c r="X964" s="48">
        <v>22</v>
      </c>
      <c r="Y964" s="48">
        <v>23</v>
      </c>
      <c r="Z964" s="48">
        <v>24</v>
      </c>
      <c r="AA964" s="49">
        <v>25</v>
      </c>
      <c r="AB964" s="30" t="s">
        <v>1</v>
      </c>
    </row>
    <row r="965" spans="1:28" ht="14.25" customHeight="1" x14ac:dyDescent="0.25">
      <c r="A965" s="136">
        <f>ESCUADRAS!B184</f>
        <v>178</v>
      </c>
      <c r="B965" s="136">
        <f>ESCUADRAS!C184</f>
        <v>0</v>
      </c>
      <c r="C965" s="129"/>
      <c r="D965" s="114"/>
      <c r="E965" s="114"/>
      <c r="F965" s="114"/>
      <c r="G965" s="117"/>
      <c r="H965" s="111"/>
      <c r="I965" s="105"/>
      <c r="J965" s="105"/>
      <c r="K965" s="105"/>
      <c r="L965" s="108"/>
      <c r="M965" s="111"/>
      <c r="N965" s="105"/>
      <c r="O965" s="105"/>
      <c r="P965" s="105"/>
      <c r="Q965" s="108"/>
      <c r="R965" s="111"/>
      <c r="S965" s="105"/>
      <c r="T965" s="105"/>
      <c r="U965" s="105"/>
      <c r="V965" s="108"/>
      <c r="W965" s="111"/>
      <c r="X965" s="105"/>
      <c r="Y965" s="105"/>
      <c r="Z965" s="105"/>
      <c r="AA965" s="108"/>
      <c r="AB965" s="133"/>
    </row>
    <row r="966" spans="1:28" ht="13.95" customHeight="1" x14ac:dyDescent="0.25">
      <c r="A966" s="137"/>
      <c r="B966" s="137"/>
      <c r="C966" s="130"/>
      <c r="D966" s="115"/>
      <c r="E966" s="115"/>
      <c r="F966" s="115"/>
      <c r="G966" s="118"/>
      <c r="H966" s="112"/>
      <c r="I966" s="106"/>
      <c r="J966" s="106"/>
      <c r="K966" s="106"/>
      <c r="L966" s="109"/>
      <c r="M966" s="112"/>
      <c r="N966" s="106"/>
      <c r="O966" s="106"/>
      <c r="P966" s="106"/>
      <c r="Q966" s="109"/>
      <c r="R966" s="112"/>
      <c r="S966" s="106"/>
      <c r="T966" s="106"/>
      <c r="U966" s="106"/>
      <c r="V966" s="109"/>
      <c r="W966" s="112"/>
      <c r="X966" s="106"/>
      <c r="Y966" s="106"/>
      <c r="Z966" s="106"/>
      <c r="AA966" s="109"/>
      <c r="AB966" s="134"/>
    </row>
    <row r="967" spans="1:28" ht="13.95" customHeight="1" thickBot="1" x14ac:dyDescent="0.3">
      <c r="A967" s="138"/>
      <c r="B967" s="138"/>
      <c r="C967" s="131"/>
      <c r="D967" s="116"/>
      <c r="E967" s="116"/>
      <c r="F967" s="116"/>
      <c r="G967" s="119"/>
      <c r="H967" s="113"/>
      <c r="I967" s="107"/>
      <c r="J967" s="107"/>
      <c r="K967" s="107"/>
      <c r="L967" s="110"/>
      <c r="M967" s="113"/>
      <c r="N967" s="107"/>
      <c r="O967" s="107"/>
      <c r="P967" s="107"/>
      <c r="Q967" s="110"/>
      <c r="R967" s="113"/>
      <c r="S967" s="107"/>
      <c r="T967" s="107"/>
      <c r="U967" s="107"/>
      <c r="V967" s="110"/>
      <c r="W967" s="113"/>
      <c r="X967" s="107"/>
      <c r="Y967" s="107"/>
      <c r="Z967" s="107"/>
      <c r="AA967" s="110"/>
      <c r="AB967" s="135"/>
    </row>
    <row r="968" spans="1:28" ht="14.25" customHeight="1" x14ac:dyDescent="0.25">
      <c r="A968" s="136">
        <f>ESCUADRAS!B185</f>
        <v>179</v>
      </c>
      <c r="B968" s="136">
        <f>ESCUADRAS!C185</f>
        <v>0</v>
      </c>
      <c r="C968" s="93"/>
      <c r="D968" s="123"/>
      <c r="E968" s="123"/>
      <c r="F968" s="123"/>
      <c r="G968" s="126"/>
      <c r="H968" s="102"/>
      <c r="I968" s="96"/>
      <c r="J968" s="96"/>
      <c r="K968" s="96"/>
      <c r="L968" s="99"/>
      <c r="M968" s="102"/>
      <c r="N968" s="96"/>
      <c r="O968" s="96"/>
      <c r="P968" s="96"/>
      <c r="Q968" s="99"/>
      <c r="R968" s="102"/>
      <c r="S968" s="96"/>
      <c r="T968" s="96"/>
      <c r="U968" s="96"/>
      <c r="V968" s="99"/>
      <c r="W968" s="111"/>
      <c r="X968" s="105"/>
      <c r="Y968" s="105"/>
      <c r="Z968" s="105"/>
      <c r="AA968" s="108"/>
      <c r="AB968" s="133"/>
    </row>
    <row r="969" spans="1:28" ht="13.95" customHeight="1" x14ac:dyDescent="0.25">
      <c r="A969" s="137"/>
      <c r="B969" s="137"/>
      <c r="C969" s="94"/>
      <c r="D969" s="124"/>
      <c r="E969" s="124"/>
      <c r="F969" s="124"/>
      <c r="G969" s="127"/>
      <c r="H969" s="103"/>
      <c r="I969" s="97"/>
      <c r="J969" s="97"/>
      <c r="K969" s="97"/>
      <c r="L969" s="100"/>
      <c r="M969" s="103"/>
      <c r="N969" s="97"/>
      <c r="O969" s="97"/>
      <c r="P969" s="97"/>
      <c r="Q969" s="100"/>
      <c r="R969" s="103"/>
      <c r="S969" s="97"/>
      <c r="T969" s="97"/>
      <c r="U969" s="97"/>
      <c r="V969" s="100"/>
      <c r="W969" s="112"/>
      <c r="X969" s="106"/>
      <c r="Y969" s="106"/>
      <c r="Z969" s="106"/>
      <c r="AA969" s="109"/>
      <c r="AB969" s="134"/>
    </row>
    <row r="970" spans="1:28" ht="13.95" customHeight="1" thickBot="1" x14ac:dyDescent="0.3">
      <c r="A970" s="138"/>
      <c r="B970" s="138"/>
      <c r="C970" s="95"/>
      <c r="D970" s="125"/>
      <c r="E970" s="125"/>
      <c r="F970" s="125"/>
      <c r="G970" s="128"/>
      <c r="H970" s="104"/>
      <c r="I970" s="98"/>
      <c r="J970" s="98"/>
      <c r="K970" s="98"/>
      <c r="L970" s="101"/>
      <c r="M970" s="104"/>
      <c r="N970" s="98"/>
      <c r="O970" s="98"/>
      <c r="P970" s="98"/>
      <c r="Q970" s="101"/>
      <c r="R970" s="104"/>
      <c r="S970" s="98"/>
      <c r="T970" s="98"/>
      <c r="U970" s="98"/>
      <c r="V970" s="101"/>
      <c r="W970" s="113"/>
      <c r="X970" s="107"/>
      <c r="Y970" s="107"/>
      <c r="Z970" s="107"/>
      <c r="AA970" s="110"/>
      <c r="AB970" s="135"/>
    </row>
    <row r="971" spans="1:28" ht="14.25" customHeight="1" x14ac:dyDescent="0.25">
      <c r="A971" s="136">
        <f>ESCUADRAS!B186</f>
        <v>180</v>
      </c>
      <c r="B971" s="136">
        <f>ESCUADRAS!C186</f>
        <v>0</v>
      </c>
      <c r="C971" s="93"/>
      <c r="D971" s="123"/>
      <c r="E971" s="123"/>
      <c r="F971" s="123"/>
      <c r="G971" s="126"/>
      <c r="H971" s="102"/>
      <c r="I971" s="96"/>
      <c r="J971" s="96"/>
      <c r="K971" s="96"/>
      <c r="L971" s="99"/>
      <c r="M971" s="102"/>
      <c r="N971" s="96"/>
      <c r="O971" s="96"/>
      <c r="P971" s="96"/>
      <c r="Q971" s="99"/>
      <c r="R971" s="111"/>
      <c r="S971" s="105"/>
      <c r="T971" s="105"/>
      <c r="U971" s="105"/>
      <c r="V971" s="108"/>
      <c r="W971" s="102"/>
      <c r="X971" s="96"/>
      <c r="Y971" s="96"/>
      <c r="Z971" s="96"/>
      <c r="AA971" s="99"/>
      <c r="AB971" s="133"/>
    </row>
    <row r="972" spans="1:28" ht="13.95" customHeight="1" x14ac:dyDescent="0.25">
      <c r="A972" s="137"/>
      <c r="B972" s="137"/>
      <c r="C972" s="94"/>
      <c r="D972" s="124"/>
      <c r="E972" s="124"/>
      <c r="F972" s="124"/>
      <c r="G972" s="127"/>
      <c r="H972" s="103"/>
      <c r="I972" s="97"/>
      <c r="J972" s="97"/>
      <c r="K972" s="97"/>
      <c r="L972" s="100"/>
      <c r="M972" s="103"/>
      <c r="N972" s="97"/>
      <c r="O972" s="97"/>
      <c r="P972" s="97"/>
      <c r="Q972" s="100"/>
      <c r="R972" s="112"/>
      <c r="S972" s="106"/>
      <c r="T972" s="106"/>
      <c r="U972" s="106"/>
      <c r="V972" s="109"/>
      <c r="W972" s="103"/>
      <c r="X972" s="97"/>
      <c r="Y972" s="97"/>
      <c r="Z972" s="97"/>
      <c r="AA972" s="100"/>
      <c r="AB972" s="134"/>
    </row>
    <row r="973" spans="1:28" ht="13.95" customHeight="1" thickBot="1" x14ac:dyDescent="0.3">
      <c r="A973" s="138"/>
      <c r="B973" s="138"/>
      <c r="C973" s="95"/>
      <c r="D973" s="125"/>
      <c r="E973" s="125"/>
      <c r="F973" s="125"/>
      <c r="G973" s="128"/>
      <c r="H973" s="104"/>
      <c r="I973" s="98"/>
      <c r="J973" s="98"/>
      <c r="K973" s="98"/>
      <c r="L973" s="101"/>
      <c r="M973" s="104"/>
      <c r="N973" s="98"/>
      <c r="O973" s="98"/>
      <c r="P973" s="98"/>
      <c r="Q973" s="101"/>
      <c r="R973" s="113"/>
      <c r="S973" s="107"/>
      <c r="T973" s="107"/>
      <c r="U973" s="107"/>
      <c r="V973" s="110"/>
      <c r="W973" s="104"/>
      <c r="X973" s="98"/>
      <c r="Y973" s="98"/>
      <c r="Z973" s="98"/>
      <c r="AA973" s="101"/>
      <c r="AB973" s="135"/>
    </row>
    <row r="974" spans="1:28" ht="13.5" customHeight="1" x14ac:dyDescent="0.25">
      <c r="A974" s="136">
        <f>ESCUADRAS!B181</f>
        <v>175</v>
      </c>
      <c r="B974" s="136">
        <f>ESCUADRAS!C181</f>
        <v>0</v>
      </c>
      <c r="C974" s="93"/>
      <c r="D974" s="123"/>
      <c r="E974" s="123"/>
      <c r="F974" s="123"/>
      <c r="G974" s="126"/>
      <c r="H974" s="102"/>
      <c r="I974" s="96"/>
      <c r="J974" s="96"/>
      <c r="K974" s="96"/>
      <c r="L974" s="99"/>
      <c r="M974" s="111"/>
      <c r="N974" s="105"/>
      <c r="O974" s="105"/>
      <c r="P974" s="105"/>
      <c r="Q974" s="108"/>
      <c r="R974" s="102"/>
      <c r="S974" s="96"/>
      <c r="T974" s="96"/>
      <c r="U974" s="96"/>
      <c r="V974" s="99"/>
      <c r="W974" s="102"/>
      <c r="X974" s="96"/>
      <c r="Y974" s="96"/>
      <c r="Z974" s="96"/>
      <c r="AA974" s="99"/>
      <c r="AB974" s="133"/>
    </row>
    <row r="975" spans="1:28" ht="13.95" customHeight="1" x14ac:dyDescent="0.25">
      <c r="A975" s="137"/>
      <c r="B975" s="137"/>
      <c r="C975" s="94"/>
      <c r="D975" s="124"/>
      <c r="E975" s="124"/>
      <c r="F975" s="124"/>
      <c r="G975" s="127"/>
      <c r="H975" s="103"/>
      <c r="I975" s="97"/>
      <c r="J975" s="97"/>
      <c r="K975" s="97"/>
      <c r="L975" s="100"/>
      <c r="M975" s="112"/>
      <c r="N975" s="106"/>
      <c r="O975" s="106"/>
      <c r="P975" s="106"/>
      <c r="Q975" s="109"/>
      <c r="R975" s="103"/>
      <c r="S975" s="97"/>
      <c r="T975" s="97"/>
      <c r="U975" s="97"/>
      <c r="V975" s="100"/>
      <c r="W975" s="103"/>
      <c r="X975" s="97"/>
      <c r="Y975" s="97"/>
      <c r="Z975" s="97"/>
      <c r="AA975" s="100"/>
      <c r="AB975" s="134"/>
    </row>
    <row r="976" spans="1:28" ht="13.95" customHeight="1" thickBot="1" x14ac:dyDescent="0.3">
      <c r="A976" s="138"/>
      <c r="B976" s="138"/>
      <c r="C976" s="95"/>
      <c r="D976" s="125"/>
      <c r="E976" s="125"/>
      <c r="F976" s="125"/>
      <c r="G976" s="128"/>
      <c r="H976" s="104"/>
      <c r="I976" s="98"/>
      <c r="J976" s="98"/>
      <c r="K976" s="98"/>
      <c r="L976" s="101"/>
      <c r="M976" s="113"/>
      <c r="N976" s="107"/>
      <c r="O976" s="107"/>
      <c r="P976" s="107"/>
      <c r="Q976" s="110"/>
      <c r="R976" s="104"/>
      <c r="S976" s="98"/>
      <c r="T976" s="98"/>
      <c r="U976" s="98"/>
      <c r="V976" s="101"/>
      <c r="W976" s="104"/>
      <c r="X976" s="98"/>
      <c r="Y976" s="98"/>
      <c r="Z976" s="98"/>
      <c r="AA976" s="101"/>
      <c r="AB976" s="135"/>
    </row>
    <row r="977" spans="1:28" ht="14.25" customHeight="1" x14ac:dyDescent="0.25">
      <c r="A977" s="136">
        <f>ESCUADRAS!B182</f>
        <v>176</v>
      </c>
      <c r="B977" s="136">
        <f>ESCUADRAS!C182</f>
        <v>0</v>
      </c>
      <c r="C977" s="93"/>
      <c r="D977" s="123"/>
      <c r="E977" s="123"/>
      <c r="F977" s="123"/>
      <c r="G977" s="126"/>
      <c r="H977" s="111"/>
      <c r="I977" s="105"/>
      <c r="J977" s="105"/>
      <c r="K977" s="105"/>
      <c r="L977" s="108"/>
      <c r="M977" s="102"/>
      <c r="N977" s="96"/>
      <c r="O977" s="96"/>
      <c r="P977" s="96"/>
      <c r="Q977" s="99"/>
      <c r="R977" s="102"/>
      <c r="S977" s="96"/>
      <c r="T977" s="96"/>
      <c r="U977" s="96"/>
      <c r="V977" s="99"/>
      <c r="W977" s="102"/>
      <c r="X977" s="96"/>
      <c r="Y977" s="96"/>
      <c r="Z977" s="96"/>
      <c r="AA977" s="99"/>
      <c r="AB977" s="133"/>
    </row>
    <row r="978" spans="1:28" ht="13.95" customHeight="1" x14ac:dyDescent="0.25">
      <c r="A978" s="137"/>
      <c r="B978" s="137"/>
      <c r="C978" s="94"/>
      <c r="D978" s="124"/>
      <c r="E978" s="124"/>
      <c r="F978" s="124"/>
      <c r="G978" s="127"/>
      <c r="H978" s="112"/>
      <c r="I978" s="106"/>
      <c r="J978" s="106"/>
      <c r="K978" s="106"/>
      <c r="L978" s="109"/>
      <c r="M978" s="103"/>
      <c r="N978" s="97"/>
      <c r="O978" s="97"/>
      <c r="P978" s="97"/>
      <c r="Q978" s="100"/>
      <c r="R978" s="103"/>
      <c r="S978" s="97"/>
      <c r="T978" s="97"/>
      <c r="U978" s="97"/>
      <c r="V978" s="100"/>
      <c r="W978" s="103"/>
      <c r="X978" s="97"/>
      <c r="Y978" s="97"/>
      <c r="Z978" s="97"/>
      <c r="AA978" s="100"/>
      <c r="AB978" s="134"/>
    </row>
    <row r="979" spans="1:28" ht="13.95" customHeight="1" thickBot="1" x14ac:dyDescent="0.3">
      <c r="A979" s="138"/>
      <c r="B979" s="138"/>
      <c r="C979" s="95"/>
      <c r="D979" s="125"/>
      <c r="E979" s="125"/>
      <c r="F979" s="125"/>
      <c r="G979" s="128"/>
      <c r="H979" s="113"/>
      <c r="I979" s="107"/>
      <c r="J979" s="107"/>
      <c r="K979" s="107"/>
      <c r="L979" s="110"/>
      <c r="M979" s="104"/>
      <c r="N979" s="98"/>
      <c r="O979" s="98"/>
      <c r="P979" s="98"/>
      <c r="Q979" s="101"/>
      <c r="R979" s="104"/>
      <c r="S979" s="98"/>
      <c r="T979" s="98"/>
      <c r="U979" s="98"/>
      <c r="V979" s="101"/>
      <c r="W979" s="104"/>
      <c r="X979" s="98"/>
      <c r="Y979" s="98"/>
      <c r="Z979" s="98"/>
      <c r="AA979" s="101"/>
      <c r="AB979" s="135"/>
    </row>
    <row r="980" spans="1:28" ht="13.5" customHeight="1" x14ac:dyDescent="0.25">
      <c r="A980" s="136">
        <f>ESCUADRAS!B183</f>
        <v>177</v>
      </c>
      <c r="B980" s="136">
        <f>ESCUADRAS!C183</f>
        <v>0</v>
      </c>
      <c r="C980" s="111"/>
      <c r="D980" s="105"/>
      <c r="E980" s="105"/>
      <c r="F980" s="105"/>
      <c r="G980" s="108"/>
      <c r="H980" s="122"/>
      <c r="I980" s="120"/>
      <c r="J980" s="120"/>
      <c r="K980" s="120"/>
      <c r="L980" s="121"/>
      <c r="M980" s="122"/>
      <c r="N980" s="120"/>
      <c r="O980" s="120"/>
      <c r="P980" s="120"/>
      <c r="Q980" s="121"/>
      <c r="R980" s="122"/>
      <c r="S980" s="120"/>
      <c r="T980" s="120"/>
      <c r="U980" s="120"/>
      <c r="V980" s="121"/>
      <c r="W980" s="122"/>
      <c r="X980" s="120"/>
      <c r="Y980" s="120"/>
      <c r="Z980" s="120"/>
      <c r="AA980" s="121"/>
      <c r="AB980" s="133"/>
    </row>
    <row r="981" spans="1:28" ht="13.95" customHeight="1" x14ac:dyDescent="0.25">
      <c r="A981" s="137"/>
      <c r="B981" s="137"/>
      <c r="C981" s="112"/>
      <c r="D981" s="106"/>
      <c r="E981" s="106"/>
      <c r="F981" s="106"/>
      <c r="G981" s="109"/>
      <c r="H981" s="103"/>
      <c r="I981" s="97"/>
      <c r="J981" s="97"/>
      <c r="K981" s="97"/>
      <c r="L981" s="100"/>
      <c r="M981" s="103"/>
      <c r="N981" s="97"/>
      <c r="O981" s="97"/>
      <c r="P981" s="97"/>
      <c r="Q981" s="100"/>
      <c r="R981" s="103"/>
      <c r="S981" s="97"/>
      <c r="T981" s="97"/>
      <c r="U981" s="97"/>
      <c r="V981" s="100"/>
      <c r="W981" s="103"/>
      <c r="X981" s="97"/>
      <c r="Y981" s="97"/>
      <c r="Z981" s="97"/>
      <c r="AA981" s="100"/>
      <c r="AB981" s="134"/>
    </row>
    <row r="982" spans="1:28" ht="13.95" customHeight="1" thickBot="1" x14ac:dyDescent="0.3">
      <c r="A982" s="138"/>
      <c r="B982" s="138"/>
      <c r="C982" s="113"/>
      <c r="D982" s="107"/>
      <c r="E982" s="107"/>
      <c r="F982" s="107"/>
      <c r="G982" s="110"/>
      <c r="H982" s="104"/>
      <c r="I982" s="98"/>
      <c r="J982" s="98"/>
      <c r="K982" s="98"/>
      <c r="L982" s="101"/>
      <c r="M982" s="104"/>
      <c r="N982" s="98"/>
      <c r="O982" s="98"/>
      <c r="P982" s="98"/>
      <c r="Q982" s="101"/>
      <c r="R982" s="104"/>
      <c r="S982" s="98"/>
      <c r="T982" s="98"/>
      <c r="U982" s="98"/>
      <c r="V982" s="101"/>
      <c r="W982" s="104"/>
      <c r="X982" s="98"/>
      <c r="Y982" s="98"/>
      <c r="Z982" s="98"/>
      <c r="AA982" s="101"/>
      <c r="AB982" s="135"/>
    </row>
    <row r="984" spans="1:28" ht="15" x14ac:dyDescent="0.25">
      <c r="A984" s="28"/>
      <c r="B984" s="26" t="s">
        <v>35</v>
      </c>
      <c r="E984" s="21" t="s">
        <v>41</v>
      </c>
      <c r="I984" s="21" t="s">
        <v>42</v>
      </c>
      <c r="M984" s="21" t="s">
        <v>43</v>
      </c>
      <c r="Q984" s="21" t="s">
        <v>44</v>
      </c>
      <c r="U984" s="21" t="s">
        <v>45</v>
      </c>
      <c r="Y984" s="21" t="s">
        <v>46</v>
      </c>
    </row>
    <row r="993" spans="1:32" ht="24.6" x14ac:dyDescent="0.25">
      <c r="A993" s="144" t="str">
        <f>'INSCRIPCION '!A$1</f>
        <v>TIRADA</v>
      </c>
      <c r="B993" s="144"/>
      <c r="C993" s="144"/>
      <c r="D993" s="144"/>
      <c r="E993" s="144"/>
      <c r="F993" s="144"/>
      <c r="G993" s="144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  <c r="AF993" s="144"/>
    </row>
    <row r="994" spans="1:32" ht="24.6" x14ac:dyDescent="0.4">
      <c r="A994" s="23"/>
      <c r="B994" s="23"/>
    </row>
    <row r="995" spans="1:32" ht="22.8" x14ac:dyDescent="0.25">
      <c r="A995" s="132" t="str">
        <f>'INSCRIPCION '!A$2</f>
        <v>CAMPO DE TIRO LA ISLA</v>
      </c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L995" s="132"/>
      <c r="M995" s="132"/>
      <c r="N995" s="132"/>
      <c r="O995" s="132"/>
      <c r="P995" s="132"/>
      <c r="Q995" s="132"/>
      <c r="R995" s="132"/>
      <c r="S995" s="132"/>
      <c r="T995" s="132"/>
      <c r="U995" s="132"/>
      <c r="V995" s="132"/>
      <c r="W995" s="132"/>
      <c r="X995" s="132"/>
      <c r="Y995" s="132"/>
      <c r="Z995" s="132"/>
      <c r="AA995" s="132"/>
      <c r="AB995" s="132"/>
      <c r="AC995" s="132"/>
      <c r="AD995" s="132"/>
      <c r="AE995" s="132"/>
      <c r="AF995" s="132"/>
    </row>
    <row r="996" spans="1:32" ht="20.399999999999999" x14ac:dyDescent="0.25">
      <c r="A996" s="143" t="str">
        <f>'INSCRIPCION '!A$3</f>
        <v>XXX PLATOS</v>
      </c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143"/>
      <c r="N996" s="143"/>
      <c r="O996" s="143"/>
      <c r="P996" s="143"/>
      <c r="Q996" s="143"/>
      <c r="R996" s="143"/>
      <c r="S996" s="143"/>
      <c r="T996" s="143"/>
      <c r="U996" s="143"/>
      <c r="V996" s="143"/>
      <c r="W996" s="143"/>
      <c r="X996" s="143"/>
      <c r="Y996" s="143"/>
      <c r="Z996" s="143"/>
      <c r="AA996" s="143"/>
      <c r="AB996" s="143"/>
      <c r="AC996" s="143"/>
      <c r="AD996" s="143"/>
      <c r="AE996" s="143"/>
      <c r="AF996" s="143"/>
    </row>
    <row r="997" spans="1:32" ht="22.8" x14ac:dyDescent="0.4">
      <c r="A997" s="24"/>
      <c r="B997" s="24"/>
    </row>
    <row r="998" spans="1:32" ht="17.399999999999999" x14ac:dyDescent="0.3">
      <c r="A998" s="25" t="s">
        <v>67</v>
      </c>
      <c r="B998" s="25"/>
      <c r="J998" s="9" t="s">
        <v>6</v>
      </c>
      <c r="K998" s="9"/>
      <c r="L998" s="9"/>
      <c r="M998" s="9"/>
      <c r="N998" s="9"/>
      <c r="O998" s="22">
        <v>2</v>
      </c>
      <c r="P998" s="22"/>
      <c r="Q998" s="8"/>
      <c r="R998" s="8"/>
      <c r="S998" s="7"/>
      <c r="T998" s="8"/>
      <c r="U998" s="8"/>
      <c r="V998" s="9" t="s">
        <v>7</v>
      </c>
      <c r="W998" s="9"/>
      <c r="X998" s="9"/>
      <c r="Y998" s="9"/>
      <c r="Z998" s="22">
        <v>4</v>
      </c>
      <c r="AA998" s="22"/>
    </row>
    <row r="999" spans="1:32" ht="13.8" thickBot="1" x14ac:dyDescent="0.3"/>
    <row r="1000" spans="1:32" ht="15.6" thickBot="1" x14ac:dyDescent="0.3">
      <c r="A1000" s="27" t="s">
        <v>0</v>
      </c>
      <c r="B1000" s="27" t="s">
        <v>8</v>
      </c>
      <c r="C1000" s="47">
        <v>1</v>
      </c>
      <c r="D1000" s="48">
        <v>2</v>
      </c>
      <c r="E1000" s="48">
        <v>3</v>
      </c>
      <c r="F1000" s="48">
        <v>4</v>
      </c>
      <c r="G1000" s="49">
        <v>5</v>
      </c>
      <c r="H1000" s="47">
        <v>6</v>
      </c>
      <c r="I1000" s="48">
        <v>7</v>
      </c>
      <c r="J1000" s="48">
        <v>8</v>
      </c>
      <c r="K1000" s="48">
        <v>9</v>
      </c>
      <c r="L1000" s="49">
        <v>10</v>
      </c>
      <c r="M1000" s="47">
        <v>11</v>
      </c>
      <c r="N1000" s="48">
        <v>12</v>
      </c>
      <c r="O1000" s="48">
        <v>13</v>
      </c>
      <c r="P1000" s="48">
        <v>14</v>
      </c>
      <c r="Q1000" s="49">
        <v>15</v>
      </c>
      <c r="R1000" s="47">
        <v>16</v>
      </c>
      <c r="S1000" s="48">
        <v>17</v>
      </c>
      <c r="T1000" s="48">
        <v>18</v>
      </c>
      <c r="U1000" s="48">
        <v>19</v>
      </c>
      <c r="V1000" s="49">
        <v>20</v>
      </c>
      <c r="W1000" s="47">
        <v>21</v>
      </c>
      <c r="X1000" s="48">
        <v>22</v>
      </c>
      <c r="Y1000" s="48">
        <v>23</v>
      </c>
      <c r="Z1000" s="48">
        <v>24</v>
      </c>
      <c r="AA1000" s="49">
        <v>25</v>
      </c>
      <c r="AB1000" s="30" t="s">
        <v>1</v>
      </c>
    </row>
    <row r="1001" spans="1:32" ht="14.25" customHeight="1" thickTop="1" thickBot="1" x14ac:dyDescent="0.3">
      <c r="A1001" s="148">
        <f>ESCUADRAS!B190</f>
        <v>184</v>
      </c>
      <c r="B1001" s="148">
        <f>ESCUADRAS!C190</f>
        <v>0</v>
      </c>
      <c r="C1001" s="129"/>
      <c r="D1001" s="114"/>
      <c r="E1001" s="114"/>
      <c r="F1001" s="114"/>
      <c r="G1001" s="117"/>
      <c r="H1001" s="111"/>
      <c r="I1001" s="105"/>
      <c r="J1001" s="105"/>
      <c r="K1001" s="105"/>
      <c r="L1001" s="108"/>
      <c r="M1001" s="111"/>
      <c r="N1001" s="105"/>
      <c r="O1001" s="105"/>
      <c r="P1001" s="105"/>
      <c r="Q1001" s="108"/>
      <c r="R1001" s="111"/>
      <c r="S1001" s="105"/>
      <c r="T1001" s="105"/>
      <c r="U1001" s="105"/>
      <c r="V1001" s="108"/>
      <c r="W1001" s="111"/>
      <c r="X1001" s="105"/>
      <c r="Y1001" s="105"/>
      <c r="Z1001" s="105"/>
      <c r="AA1001" s="108"/>
      <c r="AB1001" s="133"/>
    </row>
    <row r="1002" spans="1:32" ht="14.25" customHeight="1" thickTop="1" thickBot="1" x14ac:dyDescent="0.3">
      <c r="A1002" s="148"/>
      <c r="B1002" s="148"/>
      <c r="C1002" s="130"/>
      <c r="D1002" s="115"/>
      <c r="E1002" s="115"/>
      <c r="F1002" s="115"/>
      <c r="G1002" s="118"/>
      <c r="H1002" s="112"/>
      <c r="I1002" s="106"/>
      <c r="J1002" s="106"/>
      <c r="K1002" s="106"/>
      <c r="L1002" s="109"/>
      <c r="M1002" s="112"/>
      <c r="N1002" s="106"/>
      <c r="O1002" s="106"/>
      <c r="P1002" s="106"/>
      <c r="Q1002" s="109"/>
      <c r="R1002" s="112"/>
      <c r="S1002" s="106"/>
      <c r="T1002" s="106"/>
      <c r="U1002" s="106"/>
      <c r="V1002" s="109"/>
      <c r="W1002" s="112"/>
      <c r="X1002" s="106"/>
      <c r="Y1002" s="106"/>
      <c r="Z1002" s="106"/>
      <c r="AA1002" s="109"/>
      <c r="AB1002" s="134"/>
    </row>
    <row r="1003" spans="1:32" ht="14.25" customHeight="1" thickTop="1" thickBot="1" x14ac:dyDescent="0.3">
      <c r="A1003" s="148"/>
      <c r="B1003" s="148"/>
      <c r="C1003" s="131"/>
      <c r="D1003" s="116"/>
      <c r="E1003" s="116"/>
      <c r="F1003" s="116"/>
      <c r="G1003" s="119"/>
      <c r="H1003" s="113"/>
      <c r="I1003" s="107"/>
      <c r="J1003" s="107"/>
      <c r="K1003" s="107"/>
      <c r="L1003" s="110"/>
      <c r="M1003" s="113"/>
      <c r="N1003" s="107"/>
      <c r="O1003" s="107"/>
      <c r="P1003" s="107"/>
      <c r="Q1003" s="110"/>
      <c r="R1003" s="113"/>
      <c r="S1003" s="107"/>
      <c r="T1003" s="107"/>
      <c r="U1003" s="107"/>
      <c r="V1003" s="110"/>
      <c r="W1003" s="113"/>
      <c r="X1003" s="107"/>
      <c r="Y1003" s="107"/>
      <c r="Z1003" s="107"/>
      <c r="AA1003" s="110"/>
      <c r="AB1003" s="135"/>
    </row>
    <row r="1004" spans="1:32" ht="13.5" customHeight="1" thickTop="1" thickBot="1" x14ac:dyDescent="0.3">
      <c r="A1004" s="148">
        <f>ESCUADRAS!B191</f>
        <v>185</v>
      </c>
      <c r="B1004" s="148">
        <f>ESCUADRAS!C191</f>
        <v>0</v>
      </c>
      <c r="C1004" s="93"/>
      <c r="D1004" s="123"/>
      <c r="E1004" s="123"/>
      <c r="F1004" s="123"/>
      <c r="G1004" s="126"/>
      <c r="H1004" s="102"/>
      <c r="I1004" s="96"/>
      <c r="J1004" s="96"/>
      <c r="K1004" s="96"/>
      <c r="L1004" s="99"/>
      <c r="M1004" s="102"/>
      <c r="N1004" s="96"/>
      <c r="O1004" s="96"/>
      <c r="P1004" s="96"/>
      <c r="Q1004" s="99"/>
      <c r="R1004" s="102"/>
      <c r="S1004" s="96"/>
      <c r="T1004" s="96"/>
      <c r="U1004" s="96"/>
      <c r="V1004" s="99"/>
      <c r="W1004" s="111"/>
      <c r="X1004" s="105"/>
      <c r="Y1004" s="105"/>
      <c r="Z1004" s="105"/>
      <c r="AA1004" s="108"/>
      <c r="AB1004" s="133"/>
    </row>
    <row r="1005" spans="1:32" ht="12.75" customHeight="1" thickTop="1" thickBot="1" x14ac:dyDescent="0.3">
      <c r="A1005" s="148"/>
      <c r="B1005" s="148"/>
      <c r="C1005" s="94"/>
      <c r="D1005" s="124"/>
      <c r="E1005" s="124"/>
      <c r="F1005" s="124"/>
      <c r="G1005" s="127"/>
      <c r="H1005" s="103"/>
      <c r="I1005" s="97"/>
      <c r="J1005" s="97"/>
      <c r="K1005" s="97"/>
      <c r="L1005" s="100"/>
      <c r="M1005" s="103"/>
      <c r="N1005" s="97"/>
      <c r="O1005" s="97"/>
      <c r="P1005" s="97"/>
      <c r="Q1005" s="100"/>
      <c r="R1005" s="103"/>
      <c r="S1005" s="97"/>
      <c r="T1005" s="97"/>
      <c r="U1005" s="97"/>
      <c r="V1005" s="100"/>
      <c r="W1005" s="112"/>
      <c r="X1005" s="106"/>
      <c r="Y1005" s="106"/>
      <c r="Z1005" s="106"/>
      <c r="AA1005" s="109"/>
      <c r="AB1005" s="134"/>
    </row>
    <row r="1006" spans="1:32" ht="13.5" customHeight="1" thickTop="1" thickBot="1" x14ac:dyDescent="0.3">
      <c r="A1006" s="148"/>
      <c r="B1006" s="148"/>
      <c r="C1006" s="95"/>
      <c r="D1006" s="125"/>
      <c r="E1006" s="125"/>
      <c r="F1006" s="125"/>
      <c r="G1006" s="128"/>
      <c r="H1006" s="104"/>
      <c r="I1006" s="98"/>
      <c r="J1006" s="98"/>
      <c r="K1006" s="98"/>
      <c r="L1006" s="101"/>
      <c r="M1006" s="104"/>
      <c r="N1006" s="98"/>
      <c r="O1006" s="98"/>
      <c r="P1006" s="98"/>
      <c r="Q1006" s="101"/>
      <c r="R1006" s="104"/>
      <c r="S1006" s="98"/>
      <c r="T1006" s="98"/>
      <c r="U1006" s="98"/>
      <c r="V1006" s="101"/>
      <c r="W1006" s="113"/>
      <c r="X1006" s="107"/>
      <c r="Y1006" s="107"/>
      <c r="Z1006" s="107"/>
      <c r="AA1006" s="110"/>
      <c r="AB1006" s="135"/>
    </row>
    <row r="1007" spans="1:32" ht="14.25" customHeight="1" thickTop="1" thickBot="1" x14ac:dyDescent="0.3">
      <c r="A1007" s="148">
        <f>ESCUADRAS!B192</f>
        <v>186</v>
      </c>
      <c r="B1007" s="148">
        <f>ESCUADRAS!C192</f>
        <v>0</v>
      </c>
      <c r="C1007" s="93"/>
      <c r="D1007" s="123"/>
      <c r="E1007" s="123"/>
      <c r="F1007" s="123"/>
      <c r="G1007" s="126"/>
      <c r="H1007" s="102"/>
      <c r="I1007" s="96"/>
      <c r="J1007" s="96"/>
      <c r="K1007" s="96"/>
      <c r="L1007" s="99"/>
      <c r="M1007" s="102"/>
      <c r="N1007" s="96"/>
      <c r="O1007" s="96"/>
      <c r="P1007" s="96"/>
      <c r="Q1007" s="99"/>
      <c r="R1007" s="111"/>
      <c r="S1007" s="105"/>
      <c r="T1007" s="105"/>
      <c r="U1007" s="105"/>
      <c r="V1007" s="108"/>
      <c r="W1007" s="102"/>
      <c r="X1007" s="96"/>
      <c r="Y1007" s="96"/>
      <c r="Z1007" s="96"/>
      <c r="AA1007" s="99"/>
      <c r="AB1007" s="133"/>
    </row>
    <row r="1008" spans="1:32" ht="14.25" customHeight="1" thickTop="1" thickBot="1" x14ac:dyDescent="0.3">
      <c r="A1008" s="148"/>
      <c r="B1008" s="148"/>
      <c r="C1008" s="94"/>
      <c r="D1008" s="124"/>
      <c r="E1008" s="124"/>
      <c r="F1008" s="124"/>
      <c r="G1008" s="127"/>
      <c r="H1008" s="103"/>
      <c r="I1008" s="97"/>
      <c r="J1008" s="97"/>
      <c r="K1008" s="97"/>
      <c r="L1008" s="100"/>
      <c r="M1008" s="103"/>
      <c r="N1008" s="97"/>
      <c r="O1008" s="97"/>
      <c r="P1008" s="97"/>
      <c r="Q1008" s="100"/>
      <c r="R1008" s="112"/>
      <c r="S1008" s="106"/>
      <c r="T1008" s="106"/>
      <c r="U1008" s="106"/>
      <c r="V1008" s="109"/>
      <c r="W1008" s="103"/>
      <c r="X1008" s="97"/>
      <c r="Y1008" s="97"/>
      <c r="Z1008" s="97"/>
      <c r="AA1008" s="100"/>
      <c r="AB1008" s="134"/>
    </row>
    <row r="1009" spans="1:28" ht="14.25" customHeight="1" thickTop="1" thickBot="1" x14ac:dyDescent="0.3">
      <c r="A1009" s="148"/>
      <c r="B1009" s="148"/>
      <c r="C1009" s="95"/>
      <c r="D1009" s="125"/>
      <c r="E1009" s="125"/>
      <c r="F1009" s="125"/>
      <c r="G1009" s="128"/>
      <c r="H1009" s="104"/>
      <c r="I1009" s="98"/>
      <c r="J1009" s="98"/>
      <c r="K1009" s="98"/>
      <c r="L1009" s="101"/>
      <c r="M1009" s="104"/>
      <c r="N1009" s="98"/>
      <c r="O1009" s="98"/>
      <c r="P1009" s="98"/>
      <c r="Q1009" s="101"/>
      <c r="R1009" s="113"/>
      <c r="S1009" s="107"/>
      <c r="T1009" s="107"/>
      <c r="U1009" s="107"/>
      <c r="V1009" s="110"/>
      <c r="W1009" s="104"/>
      <c r="X1009" s="98"/>
      <c r="Y1009" s="98"/>
      <c r="Z1009" s="98"/>
      <c r="AA1009" s="101"/>
      <c r="AB1009" s="135"/>
    </row>
    <row r="1010" spans="1:28" ht="13.5" customHeight="1" thickTop="1" thickBot="1" x14ac:dyDescent="0.3">
      <c r="A1010" s="148">
        <f>ESCUADRAS!B187</f>
        <v>181</v>
      </c>
      <c r="B1010" s="148">
        <f>ESCUADRAS!C187</f>
        <v>0</v>
      </c>
      <c r="C1010" s="93"/>
      <c r="D1010" s="123"/>
      <c r="E1010" s="123"/>
      <c r="F1010" s="123"/>
      <c r="G1010" s="126"/>
      <c r="H1010" s="102"/>
      <c r="I1010" s="96"/>
      <c r="J1010" s="96"/>
      <c r="K1010" s="96"/>
      <c r="L1010" s="99"/>
      <c r="M1010" s="111"/>
      <c r="N1010" s="105"/>
      <c r="O1010" s="105"/>
      <c r="P1010" s="105"/>
      <c r="Q1010" s="108"/>
      <c r="R1010" s="102"/>
      <c r="S1010" s="96"/>
      <c r="T1010" s="96"/>
      <c r="U1010" s="96"/>
      <c r="V1010" s="99"/>
      <c r="W1010" s="102"/>
      <c r="X1010" s="96"/>
      <c r="Y1010" s="96"/>
      <c r="Z1010" s="96"/>
      <c r="AA1010" s="99"/>
      <c r="AB1010" s="133"/>
    </row>
    <row r="1011" spans="1:28" ht="12.75" customHeight="1" thickTop="1" thickBot="1" x14ac:dyDescent="0.3">
      <c r="A1011" s="148"/>
      <c r="B1011" s="148"/>
      <c r="C1011" s="94"/>
      <c r="D1011" s="124"/>
      <c r="E1011" s="124"/>
      <c r="F1011" s="124"/>
      <c r="G1011" s="127"/>
      <c r="H1011" s="103"/>
      <c r="I1011" s="97"/>
      <c r="J1011" s="97"/>
      <c r="K1011" s="97"/>
      <c r="L1011" s="100"/>
      <c r="M1011" s="112"/>
      <c r="N1011" s="106"/>
      <c r="O1011" s="106"/>
      <c r="P1011" s="106"/>
      <c r="Q1011" s="109"/>
      <c r="R1011" s="103"/>
      <c r="S1011" s="97"/>
      <c r="T1011" s="97"/>
      <c r="U1011" s="97"/>
      <c r="V1011" s="100"/>
      <c r="W1011" s="103"/>
      <c r="X1011" s="97"/>
      <c r="Y1011" s="97"/>
      <c r="Z1011" s="97"/>
      <c r="AA1011" s="100"/>
      <c r="AB1011" s="134"/>
    </row>
    <row r="1012" spans="1:28" ht="13.5" customHeight="1" thickTop="1" thickBot="1" x14ac:dyDescent="0.3">
      <c r="A1012" s="148"/>
      <c r="B1012" s="148"/>
      <c r="C1012" s="95"/>
      <c r="D1012" s="125"/>
      <c r="E1012" s="125"/>
      <c r="F1012" s="125"/>
      <c r="G1012" s="128"/>
      <c r="H1012" s="104"/>
      <c r="I1012" s="98"/>
      <c r="J1012" s="98"/>
      <c r="K1012" s="98"/>
      <c r="L1012" s="101"/>
      <c r="M1012" s="113"/>
      <c r="N1012" s="107"/>
      <c r="O1012" s="107"/>
      <c r="P1012" s="107"/>
      <c r="Q1012" s="110"/>
      <c r="R1012" s="104"/>
      <c r="S1012" s="98"/>
      <c r="T1012" s="98"/>
      <c r="U1012" s="98"/>
      <c r="V1012" s="101"/>
      <c r="W1012" s="104"/>
      <c r="X1012" s="98"/>
      <c r="Y1012" s="98"/>
      <c r="Z1012" s="98"/>
      <c r="AA1012" s="101"/>
      <c r="AB1012" s="135"/>
    </row>
    <row r="1013" spans="1:28" ht="14.25" customHeight="1" thickTop="1" thickBot="1" x14ac:dyDescent="0.3">
      <c r="A1013" s="148">
        <f>ESCUADRAS!B188</f>
        <v>182</v>
      </c>
      <c r="B1013" s="148">
        <f>ESCUADRAS!C188</f>
        <v>0</v>
      </c>
      <c r="C1013" s="93"/>
      <c r="D1013" s="123"/>
      <c r="E1013" s="123"/>
      <c r="F1013" s="123"/>
      <c r="G1013" s="126"/>
      <c r="H1013" s="111"/>
      <c r="I1013" s="105"/>
      <c r="J1013" s="105"/>
      <c r="K1013" s="105"/>
      <c r="L1013" s="108"/>
      <c r="M1013" s="102"/>
      <c r="N1013" s="96"/>
      <c r="O1013" s="96"/>
      <c r="P1013" s="96"/>
      <c r="Q1013" s="99"/>
      <c r="R1013" s="102"/>
      <c r="S1013" s="96"/>
      <c r="T1013" s="96"/>
      <c r="U1013" s="96"/>
      <c r="V1013" s="99"/>
      <c r="W1013" s="102"/>
      <c r="X1013" s="96"/>
      <c r="Y1013" s="96"/>
      <c r="Z1013" s="96"/>
      <c r="AA1013" s="99"/>
      <c r="AB1013" s="133"/>
    </row>
    <row r="1014" spans="1:28" ht="14.25" customHeight="1" thickTop="1" thickBot="1" x14ac:dyDescent="0.3">
      <c r="A1014" s="148"/>
      <c r="B1014" s="148"/>
      <c r="C1014" s="94"/>
      <c r="D1014" s="124"/>
      <c r="E1014" s="124"/>
      <c r="F1014" s="124"/>
      <c r="G1014" s="127"/>
      <c r="H1014" s="112"/>
      <c r="I1014" s="106"/>
      <c r="J1014" s="106"/>
      <c r="K1014" s="106"/>
      <c r="L1014" s="109"/>
      <c r="M1014" s="103"/>
      <c r="N1014" s="97"/>
      <c r="O1014" s="97"/>
      <c r="P1014" s="97"/>
      <c r="Q1014" s="100"/>
      <c r="R1014" s="103"/>
      <c r="S1014" s="97"/>
      <c r="T1014" s="97"/>
      <c r="U1014" s="97"/>
      <c r="V1014" s="100"/>
      <c r="W1014" s="103"/>
      <c r="X1014" s="97"/>
      <c r="Y1014" s="97"/>
      <c r="Z1014" s="97"/>
      <c r="AA1014" s="100"/>
      <c r="AB1014" s="134"/>
    </row>
    <row r="1015" spans="1:28" ht="14.25" customHeight="1" thickTop="1" thickBot="1" x14ac:dyDescent="0.3">
      <c r="A1015" s="148"/>
      <c r="B1015" s="148"/>
      <c r="C1015" s="95"/>
      <c r="D1015" s="125"/>
      <c r="E1015" s="125"/>
      <c r="F1015" s="125"/>
      <c r="G1015" s="128"/>
      <c r="H1015" s="113"/>
      <c r="I1015" s="107"/>
      <c r="J1015" s="107"/>
      <c r="K1015" s="107"/>
      <c r="L1015" s="110"/>
      <c r="M1015" s="104"/>
      <c r="N1015" s="98"/>
      <c r="O1015" s="98"/>
      <c r="P1015" s="98"/>
      <c r="Q1015" s="101"/>
      <c r="R1015" s="104"/>
      <c r="S1015" s="98"/>
      <c r="T1015" s="98"/>
      <c r="U1015" s="98"/>
      <c r="V1015" s="101"/>
      <c r="W1015" s="104"/>
      <c r="X1015" s="98"/>
      <c r="Y1015" s="98"/>
      <c r="Z1015" s="98"/>
      <c r="AA1015" s="101"/>
      <c r="AB1015" s="135"/>
    </row>
    <row r="1016" spans="1:28" ht="13.5" customHeight="1" thickTop="1" thickBot="1" x14ac:dyDescent="0.3">
      <c r="A1016" s="148">
        <f>ESCUADRAS!B189</f>
        <v>183</v>
      </c>
      <c r="B1016" s="148">
        <f>ESCUADRAS!C189</f>
        <v>0</v>
      </c>
      <c r="C1016" s="111"/>
      <c r="D1016" s="105"/>
      <c r="E1016" s="105"/>
      <c r="F1016" s="105"/>
      <c r="G1016" s="108"/>
      <c r="H1016" s="122"/>
      <c r="I1016" s="120"/>
      <c r="J1016" s="120"/>
      <c r="K1016" s="120"/>
      <c r="L1016" s="121"/>
      <c r="M1016" s="122"/>
      <c r="N1016" s="120"/>
      <c r="O1016" s="120"/>
      <c r="P1016" s="120"/>
      <c r="Q1016" s="121"/>
      <c r="R1016" s="122"/>
      <c r="S1016" s="120"/>
      <c r="T1016" s="120"/>
      <c r="U1016" s="120"/>
      <c r="V1016" s="121"/>
      <c r="W1016" s="122"/>
      <c r="X1016" s="120"/>
      <c r="Y1016" s="120"/>
      <c r="Z1016" s="120"/>
      <c r="AA1016" s="121"/>
      <c r="AB1016" s="133"/>
    </row>
    <row r="1017" spans="1:28" ht="12.75" customHeight="1" thickTop="1" thickBot="1" x14ac:dyDescent="0.3">
      <c r="A1017" s="148"/>
      <c r="B1017" s="148"/>
      <c r="C1017" s="112"/>
      <c r="D1017" s="106"/>
      <c r="E1017" s="106"/>
      <c r="F1017" s="106"/>
      <c r="G1017" s="109"/>
      <c r="H1017" s="103"/>
      <c r="I1017" s="97"/>
      <c r="J1017" s="97"/>
      <c r="K1017" s="97"/>
      <c r="L1017" s="100"/>
      <c r="M1017" s="103"/>
      <c r="N1017" s="97"/>
      <c r="O1017" s="97"/>
      <c r="P1017" s="97"/>
      <c r="Q1017" s="100"/>
      <c r="R1017" s="103"/>
      <c r="S1017" s="97"/>
      <c r="T1017" s="97"/>
      <c r="U1017" s="97"/>
      <c r="V1017" s="100"/>
      <c r="W1017" s="103"/>
      <c r="X1017" s="97"/>
      <c r="Y1017" s="97"/>
      <c r="Z1017" s="97"/>
      <c r="AA1017" s="100"/>
      <c r="AB1017" s="134"/>
    </row>
    <row r="1018" spans="1:28" ht="13.5" customHeight="1" thickTop="1" thickBot="1" x14ac:dyDescent="0.3">
      <c r="A1018" s="148"/>
      <c r="B1018" s="148"/>
      <c r="C1018" s="113"/>
      <c r="D1018" s="107"/>
      <c r="E1018" s="107"/>
      <c r="F1018" s="107"/>
      <c r="G1018" s="110"/>
      <c r="H1018" s="104"/>
      <c r="I1018" s="98"/>
      <c r="J1018" s="98"/>
      <c r="K1018" s="98"/>
      <c r="L1018" s="101"/>
      <c r="M1018" s="104"/>
      <c r="N1018" s="98"/>
      <c r="O1018" s="98"/>
      <c r="P1018" s="98"/>
      <c r="Q1018" s="101"/>
      <c r="R1018" s="104"/>
      <c r="S1018" s="98"/>
      <c r="T1018" s="98"/>
      <c r="U1018" s="98"/>
      <c r="V1018" s="101"/>
      <c r="W1018" s="104"/>
      <c r="X1018" s="98"/>
      <c r="Y1018" s="98"/>
      <c r="Z1018" s="98"/>
      <c r="AA1018" s="101"/>
      <c r="AB1018" s="135"/>
    </row>
    <row r="1019" spans="1:28" ht="13.8" thickTop="1" x14ac:dyDescent="0.25"/>
    <row r="1020" spans="1:28" ht="15" x14ac:dyDescent="0.25">
      <c r="A1020" s="28"/>
      <c r="B1020" s="26" t="s">
        <v>35</v>
      </c>
      <c r="E1020" s="21" t="s">
        <v>41</v>
      </c>
      <c r="I1020" s="21" t="s">
        <v>42</v>
      </c>
      <c r="M1020" s="21" t="s">
        <v>43</v>
      </c>
      <c r="Q1020" s="21" t="s">
        <v>44</v>
      </c>
      <c r="U1020" s="21" t="s">
        <v>45</v>
      </c>
      <c r="Y1020" s="21" t="s">
        <v>46</v>
      </c>
    </row>
    <row r="1026" spans="1:32" ht="24.6" x14ac:dyDescent="0.25">
      <c r="A1026" s="144" t="str">
        <f>'INSCRIPCION '!A$1</f>
        <v>TIRADA</v>
      </c>
      <c r="B1026" s="144"/>
      <c r="C1026" s="144"/>
      <c r="D1026" s="144"/>
      <c r="E1026" s="144"/>
      <c r="F1026" s="144"/>
      <c r="G1026" s="144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  <c r="AF1026" s="144"/>
    </row>
    <row r="1027" spans="1:32" ht="24.6" x14ac:dyDescent="0.4">
      <c r="A1027" s="23"/>
      <c r="B1027" s="23"/>
    </row>
    <row r="1028" spans="1:32" ht="22.8" x14ac:dyDescent="0.25">
      <c r="A1028" s="132" t="str">
        <f>'INSCRIPCION '!A$2</f>
        <v>CAMPO DE TIRO LA ISLA</v>
      </c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L1028" s="132"/>
      <c r="M1028" s="132"/>
      <c r="N1028" s="132"/>
      <c r="O1028" s="132"/>
      <c r="P1028" s="132"/>
      <c r="Q1028" s="132"/>
      <c r="R1028" s="132"/>
      <c r="S1028" s="132"/>
      <c r="T1028" s="132"/>
      <c r="U1028" s="132"/>
      <c r="V1028" s="132"/>
      <c r="W1028" s="132"/>
      <c r="X1028" s="132"/>
      <c r="Y1028" s="132"/>
      <c r="Z1028" s="132"/>
      <c r="AA1028" s="132"/>
      <c r="AB1028" s="132"/>
      <c r="AC1028" s="132"/>
      <c r="AD1028" s="132"/>
      <c r="AE1028" s="132"/>
      <c r="AF1028" s="132"/>
    </row>
    <row r="1029" spans="1:32" ht="20.399999999999999" x14ac:dyDescent="0.25">
      <c r="A1029" s="143" t="str">
        <f>'INSCRIPCION '!A$3</f>
        <v>XXX PLATOS</v>
      </c>
      <c r="B1029" s="143"/>
      <c r="C1029" s="143"/>
      <c r="D1029" s="143"/>
      <c r="E1029" s="143"/>
      <c r="F1029" s="143"/>
      <c r="G1029" s="143"/>
      <c r="H1029" s="143"/>
      <c r="I1029" s="143"/>
      <c r="J1029" s="143"/>
      <c r="K1029" s="143"/>
      <c r="L1029" s="143"/>
      <c r="M1029" s="143"/>
      <c r="N1029" s="143"/>
      <c r="O1029" s="143"/>
      <c r="P1029" s="143"/>
      <c r="Q1029" s="143"/>
      <c r="R1029" s="143"/>
      <c r="S1029" s="143"/>
      <c r="T1029" s="143"/>
      <c r="U1029" s="143"/>
      <c r="V1029" s="143"/>
      <c r="W1029" s="143"/>
      <c r="X1029" s="143"/>
      <c r="Y1029" s="143"/>
      <c r="Z1029" s="143"/>
      <c r="AA1029" s="143"/>
      <c r="AB1029" s="143"/>
      <c r="AC1029" s="143"/>
      <c r="AD1029" s="143"/>
      <c r="AE1029" s="143"/>
      <c r="AF1029" s="143"/>
    </row>
    <row r="1030" spans="1:32" ht="22.8" x14ac:dyDescent="0.4">
      <c r="A1030" s="24"/>
      <c r="B1030" s="24"/>
    </row>
    <row r="1031" spans="1:32" ht="17.399999999999999" x14ac:dyDescent="0.3">
      <c r="A1031" s="25" t="s">
        <v>68</v>
      </c>
      <c r="B1031" s="25"/>
      <c r="J1031" s="9" t="s">
        <v>6</v>
      </c>
      <c r="K1031" s="9"/>
      <c r="L1031" s="9"/>
      <c r="M1031" s="9"/>
      <c r="N1031" s="9"/>
      <c r="O1031" s="22">
        <v>3</v>
      </c>
      <c r="P1031" s="22"/>
      <c r="Q1031" s="8"/>
      <c r="R1031" s="8"/>
      <c r="S1031" s="7"/>
      <c r="T1031" s="8"/>
      <c r="U1031" s="8"/>
      <c r="V1031" s="9" t="s">
        <v>7</v>
      </c>
      <c r="W1031" s="9"/>
      <c r="X1031" s="9"/>
      <c r="Y1031" s="9"/>
      <c r="Z1031" s="22">
        <v>4</v>
      </c>
      <c r="AA1031" s="22"/>
    </row>
    <row r="1032" spans="1:32" ht="13.8" thickBot="1" x14ac:dyDescent="0.3"/>
    <row r="1033" spans="1:32" ht="15.6" thickBot="1" x14ac:dyDescent="0.3">
      <c r="A1033" s="27" t="s">
        <v>0</v>
      </c>
      <c r="B1033" s="27" t="s">
        <v>8</v>
      </c>
      <c r="C1033" s="47">
        <v>1</v>
      </c>
      <c r="D1033" s="48">
        <v>2</v>
      </c>
      <c r="E1033" s="48">
        <v>3</v>
      </c>
      <c r="F1033" s="48">
        <v>4</v>
      </c>
      <c r="G1033" s="49">
        <v>5</v>
      </c>
      <c r="H1033" s="47">
        <v>6</v>
      </c>
      <c r="I1033" s="48">
        <v>7</v>
      </c>
      <c r="J1033" s="48">
        <v>8</v>
      </c>
      <c r="K1033" s="48">
        <v>9</v>
      </c>
      <c r="L1033" s="49">
        <v>10</v>
      </c>
      <c r="M1033" s="47">
        <v>11</v>
      </c>
      <c r="N1033" s="48">
        <v>12</v>
      </c>
      <c r="O1033" s="48">
        <v>13</v>
      </c>
      <c r="P1033" s="48">
        <v>14</v>
      </c>
      <c r="Q1033" s="49">
        <v>15</v>
      </c>
      <c r="R1033" s="47">
        <v>16</v>
      </c>
      <c r="S1033" s="48">
        <v>17</v>
      </c>
      <c r="T1033" s="48">
        <v>18</v>
      </c>
      <c r="U1033" s="48">
        <v>19</v>
      </c>
      <c r="V1033" s="49">
        <v>20</v>
      </c>
      <c r="W1033" s="47">
        <v>21</v>
      </c>
      <c r="X1033" s="48">
        <v>22</v>
      </c>
      <c r="Y1033" s="48">
        <v>23</v>
      </c>
      <c r="Z1033" s="48">
        <v>24</v>
      </c>
      <c r="AA1033" s="49">
        <v>25</v>
      </c>
      <c r="AB1033" s="30" t="s">
        <v>1</v>
      </c>
    </row>
    <row r="1034" spans="1:32" ht="14.25" customHeight="1" x14ac:dyDescent="0.25">
      <c r="A1034" s="136">
        <f>ESCUADRAS!B196</f>
        <v>190</v>
      </c>
      <c r="B1034" s="136">
        <f>ESCUADRAS!C196</f>
        <v>0</v>
      </c>
      <c r="C1034" s="129"/>
      <c r="D1034" s="114"/>
      <c r="E1034" s="114"/>
      <c r="F1034" s="114"/>
      <c r="G1034" s="117"/>
      <c r="H1034" s="111"/>
      <c r="I1034" s="105"/>
      <c r="J1034" s="105"/>
      <c r="K1034" s="105"/>
      <c r="L1034" s="108"/>
      <c r="M1034" s="111"/>
      <c r="N1034" s="105"/>
      <c r="O1034" s="105"/>
      <c r="P1034" s="105"/>
      <c r="Q1034" s="108"/>
      <c r="R1034" s="111"/>
      <c r="S1034" s="105"/>
      <c r="T1034" s="105"/>
      <c r="U1034" s="105"/>
      <c r="V1034" s="108"/>
      <c r="W1034" s="111"/>
      <c r="X1034" s="105"/>
      <c r="Y1034" s="105"/>
      <c r="Z1034" s="105"/>
      <c r="AA1034" s="108"/>
      <c r="AB1034" s="133"/>
    </row>
    <row r="1035" spans="1:32" ht="14.25" customHeight="1" x14ac:dyDescent="0.25">
      <c r="A1035" s="137"/>
      <c r="B1035" s="137"/>
      <c r="C1035" s="130"/>
      <c r="D1035" s="115"/>
      <c r="E1035" s="115"/>
      <c r="F1035" s="115"/>
      <c r="G1035" s="118"/>
      <c r="H1035" s="112"/>
      <c r="I1035" s="106"/>
      <c r="J1035" s="106"/>
      <c r="K1035" s="106"/>
      <c r="L1035" s="109"/>
      <c r="M1035" s="112"/>
      <c r="N1035" s="106"/>
      <c r="O1035" s="106"/>
      <c r="P1035" s="106"/>
      <c r="Q1035" s="109"/>
      <c r="R1035" s="112"/>
      <c r="S1035" s="106"/>
      <c r="T1035" s="106"/>
      <c r="U1035" s="106"/>
      <c r="V1035" s="109"/>
      <c r="W1035" s="112"/>
      <c r="X1035" s="106"/>
      <c r="Y1035" s="106"/>
      <c r="Z1035" s="106"/>
      <c r="AA1035" s="109"/>
      <c r="AB1035" s="134"/>
    </row>
    <row r="1036" spans="1:32" ht="14.25" customHeight="1" thickBot="1" x14ac:dyDescent="0.3">
      <c r="A1036" s="138"/>
      <c r="B1036" s="138"/>
      <c r="C1036" s="131"/>
      <c r="D1036" s="116"/>
      <c r="E1036" s="116"/>
      <c r="F1036" s="116"/>
      <c r="G1036" s="119"/>
      <c r="H1036" s="113"/>
      <c r="I1036" s="107"/>
      <c r="J1036" s="107"/>
      <c r="K1036" s="107"/>
      <c r="L1036" s="110"/>
      <c r="M1036" s="113"/>
      <c r="N1036" s="107"/>
      <c r="O1036" s="107"/>
      <c r="P1036" s="107"/>
      <c r="Q1036" s="110"/>
      <c r="R1036" s="113"/>
      <c r="S1036" s="107"/>
      <c r="T1036" s="107"/>
      <c r="U1036" s="107"/>
      <c r="V1036" s="110"/>
      <c r="W1036" s="113"/>
      <c r="X1036" s="107"/>
      <c r="Y1036" s="107"/>
      <c r="Z1036" s="107"/>
      <c r="AA1036" s="110"/>
      <c r="AB1036" s="135"/>
    </row>
    <row r="1037" spans="1:32" ht="13.5" customHeight="1" x14ac:dyDescent="0.25">
      <c r="A1037" s="136">
        <f>ESCUADRAS!B197</f>
        <v>191</v>
      </c>
      <c r="B1037" s="136">
        <f>ESCUADRAS!C197</f>
        <v>0</v>
      </c>
      <c r="C1037" s="93"/>
      <c r="D1037" s="123"/>
      <c r="E1037" s="123"/>
      <c r="F1037" s="123"/>
      <c r="G1037" s="126"/>
      <c r="H1037" s="102"/>
      <c r="I1037" s="96"/>
      <c r="J1037" s="96"/>
      <c r="K1037" s="96"/>
      <c r="L1037" s="99"/>
      <c r="M1037" s="102"/>
      <c r="N1037" s="96"/>
      <c r="O1037" s="96"/>
      <c r="P1037" s="96"/>
      <c r="Q1037" s="99"/>
      <c r="R1037" s="102"/>
      <c r="S1037" s="96"/>
      <c r="T1037" s="96"/>
      <c r="U1037" s="96"/>
      <c r="V1037" s="99"/>
      <c r="W1037" s="111"/>
      <c r="X1037" s="105"/>
      <c r="Y1037" s="105"/>
      <c r="Z1037" s="105"/>
      <c r="AA1037" s="108"/>
      <c r="AB1037" s="133"/>
    </row>
    <row r="1038" spans="1:32" ht="12.75" customHeight="1" x14ac:dyDescent="0.25">
      <c r="A1038" s="137"/>
      <c r="B1038" s="137"/>
      <c r="C1038" s="94"/>
      <c r="D1038" s="124"/>
      <c r="E1038" s="124"/>
      <c r="F1038" s="124"/>
      <c r="G1038" s="127"/>
      <c r="H1038" s="103"/>
      <c r="I1038" s="97"/>
      <c r="J1038" s="97"/>
      <c r="K1038" s="97"/>
      <c r="L1038" s="100"/>
      <c r="M1038" s="103"/>
      <c r="N1038" s="97"/>
      <c r="O1038" s="97"/>
      <c r="P1038" s="97"/>
      <c r="Q1038" s="100"/>
      <c r="R1038" s="103"/>
      <c r="S1038" s="97"/>
      <c r="T1038" s="97"/>
      <c r="U1038" s="97"/>
      <c r="V1038" s="100"/>
      <c r="W1038" s="112"/>
      <c r="X1038" s="106"/>
      <c r="Y1038" s="106"/>
      <c r="Z1038" s="106"/>
      <c r="AA1038" s="109"/>
      <c r="AB1038" s="134"/>
    </row>
    <row r="1039" spans="1:32" ht="13.5" customHeight="1" thickBot="1" x14ac:dyDescent="0.3">
      <c r="A1039" s="138"/>
      <c r="B1039" s="138"/>
      <c r="C1039" s="95"/>
      <c r="D1039" s="125"/>
      <c r="E1039" s="125"/>
      <c r="F1039" s="125"/>
      <c r="G1039" s="128"/>
      <c r="H1039" s="104"/>
      <c r="I1039" s="98"/>
      <c r="J1039" s="98"/>
      <c r="K1039" s="98"/>
      <c r="L1039" s="101"/>
      <c r="M1039" s="104"/>
      <c r="N1039" s="98"/>
      <c r="O1039" s="98"/>
      <c r="P1039" s="98"/>
      <c r="Q1039" s="101"/>
      <c r="R1039" s="104"/>
      <c r="S1039" s="98"/>
      <c r="T1039" s="98"/>
      <c r="U1039" s="98"/>
      <c r="V1039" s="101"/>
      <c r="W1039" s="113"/>
      <c r="X1039" s="107"/>
      <c r="Y1039" s="107"/>
      <c r="Z1039" s="107"/>
      <c r="AA1039" s="110"/>
      <c r="AB1039" s="135"/>
    </row>
    <row r="1040" spans="1:32" ht="14.25" customHeight="1" x14ac:dyDescent="0.25">
      <c r="A1040" s="136">
        <f>ESCUADRAS!B198</f>
        <v>192</v>
      </c>
      <c r="B1040" s="136">
        <f>ESCUADRAS!C198</f>
        <v>0</v>
      </c>
      <c r="C1040" s="93"/>
      <c r="D1040" s="123"/>
      <c r="E1040" s="123"/>
      <c r="F1040" s="123"/>
      <c r="G1040" s="126"/>
      <c r="H1040" s="102"/>
      <c r="I1040" s="96"/>
      <c r="J1040" s="96"/>
      <c r="K1040" s="96"/>
      <c r="L1040" s="99"/>
      <c r="M1040" s="102"/>
      <c r="N1040" s="96"/>
      <c r="O1040" s="96"/>
      <c r="P1040" s="96"/>
      <c r="Q1040" s="99"/>
      <c r="R1040" s="111"/>
      <c r="S1040" s="105"/>
      <c r="T1040" s="105"/>
      <c r="U1040" s="105"/>
      <c r="V1040" s="108"/>
      <c r="W1040" s="102"/>
      <c r="X1040" s="96"/>
      <c r="Y1040" s="96"/>
      <c r="Z1040" s="96"/>
      <c r="AA1040" s="99"/>
      <c r="AB1040" s="133"/>
    </row>
    <row r="1041" spans="1:28" ht="14.25" customHeight="1" x14ac:dyDescent="0.25">
      <c r="A1041" s="137"/>
      <c r="B1041" s="137"/>
      <c r="C1041" s="94"/>
      <c r="D1041" s="124"/>
      <c r="E1041" s="124"/>
      <c r="F1041" s="124"/>
      <c r="G1041" s="127"/>
      <c r="H1041" s="103"/>
      <c r="I1041" s="97"/>
      <c r="J1041" s="97"/>
      <c r="K1041" s="97"/>
      <c r="L1041" s="100"/>
      <c r="M1041" s="103"/>
      <c r="N1041" s="97"/>
      <c r="O1041" s="97"/>
      <c r="P1041" s="97"/>
      <c r="Q1041" s="100"/>
      <c r="R1041" s="112"/>
      <c r="S1041" s="106"/>
      <c r="T1041" s="106"/>
      <c r="U1041" s="106"/>
      <c r="V1041" s="109"/>
      <c r="W1041" s="103"/>
      <c r="X1041" s="97"/>
      <c r="Y1041" s="97"/>
      <c r="Z1041" s="97"/>
      <c r="AA1041" s="100"/>
      <c r="AB1041" s="134"/>
    </row>
    <row r="1042" spans="1:28" ht="14.25" customHeight="1" thickBot="1" x14ac:dyDescent="0.3">
      <c r="A1042" s="138"/>
      <c r="B1042" s="138"/>
      <c r="C1042" s="95"/>
      <c r="D1042" s="125"/>
      <c r="E1042" s="125"/>
      <c r="F1042" s="125"/>
      <c r="G1042" s="128"/>
      <c r="H1042" s="104"/>
      <c r="I1042" s="98"/>
      <c r="J1042" s="98"/>
      <c r="K1042" s="98"/>
      <c r="L1042" s="101"/>
      <c r="M1042" s="104"/>
      <c r="N1042" s="98"/>
      <c r="O1042" s="98"/>
      <c r="P1042" s="98"/>
      <c r="Q1042" s="101"/>
      <c r="R1042" s="113"/>
      <c r="S1042" s="107"/>
      <c r="T1042" s="107"/>
      <c r="U1042" s="107"/>
      <c r="V1042" s="110"/>
      <c r="W1042" s="104"/>
      <c r="X1042" s="98"/>
      <c r="Y1042" s="98"/>
      <c r="Z1042" s="98"/>
      <c r="AA1042" s="101"/>
      <c r="AB1042" s="135"/>
    </row>
    <row r="1043" spans="1:28" ht="13.5" customHeight="1" x14ac:dyDescent="0.25">
      <c r="A1043" s="136">
        <f>ESCUADRAS!B193</f>
        <v>187</v>
      </c>
      <c r="B1043" s="136">
        <f>ESCUADRAS!C193</f>
        <v>0</v>
      </c>
      <c r="C1043" s="93"/>
      <c r="D1043" s="123"/>
      <c r="E1043" s="123"/>
      <c r="F1043" s="123"/>
      <c r="G1043" s="126"/>
      <c r="H1043" s="102"/>
      <c r="I1043" s="96"/>
      <c r="J1043" s="96"/>
      <c r="K1043" s="96"/>
      <c r="L1043" s="99"/>
      <c r="M1043" s="111"/>
      <c r="N1043" s="105"/>
      <c r="O1043" s="105"/>
      <c r="P1043" s="105"/>
      <c r="Q1043" s="108"/>
      <c r="R1043" s="102"/>
      <c r="S1043" s="96"/>
      <c r="T1043" s="96"/>
      <c r="U1043" s="96"/>
      <c r="V1043" s="99"/>
      <c r="W1043" s="102"/>
      <c r="X1043" s="96"/>
      <c r="Y1043" s="96"/>
      <c r="Z1043" s="96"/>
      <c r="AA1043" s="99"/>
      <c r="AB1043" s="133"/>
    </row>
    <row r="1044" spans="1:28" ht="12.75" customHeight="1" x14ac:dyDescent="0.25">
      <c r="A1044" s="137"/>
      <c r="B1044" s="137"/>
      <c r="C1044" s="94"/>
      <c r="D1044" s="124"/>
      <c r="E1044" s="124"/>
      <c r="F1044" s="124"/>
      <c r="G1044" s="127"/>
      <c r="H1044" s="103"/>
      <c r="I1044" s="97"/>
      <c r="J1044" s="97"/>
      <c r="K1044" s="97"/>
      <c r="L1044" s="100"/>
      <c r="M1044" s="112"/>
      <c r="N1044" s="106"/>
      <c r="O1044" s="106"/>
      <c r="P1044" s="106"/>
      <c r="Q1044" s="109"/>
      <c r="R1044" s="103"/>
      <c r="S1044" s="97"/>
      <c r="T1044" s="97"/>
      <c r="U1044" s="97"/>
      <c r="V1044" s="100"/>
      <c r="W1044" s="103"/>
      <c r="X1044" s="97"/>
      <c r="Y1044" s="97"/>
      <c r="Z1044" s="97"/>
      <c r="AA1044" s="100"/>
      <c r="AB1044" s="134"/>
    </row>
    <row r="1045" spans="1:28" ht="13.5" customHeight="1" thickBot="1" x14ac:dyDescent="0.3">
      <c r="A1045" s="138"/>
      <c r="B1045" s="138"/>
      <c r="C1045" s="95"/>
      <c r="D1045" s="125"/>
      <c r="E1045" s="125"/>
      <c r="F1045" s="125"/>
      <c r="G1045" s="128"/>
      <c r="H1045" s="104"/>
      <c r="I1045" s="98"/>
      <c r="J1045" s="98"/>
      <c r="K1045" s="98"/>
      <c r="L1045" s="101"/>
      <c r="M1045" s="113"/>
      <c r="N1045" s="107"/>
      <c r="O1045" s="107"/>
      <c r="P1045" s="107"/>
      <c r="Q1045" s="110"/>
      <c r="R1045" s="104"/>
      <c r="S1045" s="98"/>
      <c r="T1045" s="98"/>
      <c r="U1045" s="98"/>
      <c r="V1045" s="101"/>
      <c r="W1045" s="104"/>
      <c r="X1045" s="98"/>
      <c r="Y1045" s="98"/>
      <c r="Z1045" s="98"/>
      <c r="AA1045" s="101"/>
      <c r="AB1045" s="135"/>
    </row>
    <row r="1046" spans="1:28" ht="14.25" customHeight="1" x14ac:dyDescent="0.25">
      <c r="A1046" s="136">
        <f>ESCUADRAS!B194</f>
        <v>188</v>
      </c>
      <c r="B1046" s="136">
        <f>ESCUADRAS!C194</f>
        <v>0</v>
      </c>
      <c r="C1046" s="93"/>
      <c r="D1046" s="123"/>
      <c r="E1046" s="123"/>
      <c r="F1046" s="123"/>
      <c r="G1046" s="126"/>
      <c r="H1046" s="111"/>
      <c r="I1046" s="105"/>
      <c r="J1046" s="105"/>
      <c r="K1046" s="105"/>
      <c r="L1046" s="108"/>
      <c r="M1046" s="102"/>
      <c r="N1046" s="96"/>
      <c r="O1046" s="96"/>
      <c r="P1046" s="96"/>
      <c r="Q1046" s="99"/>
      <c r="R1046" s="102"/>
      <c r="S1046" s="96"/>
      <c r="T1046" s="96"/>
      <c r="U1046" s="96"/>
      <c r="V1046" s="99"/>
      <c r="W1046" s="102"/>
      <c r="X1046" s="96"/>
      <c r="Y1046" s="96"/>
      <c r="Z1046" s="96"/>
      <c r="AA1046" s="99"/>
      <c r="AB1046" s="133"/>
    </row>
    <row r="1047" spans="1:28" ht="14.25" customHeight="1" x14ac:dyDescent="0.25">
      <c r="A1047" s="137"/>
      <c r="B1047" s="137"/>
      <c r="C1047" s="94"/>
      <c r="D1047" s="124"/>
      <c r="E1047" s="124"/>
      <c r="F1047" s="124"/>
      <c r="G1047" s="127"/>
      <c r="H1047" s="112"/>
      <c r="I1047" s="106"/>
      <c r="J1047" s="106"/>
      <c r="K1047" s="106"/>
      <c r="L1047" s="109"/>
      <c r="M1047" s="103"/>
      <c r="N1047" s="97"/>
      <c r="O1047" s="97"/>
      <c r="P1047" s="97"/>
      <c r="Q1047" s="100"/>
      <c r="R1047" s="103"/>
      <c r="S1047" s="97"/>
      <c r="T1047" s="97"/>
      <c r="U1047" s="97"/>
      <c r="V1047" s="100"/>
      <c r="W1047" s="103"/>
      <c r="X1047" s="97"/>
      <c r="Y1047" s="97"/>
      <c r="Z1047" s="97"/>
      <c r="AA1047" s="100"/>
      <c r="AB1047" s="134"/>
    </row>
    <row r="1048" spans="1:28" ht="14.25" customHeight="1" thickBot="1" x14ac:dyDescent="0.3">
      <c r="A1048" s="138"/>
      <c r="B1048" s="138"/>
      <c r="C1048" s="95"/>
      <c r="D1048" s="125"/>
      <c r="E1048" s="125"/>
      <c r="F1048" s="125"/>
      <c r="G1048" s="128"/>
      <c r="H1048" s="113"/>
      <c r="I1048" s="107"/>
      <c r="J1048" s="107"/>
      <c r="K1048" s="107"/>
      <c r="L1048" s="110"/>
      <c r="M1048" s="104"/>
      <c r="N1048" s="98"/>
      <c r="O1048" s="98"/>
      <c r="P1048" s="98"/>
      <c r="Q1048" s="101"/>
      <c r="R1048" s="104"/>
      <c r="S1048" s="98"/>
      <c r="T1048" s="98"/>
      <c r="U1048" s="98"/>
      <c r="V1048" s="101"/>
      <c r="W1048" s="104"/>
      <c r="X1048" s="98"/>
      <c r="Y1048" s="98"/>
      <c r="Z1048" s="98"/>
      <c r="AA1048" s="101"/>
      <c r="AB1048" s="135"/>
    </row>
    <row r="1049" spans="1:28" ht="13.5" customHeight="1" x14ac:dyDescent="0.25">
      <c r="A1049" s="136">
        <f>ESCUADRAS!B195</f>
        <v>189</v>
      </c>
      <c r="B1049" s="136">
        <f>ESCUADRAS!C195</f>
        <v>0</v>
      </c>
      <c r="C1049" s="111"/>
      <c r="D1049" s="105"/>
      <c r="E1049" s="105"/>
      <c r="F1049" s="105"/>
      <c r="G1049" s="108"/>
      <c r="H1049" s="122"/>
      <c r="I1049" s="120"/>
      <c r="J1049" s="120"/>
      <c r="K1049" s="120"/>
      <c r="L1049" s="121"/>
      <c r="M1049" s="122"/>
      <c r="N1049" s="120"/>
      <c r="O1049" s="120"/>
      <c r="P1049" s="120"/>
      <c r="Q1049" s="121"/>
      <c r="R1049" s="122"/>
      <c r="S1049" s="120"/>
      <c r="T1049" s="120"/>
      <c r="U1049" s="120"/>
      <c r="V1049" s="121"/>
      <c r="W1049" s="122"/>
      <c r="X1049" s="120"/>
      <c r="Y1049" s="120"/>
      <c r="Z1049" s="120"/>
      <c r="AA1049" s="121"/>
      <c r="AB1049" s="133"/>
    </row>
    <row r="1050" spans="1:28" ht="12.75" customHeight="1" x14ac:dyDescent="0.25">
      <c r="A1050" s="137"/>
      <c r="B1050" s="137"/>
      <c r="C1050" s="112"/>
      <c r="D1050" s="106"/>
      <c r="E1050" s="106"/>
      <c r="F1050" s="106"/>
      <c r="G1050" s="109"/>
      <c r="H1050" s="103"/>
      <c r="I1050" s="97"/>
      <c r="J1050" s="97"/>
      <c r="K1050" s="97"/>
      <c r="L1050" s="100"/>
      <c r="M1050" s="103"/>
      <c r="N1050" s="97"/>
      <c r="O1050" s="97"/>
      <c r="P1050" s="97"/>
      <c r="Q1050" s="100"/>
      <c r="R1050" s="103"/>
      <c r="S1050" s="97"/>
      <c r="T1050" s="97"/>
      <c r="U1050" s="97"/>
      <c r="V1050" s="100"/>
      <c r="W1050" s="103"/>
      <c r="X1050" s="97"/>
      <c r="Y1050" s="97"/>
      <c r="Z1050" s="97"/>
      <c r="AA1050" s="100"/>
      <c r="AB1050" s="134"/>
    </row>
    <row r="1051" spans="1:28" ht="13.5" customHeight="1" thickBot="1" x14ac:dyDescent="0.3">
      <c r="A1051" s="138"/>
      <c r="B1051" s="138"/>
      <c r="C1051" s="113"/>
      <c r="D1051" s="107"/>
      <c r="E1051" s="107"/>
      <c r="F1051" s="107"/>
      <c r="G1051" s="110"/>
      <c r="H1051" s="104"/>
      <c r="I1051" s="98"/>
      <c r="J1051" s="98"/>
      <c r="K1051" s="98"/>
      <c r="L1051" s="101"/>
      <c r="M1051" s="104"/>
      <c r="N1051" s="98"/>
      <c r="O1051" s="98"/>
      <c r="P1051" s="98"/>
      <c r="Q1051" s="101"/>
      <c r="R1051" s="104"/>
      <c r="S1051" s="98"/>
      <c r="T1051" s="98"/>
      <c r="U1051" s="98"/>
      <c r="V1051" s="101"/>
      <c r="W1051" s="104"/>
      <c r="X1051" s="98"/>
      <c r="Y1051" s="98"/>
      <c r="Z1051" s="98"/>
      <c r="AA1051" s="101"/>
      <c r="AB1051" s="135"/>
    </row>
    <row r="1053" spans="1:28" ht="15" x14ac:dyDescent="0.25">
      <c r="A1053" s="28"/>
      <c r="B1053" s="26" t="s">
        <v>35</v>
      </c>
      <c r="E1053" s="21" t="s">
        <v>41</v>
      </c>
      <c r="I1053" s="21" t="s">
        <v>42</v>
      </c>
      <c r="M1053" s="21" t="s">
        <v>43</v>
      </c>
      <c r="Q1053" s="21" t="s">
        <v>44</v>
      </c>
      <c r="U1053" s="21" t="s">
        <v>45</v>
      </c>
      <c r="Y1053" s="21" t="s">
        <v>46</v>
      </c>
    </row>
    <row r="1059" spans="1:32" ht="24.6" x14ac:dyDescent="0.25">
      <c r="A1059" s="144" t="str">
        <f>'INSCRIPCION '!A$1</f>
        <v>TIRADA</v>
      </c>
      <c r="B1059" s="144"/>
      <c r="C1059" s="144"/>
      <c r="D1059" s="144"/>
      <c r="E1059" s="144"/>
      <c r="F1059" s="144"/>
      <c r="G1059" s="144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  <c r="AF1059" s="144"/>
    </row>
    <row r="1060" spans="1:32" ht="24.6" x14ac:dyDescent="0.4">
      <c r="A1060" s="23"/>
      <c r="B1060" s="23"/>
    </row>
    <row r="1061" spans="1:32" ht="22.8" x14ac:dyDescent="0.25">
      <c r="A1061" s="132" t="str">
        <f>'INSCRIPCION '!A$2</f>
        <v>CAMPO DE TIRO LA ISLA</v>
      </c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L1061" s="132"/>
      <c r="M1061" s="132"/>
      <c r="N1061" s="132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  <c r="AC1061" s="132"/>
      <c r="AD1061" s="132"/>
      <c r="AE1061" s="132"/>
      <c r="AF1061" s="132"/>
    </row>
    <row r="1062" spans="1:32" ht="20.399999999999999" x14ac:dyDescent="0.25">
      <c r="A1062" s="143" t="str">
        <f>'INSCRIPCION '!A$3</f>
        <v>XXX PLATOS</v>
      </c>
      <c r="B1062" s="143"/>
      <c r="C1062" s="143"/>
      <c r="D1062" s="143"/>
      <c r="E1062" s="143"/>
      <c r="F1062" s="143"/>
      <c r="G1062" s="143"/>
      <c r="H1062" s="143"/>
      <c r="I1062" s="143"/>
      <c r="J1062" s="143"/>
      <c r="K1062" s="143"/>
      <c r="L1062" s="143"/>
      <c r="M1062" s="143"/>
      <c r="N1062" s="143"/>
      <c r="O1062" s="143"/>
      <c r="P1062" s="143"/>
      <c r="Q1062" s="143"/>
      <c r="R1062" s="143"/>
      <c r="S1062" s="143"/>
      <c r="T1062" s="143"/>
      <c r="U1062" s="143"/>
      <c r="V1062" s="143"/>
      <c r="W1062" s="143"/>
      <c r="X1062" s="143"/>
      <c r="Y1062" s="143"/>
      <c r="Z1062" s="143"/>
      <c r="AA1062" s="143"/>
      <c r="AB1062" s="143"/>
      <c r="AC1062" s="143"/>
      <c r="AD1062" s="143"/>
      <c r="AE1062" s="143"/>
      <c r="AF1062" s="143"/>
    </row>
    <row r="1063" spans="1:32" ht="22.8" x14ac:dyDescent="0.4">
      <c r="A1063" s="24"/>
      <c r="B1063" s="24"/>
    </row>
    <row r="1064" spans="1:32" ht="17.399999999999999" x14ac:dyDescent="0.3">
      <c r="A1064" s="25" t="s">
        <v>69</v>
      </c>
      <c r="B1064" s="25"/>
      <c r="J1064" s="9" t="s">
        <v>6</v>
      </c>
      <c r="K1064" s="9"/>
      <c r="L1064" s="9"/>
      <c r="M1064" s="9"/>
      <c r="N1064" s="9"/>
      <c r="O1064" s="22">
        <v>4</v>
      </c>
      <c r="P1064" s="22"/>
      <c r="Q1064" s="8"/>
      <c r="R1064" s="8"/>
      <c r="S1064" s="7"/>
      <c r="T1064" s="8"/>
      <c r="U1064" s="8"/>
      <c r="V1064" s="9" t="s">
        <v>7</v>
      </c>
      <c r="W1064" s="9"/>
      <c r="X1064" s="9"/>
      <c r="Y1064" s="9"/>
      <c r="Z1064" s="22">
        <v>4</v>
      </c>
      <c r="AA1064" s="22"/>
    </row>
    <row r="1065" spans="1:32" ht="13.8" thickBot="1" x14ac:dyDescent="0.3"/>
    <row r="1066" spans="1:32" ht="15.6" thickBot="1" x14ac:dyDescent="0.3">
      <c r="A1066" s="27" t="s">
        <v>0</v>
      </c>
      <c r="B1066" s="27" t="s">
        <v>8</v>
      </c>
      <c r="C1066" s="47">
        <v>1</v>
      </c>
      <c r="D1066" s="48">
        <v>2</v>
      </c>
      <c r="E1066" s="48">
        <v>3</v>
      </c>
      <c r="F1066" s="48">
        <v>4</v>
      </c>
      <c r="G1066" s="49">
        <v>5</v>
      </c>
      <c r="H1066" s="47">
        <v>6</v>
      </c>
      <c r="I1066" s="48">
        <v>7</v>
      </c>
      <c r="J1066" s="48">
        <v>8</v>
      </c>
      <c r="K1066" s="48">
        <v>9</v>
      </c>
      <c r="L1066" s="49">
        <v>10</v>
      </c>
      <c r="M1066" s="47">
        <v>11</v>
      </c>
      <c r="N1066" s="48">
        <v>12</v>
      </c>
      <c r="O1066" s="48">
        <v>13</v>
      </c>
      <c r="P1066" s="48">
        <v>14</v>
      </c>
      <c r="Q1066" s="49">
        <v>15</v>
      </c>
      <c r="R1066" s="47">
        <v>16</v>
      </c>
      <c r="S1066" s="48">
        <v>17</v>
      </c>
      <c r="T1066" s="48">
        <v>18</v>
      </c>
      <c r="U1066" s="48">
        <v>19</v>
      </c>
      <c r="V1066" s="49">
        <v>20</v>
      </c>
      <c r="W1066" s="47">
        <v>21</v>
      </c>
      <c r="X1066" s="48">
        <v>22</v>
      </c>
      <c r="Y1066" s="48">
        <v>23</v>
      </c>
      <c r="Z1066" s="48">
        <v>24</v>
      </c>
      <c r="AA1066" s="49">
        <v>25</v>
      </c>
      <c r="AB1066" s="30" t="s">
        <v>1</v>
      </c>
    </row>
    <row r="1067" spans="1:32" ht="14.25" customHeight="1" x14ac:dyDescent="0.25">
      <c r="A1067" s="136">
        <f>ESCUADRAS!B202</f>
        <v>196</v>
      </c>
      <c r="B1067" s="136">
        <f>ESCUADRAS!C202</f>
        <v>0</v>
      </c>
      <c r="C1067" s="129"/>
      <c r="D1067" s="114"/>
      <c r="E1067" s="114"/>
      <c r="F1067" s="114"/>
      <c r="G1067" s="117"/>
      <c r="H1067" s="111"/>
      <c r="I1067" s="105"/>
      <c r="J1067" s="105"/>
      <c r="K1067" s="105"/>
      <c r="L1067" s="108"/>
      <c r="M1067" s="111"/>
      <c r="N1067" s="105"/>
      <c r="O1067" s="105"/>
      <c r="P1067" s="105"/>
      <c r="Q1067" s="108"/>
      <c r="R1067" s="111"/>
      <c r="S1067" s="105"/>
      <c r="T1067" s="105"/>
      <c r="U1067" s="105"/>
      <c r="V1067" s="108"/>
      <c r="W1067" s="111"/>
      <c r="X1067" s="105"/>
      <c r="Y1067" s="105"/>
      <c r="Z1067" s="105"/>
      <c r="AA1067" s="108"/>
      <c r="AB1067" s="133"/>
    </row>
    <row r="1068" spans="1:32" ht="14.25" customHeight="1" x14ac:dyDescent="0.25">
      <c r="A1068" s="137"/>
      <c r="B1068" s="137"/>
      <c r="C1068" s="130"/>
      <c r="D1068" s="115"/>
      <c r="E1068" s="115"/>
      <c r="F1068" s="115"/>
      <c r="G1068" s="118"/>
      <c r="H1068" s="112"/>
      <c r="I1068" s="106"/>
      <c r="J1068" s="106"/>
      <c r="K1068" s="106"/>
      <c r="L1068" s="109"/>
      <c r="M1068" s="112"/>
      <c r="N1068" s="106"/>
      <c r="O1068" s="106"/>
      <c r="P1068" s="106"/>
      <c r="Q1068" s="109"/>
      <c r="R1068" s="112"/>
      <c r="S1068" s="106"/>
      <c r="T1068" s="106"/>
      <c r="U1068" s="106"/>
      <c r="V1068" s="109"/>
      <c r="W1068" s="112"/>
      <c r="X1068" s="106"/>
      <c r="Y1068" s="106"/>
      <c r="Z1068" s="106"/>
      <c r="AA1068" s="109"/>
      <c r="AB1068" s="134"/>
    </row>
    <row r="1069" spans="1:32" ht="14.25" customHeight="1" thickBot="1" x14ac:dyDescent="0.3">
      <c r="A1069" s="138"/>
      <c r="B1069" s="138"/>
      <c r="C1069" s="131"/>
      <c r="D1069" s="116"/>
      <c r="E1069" s="116"/>
      <c r="F1069" s="116"/>
      <c r="G1069" s="119"/>
      <c r="H1069" s="113"/>
      <c r="I1069" s="107"/>
      <c r="J1069" s="107"/>
      <c r="K1069" s="107"/>
      <c r="L1069" s="110"/>
      <c r="M1069" s="113"/>
      <c r="N1069" s="107"/>
      <c r="O1069" s="107"/>
      <c r="P1069" s="107"/>
      <c r="Q1069" s="110"/>
      <c r="R1069" s="113"/>
      <c r="S1069" s="107"/>
      <c r="T1069" s="107"/>
      <c r="U1069" s="107"/>
      <c r="V1069" s="110"/>
      <c r="W1069" s="113"/>
      <c r="X1069" s="107"/>
      <c r="Y1069" s="107"/>
      <c r="Z1069" s="107"/>
      <c r="AA1069" s="110"/>
      <c r="AB1069" s="135"/>
    </row>
    <row r="1070" spans="1:32" ht="13.5" customHeight="1" x14ac:dyDescent="0.25">
      <c r="A1070" s="136">
        <f>ESCUADRAS!B203</f>
        <v>197</v>
      </c>
      <c r="B1070" s="136">
        <f>ESCUADRAS!C203</f>
        <v>0</v>
      </c>
      <c r="C1070" s="93"/>
      <c r="D1070" s="123"/>
      <c r="E1070" s="123"/>
      <c r="F1070" s="123"/>
      <c r="G1070" s="126"/>
      <c r="H1070" s="102"/>
      <c r="I1070" s="96"/>
      <c r="J1070" s="96"/>
      <c r="K1070" s="96"/>
      <c r="L1070" s="99"/>
      <c r="M1070" s="102"/>
      <c r="N1070" s="96"/>
      <c r="O1070" s="96"/>
      <c r="P1070" s="96"/>
      <c r="Q1070" s="99"/>
      <c r="R1070" s="102"/>
      <c r="S1070" s="96"/>
      <c r="T1070" s="96"/>
      <c r="U1070" s="96"/>
      <c r="V1070" s="99"/>
      <c r="W1070" s="111"/>
      <c r="X1070" s="105"/>
      <c r="Y1070" s="105"/>
      <c r="Z1070" s="105"/>
      <c r="AA1070" s="108"/>
      <c r="AB1070" s="133"/>
    </row>
    <row r="1071" spans="1:32" ht="12.75" customHeight="1" x14ac:dyDescent="0.25">
      <c r="A1071" s="137"/>
      <c r="B1071" s="137"/>
      <c r="C1071" s="94"/>
      <c r="D1071" s="124"/>
      <c r="E1071" s="124"/>
      <c r="F1071" s="124"/>
      <c r="G1071" s="127"/>
      <c r="H1071" s="103"/>
      <c r="I1071" s="97"/>
      <c r="J1071" s="97"/>
      <c r="K1071" s="97"/>
      <c r="L1071" s="100"/>
      <c r="M1071" s="103"/>
      <c r="N1071" s="97"/>
      <c r="O1071" s="97"/>
      <c r="P1071" s="97"/>
      <c r="Q1071" s="100"/>
      <c r="R1071" s="103"/>
      <c r="S1071" s="97"/>
      <c r="T1071" s="97"/>
      <c r="U1071" s="97"/>
      <c r="V1071" s="100"/>
      <c r="W1071" s="112"/>
      <c r="X1071" s="106"/>
      <c r="Y1071" s="106"/>
      <c r="Z1071" s="106"/>
      <c r="AA1071" s="109"/>
      <c r="AB1071" s="134"/>
    </row>
    <row r="1072" spans="1:32" ht="13.5" customHeight="1" thickBot="1" x14ac:dyDescent="0.3">
      <c r="A1072" s="138"/>
      <c r="B1072" s="138"/>
      <c r="C1072" s="95"/>
      <c r="D1072" s="125"/>
      <c r="E1072" s="125"/>
      <c r="F1072" s="125"/>
      <c r="G1072" s="128"/>
      <c r="H1072" s="104"/>
      <c r="I1072" s="98"/>
      <c r="J1072" s="98"/>
      <c r="K1072" s="98"/>
      <c r="L1072" s="101"/>
      <c r="M1072" s="104"/>
      <c r="N1072" s="98"/>
      <c r="O1072" s="98"/>
      <c r="P1072" s="98"/>
      <c r="Q1072" s="101"/>
      <c r="R1072" s="104"/>
      <c r="S1072" s="98"/>
      <c r="T1072" s="98"/>
      <c r="U1072" s="98"/>
      <c r="V1072" s="101"/>
      <c r="W1072" s="113"/>
      <c r="X1072" s="107"/>
      <c r="Y1072" s="107"/>
      <c r="Z1072" s="107"/>
      <c r="AA1072" s="110"/>
      <c r="AB1072" s="135"/>
    </row>
    <row r="1073" spans="1:28" ht="14.25" customHeight="1" x14ac:dyDescent="0.25">
      <c r="A1073" s="136">
        <f>ESCUADRAS!B204</f>
        <v>198</v>
      </c>
      <c r="B1073" s="136">
        <f>ESCUADRAS!C204</f>
        <v>0</v>
      </c>
      <c r="C1073" s="93"/>
      <c r="D1073" s="123"/>
      <c r="E1073" s="123"/>
      <c r="F1073" s="123"/>
      <c r="G1073" s="126"/>
      <c r="H1073" s="102"/>
      <c r="I1073" s="96"/>
      <c r="J1073" s="96"/>
      <c r="K1073" s="96"/>
      <c r="L1073" s="99"/>
      <c r="M1073" s="102"/>
      <c r="N1073" s="96"/>
      <c r="O1073" s="96"/>
      <c r="P1073" s="96"/>
      <c r="Q1073" s="99"/>
      <c r="R1073" s="111"/>
      <c r="S1073" s="105"/>
      <c r="T1073" s="105"/>
      <c r="U1073" s="105"/>
      <c r="V1073" s="108"/>
      <c r="W1073" s="102"/>
      <c r="X1073" s="96"/>
      <c r="Y1073" s="96"/>
      <c r="Z1073" s="96"/>
      <c r="AA1073" s="99"/>
      <c r="AB1073" s="133"/>
    </row>
    <row r="1074" spans="1:28" ht="14.25" customHeight="1" x14ac:dyDescent="0.25">
      <c r="A1074" s="137"/>
      <c r="B1074" s="137"/>
      <c r="C1074" s="94"/>
      <c r="D1074" s="124"/>
      <c r="E1074" s="124"/>
      <c r="F1074" s="124"/>
      <c r="G1074" s="127"/>
      <c r="H1074" s="103"/>
      <c r="I1074" s="97"/>
      <c r="J1074" s="97"/>
      <c r="K1074" s="97"/>
      <c r="L1074" s="100"/>
      <c r="M1074" s="103"/>
      <c r="N1074" s="97"/>
      <c r="O1074" s="97"/>
      <c r="P1074" s="97"/>
      <c r="Q1074" s="100"/>
      <c r="R1074" s="112"/>
      <c r="S1074" s="106"/>
      <c r="T1074" s="106"/>
      <c r="U1074" s="106"/>
      <c r="V1074" s="109"/>
      <c r="W1074" s="103"/>
      <c r="X1074" s="97"/>
      <c r="Y1074" s="97"/>
      <c r="Z1074" s="97"/>
      <c r="AA1074" s="100"/>
      <c r="AB1074" s="134"/>
    </row>
    <row r="1075" spans="1:28" ht="14.25" customHeight="1" thickBot="1" x14ac:dyDescent="0.3">
      <c r="A1075" s="138"/>
      <c r="B1075" s="138"/>
      <c r="C1075" s="95"/>
      <c r="D1075" s="125"/>
      <c r="E1075" s="125"/>
      <c r="F1075" s="125"/>
      <c r="G1075" s="128"/>
      <c r="H1075" s="104"/>
      <c r="I1075" s="98"/>
      <c r="J1075" s="98"/>
      <c r="K1075" s="98"/>
      <c r="L1075" s="101"/>
      <c r="M1075" s="104"/>
      <c r="N1075" s="98"/>
      <c r="O1075" s="98"/>
      <c r="P1075" s="98"/>
      <c r="Q1075" s="101"/>
      <c r="R1075" s="113"/>
      <c r="S1075" s="107"/>
      <c r="T1075" s="107"/>
      <c r="U1075" s="107"/>
      <c r="V1075" s="110"/>
      <c r="W1075" s="104"/>
      <c r="X1075" s="98"/>
      <c r="Y1075" s="98"/>
      <c r="Z1075" s="98"/>
      <c r="AA1075" s="101"/>
      <c r="AB1075" s="135"/>
    </row>
    <row r="1076" spans="1:28" ht="13.5" customHeight="1" x14ac:dyDescent="0.25">
      <c r="A1076" s="136">
        <f>ESCUADRAS!B199</f>
        <v>193</v>
      </c>
      <c r="B1076" s="136">
        <f>ESCUADRAS!C199</f>
        <v>0</v>
      </c>
      <c r="C1076" s="93"/>
      <c r="D1076" s="123"/>
      <c r="E1076" s="123"/>
      <c r="F1076" s="123"/>
      <c r="G1076" s="126"/>
      <c r="H1076" s="102"/>
      <c r="I1076" s="96"/>
      <c r="J1076" s="96"/>
      <c r="K1076" s="96"/>
      <c r="L1076" s="99"/>
      <c r="M1076" s="111"/>
      <c r="N1076" s="105"/>
      <c r="O1076" s="105"/>
      <c r="P1076" s="105"/>
      <c r="Q1076" s="108"/>
      <c r="R1076" s="102"/>
      <c r="S1076" s="96"/>
      <c r="T1076" s="96"/>
      <c r="U1076" s="96"/>
      <c r="V1076" s="99"/>
      <c r="W1076" s="102"/>
      <c r="X1076" s="96"/>
      <c r="Y1076" s="96"/>
      <c r="Z1076" s="96"/>
      <c r="AA1076" s="99"/>
      <c r="AB1076" s="133"/>
    </row>
    <row r="1077" spans="1:28" ht="12.75" customHeight="1" x14ac:dyDescent="0.25">
      <c r="A1077" s="137"/>
      <c r="B1077" s="137"/>
      <c r="C1077" s="94"/>
      <c r="D1077" s="124"/>
      <c r="E1077" s="124"/>
      <c r="F1077" s="124"/>
      <c r="G1077" s="127"/>
      <c r="H1077" s="103"/>
      <c r="I1077" s="97"/>
      <c r="J1077" s="97"/>
      <c r="K1077" s="97"/>
      <c r="L1077" s="100"/>
      <c r="M1077" s="112"/>
      <c r="N1077" s="106"/>
      <c r="O1077" s="106"/>
      <c r="P1077" s="106"/>
      <c r="Q1077" s="109"/>
      <c r="R1077" s="103"/>
      <c r="S1077" s="97"/>
      <c r="T1077" s="97"/>
      <c r="U1077" s="97"/>
      <c r="V1077" s="100"/>
      <c r="W1077" s="103"/>
      <c r="X1077" s="97"/>
      <c r="Y1077" s="97"/>
      <c r="Z1077" s="97"/>
      <c r="AA1077" s="100"/>
      <c r="AB1077" s="134"/>
    </row>
    <row r="1078" spans="1:28" ht="13.5" customHeight="1" thickBot="1" x14ac:dyDescent="0.3">
      <c r="A1078" s="138"/>
      <c r="B1078" s="138"/>
      <c r="C1078" s="95"/>
      <c r="D1078" s="125"/>
      <c r="E1078" s="125"/>
      <c r="F1078" s="125"/>
      <c r="G1078" s="128"/>
      <c r="H1078" s="104"/>
      <c r="I1078" s="98"/>
      <c r="J1078" s="98"/>
      <c r="K1078" s="98"/>
      <c r="L1078" s="101"/>
      <c r="M1078" s="113"/>
      <c r="N1078" s="107"/>
      <c r="O1078" s="107"/>
      <c r="P1078" s="107"/>
      <c r="Q1078" s="110"/>
      <c r="R1078" s="104"/>
      <c r="S1078" s="98"/>
      <c r="T1078" s="98"/>
      <c r="U1078" s="98"/>
      <c r="V1078" s="101"/>
      <c r="W1078" s="104"/>
      <c r="X1078" s="98"/>
      <c r="Y1078" s="98"/>
      <c r="Z1078" s="98"/>
      <c r="AA1078" s="101"/>
      <c r="AB1078" s="135"/>
    </row>
    <row r="1079" spans="1:28" ht="14.25" customHeight="1" x14ac:dyDescent="0.25">
      <c r="A1079" s="136">
        <f>ESCUADRAS!B200</f>
        <v>194</v>
      </c>
      <c r="B1079" s="136">
        <f>ESCUADRAS!C200</f>
        <v>0</v>
      </c>
      <c r="C1079" s="93"/>
      <c r="D1079" s="123"/>
      <c r="E1079" s="123"/>
      <c r="F1079" s="123"/>
      <c r="G1079" s="126"/>
      <c r="H1079" s="111"/>
      <c r="I1079" s="105"/>
      <c r="J1079" s="105"/>
      <c r="K1079" s="105"/>
      <c r="L1079" s="108"/>
      <c r="M1079" s="102"/>
      <c r="N1079" s="96"/>
      <c r="O1079" s="96"/>
      <c r="P1079" s="96"/>
      <c r="Q1079" s="99"/>
      <c r="R1079" s="102"/>
      <c r="S1079" s="96"/>
      <c r="T1079" s="96"/>
      <c r="U1079" s="96"/>
      <c r="V1079" s="99"/>
      <c r="W1079" s="102"/>
      <c r="X1079" s="96"/>
      <c r="Y1079" s="96"/>
      <c r="Z1079" s="96"/>
      <c r="AA1079" s="99"/>
      <c r="AB1079" s="133"/>
    </row>
    <row r="1080" spans="1:28" ht="14.25" customHeight="1" x14ac:dyDescent="0.25">
      <c r="A1080" s="137"/>
      <c r="B1080" s="137"/>
      <c r="C1080" s="94"/>
      <c r="D1080" s="124"/>
      <c r="E1080" s="124"/>
      <c r="F1080" s="124"/>
      <c r="G1080" s="127"/>
      <c r="H1080" s="112"/>
      <c r="I1080" s="106"/>
      <c r="J1080" s="106"/>
      <c r="K1080" s="106"/>
      <c r="L1080" s="109"/>
      <c r="M1080" s="103"/>
      <c r="N1080" s="97"/>
      <c r="O1080" s="97"/>
      <c r="P1080" s="97"/>
      <c r="Q1080" s="100"/>
      <c r="R1080" s="103"/>
      <c r="S1080" s="97"/>
      <c r="T1080" s="97"/>
      <c r="U1080" s="97"/>
      <c r="V1080" s="100"/>
      <c r="W1080" s="103"/>
      <c r="X1080" s="97"/>
      <c r="Y1080" s="97"/>
      <c r="Z1080" s="97"/>
      <c r="AA1080" s="100"/>
      <c r="AB1080" s="134"/>
    </row>
    <row r="1081" spans="1:28" ht="14.25" customHeight="1" thickBot="1" x14ac:dyDescent="0.3">
      <c r="A1081" s="138"/>
      <c r="B1081" s="138"/>
      <c r="C1081" s="95"/>
      <c r="D1081" s="125"/>
      <c r="E1081" s="125"/>
      <c r="F1081" s="125"/>
      <c r="G1081" s="128"/>
      <c r="H1081" s="113"/>
      <c r="I1081" s="107"/>
      <c r="J1081" s="107"/>
      <c r="K1081" s="107"/>
      <c r="L1081" s="110"/>
      <c r="M1081" s="104"/>
      <c r="N1081" s="98"/>
      <c r="O1081" s="98"/>
      <c r="P1081" s="98"/>
      <c r="Q1081" s="101"/>
      <c r="R1081" s="104"/>
      <c r="S1081" s="98"/>
      <c r="T1081" s="98"/>
      <c r="U1081" s="98"/>
      <c r="V1081" s="101"/>
      <c r="W1081" s="104"/>
      <c r="X1081" s="98"/>
      <c r="Y1081" s="98"/>
      <c r="Z1081" s="98"/>
      <c r="AA1081" s="101"/>
      <c r="AB1081" s="135"/>
    </row>
    <row r="1082" spans="1:28" ht="13.5" customHeight="1" x14ac:dyDescent="0.25">
      <c r="A1082" s="136">
        <f>ESCUADRAS!B201</f>
        <v>195</v>
      </c>
      <c r="B1082" s="136">
        <f>ESCUADRAS!C201</f>
        <v>0</v>
      </c>
      <c r="C1082" s="111"/>
      <c r="D1082" s="105"/>
      <c r="E1082" s="105"/>
      <c r="F1082" s="105"/>
      <c r="G1082" s="108"/>
      <c r="H1082" s="122"/>
      <c r="I1082" s="120"/>
      <c r="J1082" s="120"/>
      <c r="K1082" s="120"/>
      <c r="L1082" s="121"/>
      <c r="M1082" s="122"/>
      <c r="N1082" s="120"/>
      <c r="O1082" s="120"/>
      <c r="P1082" s="120"/>
      <c r="Q1082" s="121"/>
      <c r="R1082" s="122"/>
      <c r="S1082" s="120"/>
      <c r="T1082" s="120"/>
      <c r="U1082" s="120"/>
      <c r="V1082" s="121"/>
      <c r="W1082" s="122"/>
      <c r="X1082" s="120"/>
      <c r="Y1082" s="120"/>
      <c r="Z1082" s="120"/>
      <c r="AA1082" s="121"/>
      <c r="AB1082" s="133"/>
    </row>
    <row r="1083" spans="1:28" ht="12.75" customHeight="1" x14ac:dyDescent="0.25">
      <c r="A1083" s="137"/>
      <c r="B1083" s="137"/>
      <c r="C1083" s="112"/>
      <c r="D1083" s="106"/>
      <c r="E1083" s="106"/>
      <c r="F1083" s="106"/>
      <c r="G1083" s="109"/>
      <c r="H1083" s="103"/>
      <c r="I1083" s="97"/>
      <c r="J1083" s="97"/>
      <c r="K1083" s="97"/>
      <c r="L1083" s="100"/>
      <c r="M1083" s="103"/>
      <c r="N1083" s="97"/>
      <c r="O1083" s="97"/>
      <c r="P1083" s="97"/>
      <c r="Q1083" s="100"/>
      <c r="R1083" s="103"/>
      <c r="S1083" s="97"/>
      <c r="T1083" s="97"/>
      <c r="U1083" s="97"/>
      <c r="V1083" s="100"/>
      <c r="W1083" s="103"/>
      <c r="X1083" s="97"/>
      <c r="Y1083" s="97"/>
      <c r="Z1083" s="97"/>
      <c r="AA1083" s="100"/>
      <c r="AB1083" s="134"/>
    </row>
    <row r="1084" spans="1:28" ht="13.5" customHeight="1" thickBot="1" x14ac:dyDescent="0.3">
      <c r="A1084" s="138"/>
      <c r="B1084" s="138"/>
      <c r="C1084" s="113"/>
      <c r="D1084" s="107"/>
      <c r="E1084" s="107"/>
      <c r="F1084" s="107"/>
      <c r="G1084" s="110"/>
      <c r="H1084" s="104"/>
      <c r="I1084" s="98"/>
      <c r="J1084" s="98"/>
      <c r="K1084" s="98"/>
      <c r="L1084" s="101"/>
      <c r="M1084" s="104"/>
      <c r="N1084" s="98"/>
      <c r="O1084" s="98"/>
      <c r="P1084" s="98"/>
      <c r="Q1084" s="101"/>
      <c r="R1084" s="104"/>
      <c r="S1084" s="98"/>
      <c r="T1084" s="98"/>
      <c r="U1084" s="98"/>
      <c r="V1084" s="101"/>
      <c r="W1084" s="104"/>
      <c r="X1084" s="98"/>
      <c r="Y1084" s="98"/>
      <c r="Z1084" s="98"/>
      <c r="AA1084" s="101"/>
      <c r="AB1084" s="135"/>
    </row>
    <row r="1086" spans="1:28" ht="15" x14ac:dyDescent="0.25">
      <c r="A1086" s="28"/>
      <c r="B1086" s="26" t="s">
        <v>35</v>
      </c>
      <c r="E1086" s="21" t="s">
        <v>41</v>
      </c>
      <c r="I1086" s="21" t="s">
        <v>42</v>
      </c>
      <c r="M1086" s="21" t="s">
        <v>43</v>
      </c>
      <c r="Q1086" s="21" t="s">
        <v>44</v>
      </c>
      <c r="U1086" s="21" t="s">
        <v>45</v>
      </c>
      <c r="Y1086" s="21" t="s">
        <v>46</v>
      </c>
    </row>
    <row r="1092" spans="1:32" ht="24.6" x14ac:dyDescent="0.25">
      <c r="A1092" s="144" t="str">
        <f>'INSCRIPCION '!A$1</f>
        <v>TIRADA</v>
      </c>
      <c r="B1092" s="144"/>
      <c r="C1092" s="144"/>
      <c r="D1092" s="144"/>
      <c r="E1092" s="144"/>
      <c r="F1092" s="144"/>
      <c r="G1092" s="144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  <c r="AF1092" s="144"/>
    </row>
    <row r="1093" spans="1:32" ht="24.6" x14ac:dyDescent="0.4">
      <c r="A1093" s="23"/>
      <c r="B1093" s="23"/>
    </row>
    <row r="1094" spans="1:32" ht="22.8" x14ac:dyDescent="0.25">
      <c r="A1094" s="132" t="str">
        <f>'INSCRIPCION '!A$2</f>
        <v>CAMPO DE TIRO LA ISLA</v>
      </c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L1094" s="132"/>
      <c r="M1094" s="132"/>
      <c r="N1094" s="132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  <c r="AC1094" s="132"/>
      <c r="AD1094" s="132"/>
      <c r="AE1094" s="132"/>
      <c r="AF1094" s="132"/>
    </row>
    <row r="1095" spans="1:32" ht="20.399999999999999" x14ac:dyDescent="0.25">
      <c r="A1095" s="143" t="str">
        <f>'INSCRIPCION '!A$3</f>
        <v>XXX PLATOS</v>
      </c>
      <c r="B1095" s="143"/>
      <c r="C1095" s="143"/>
      <c r="D1095" s="143"/>
      <c r="E1095" s="143"/>
      <c r="F1095" s="143"/>
      <c r="G1095" s="143"/>
      <c r="H1095" s="143"/>
      <c r="I1095" s="143"/>
      <c r="J1095" s="143"/>
      <c r="K1095" s="143"/>
      <c r="L1095" s="143"/>
      <c r="M1095" s="143"/>
      <c r="N1095" s="143"/>
      <c r="O1095" s="143"/>
      <c r="P1095" s="143"/>
      <c r="Q1095" s="143"/>
      <c r="R1095" s="143"/>
      <c r="S1095" s="143"/>
      <c r="T1095" s="143"/>
      <c r="U1095" s="143"/>
      <c r="V1095" s="143"/>
      <c r="W1095" s="143"/>
      <c r="X1095" s="143"/>
      <c r="Y1095" s="143"/>
      <c r="Z1095" s="143"/>
      <c r="AA1095" s="143"/>
      <c r="AB1095" s="143"/>
      <c r="AC1095" s="143"/>
      <c r="AD1095" s="143"/>
      <c r="AE1095" s="143"/>
      <c r="AF1095" s="143"/>
    </row>
    <row r="1096" spans="1:32" ht="22.8" x14ac:dyDescent="0.4">
      <c r="A1096" s="24"/>
      <c r="B1096" s="24"/>
    </row>
    <row r="1097" spans="1:32" ht="17.399999999999999" x14ac:dyDescent="0.3">
      <c r="A1097" s="25" t="s">
        <v>70</v>
      </c>
      <c r="B1097" s="25"/>
      <c r="J1097" s="9" t="s">
        <v>6</v>
      </c>
      <c r="K1097" s="9"/>
      <c r="L1097" s="9"/>
      <c r="M1097" s="9"/>
      <c r="N1097" s="9"/>
      <c r="O1097" s="22">
        <v>1</v>
      </c>
      <c r="P1097" s="22"/>
      <c r="Q1097" s="8"/>
      <c r="R1097" s="8"/>
      <c r="S1097" s="7"/>
      <c r="T1097" s="8"/>
      <c r="U1097" s="8"/>
      <c r="V1097" s="9" t="s">
        <v>7</v>
      </c>
      <c r="W1097" s="9"/>
      <c r="X1097" s="9"/>
      <c r="Y1097" s="9"/>
      <c r="Z1097" s="22">
        <v>4</v>
      </c>
      <c r="AA1097" s="22"/>
    </row>
    <row r="1098" spans="1:32" ht="13.8" thickBot="1" x14ac:dyDescent="0.3"/>
    <row r="1099" spans="1:32" ht="15.6" thickBot="1" x14ac:dyDescent="0.3">
      <c r="A1099" s="27" t="s">
        <v>0</v>
      </c>
      <c r="B1099" s="27" t="s">
        <v>8</v>
      </c>
      <c r="C1099" s="47">
        <v>1</v>
      </c>
      <c r="D1099" s="48">
        <v>2</v>
      </c>
      <c r="E1099" s="48">
        <v>3</v>
      </c>
      <c r="F1099" s="48">
        <v>4</v>
      </c>
      <c r="G1099" s="49">
        <v>5</v>
      </c>
      <c r="H1099" s="47">
        <v>6</v>
      </c>
      <c r="I1099" s="48">
        <v>7</v>
      </c>
      <c r="J1099" s="48">
        <v>8</v>
      </c>
      <c r="K1099" s="48">
        <v>9</v>
      </c>
      <c r="L1099" s="49">
        <v>10</v>
      </c>
      <c r="M1099" s="47">
        <v>11</v>
      </c>
      <c r="N1099" s="48">
        <v>12</v>
      </c>
      <c r="O1099" s="48">
        <v>13</v>
      </c>
      <c r="P1099" s="48">
        <v>14</v>
      </c>
      <c r="Q1099" s="49">
        <v>15</v>
      </c>
      <c r="R1099" s="47">
        <v>16</v>
      </c>
      <c r="S1099" s="48">
        <v>17</v>
      </c>
      <c r="T1099" s="48">
        <v>18</v>
      </c>
      <c r="U1099" s="48">
        <v>19</v>
      </c>
      <c r="V1099" s="49">
        <v>20</v>
      </c>
      <c r="W1099" s="47">
        <v>21</v>
      </c>
      <c r="X1099" s="48">
        <v>22</v>
      </c>
      <c r="Y1099" s="48">
        <v>23</v>
      </c>
      <c r="Z1099" s="48">
        <v>24</v>
      </c>
      <c r="AA1099" s="49">
        <v>25</v>
      </c>
      <c r="AB1099" s="30" t="s">
        <v>1</v>
      </c>
    </row>
    <row r="1100" spans="1:32" ht="14.25" customHeight="1" x14ac:dyDescent="0.25">
      <c r="A1100" s="136">
        <f>ESCUADRAS!B208</f>
        <v>202</v>
      </c>
      <c r="B1100" s="136">
        <f>ESCUADRAS!C208</f>
        <v>0</v>
      </c>
      <c r="C1100" s="129"/>
      <c r="D1100" s="114"/>
      <c r="E1100" s="114"/>
      <c r="F1100" s="114"/>
      <c r="G1100" s="117"/>
      <c r="H1100" s="111"/>
      <c r="I1100" s="105"/>
      <c r="J1100" s="105"/>
      <c r="K1100" s="105"/>
      <c r="L1100" s="108"/>
      <c r="M1100" s="111"/>
      <c r="N1100" s="105"/>
      <c r="O1100" s="105"/>
      <c r="P1100" s="105"/>
      <c r="Q1100" s="108"/>
      <c r="R1100" s="111"/>
      <c r="S1100" s="105"/>
      <c r="T1100" s="105"/>
      <c r="U1100" s="105"/>
      <c r="V1100" s="108"/>
      <c r="W1100" s="111"/>
      <c r="X1100" s="105"/>
      <c r="Y1100" s="105"/>
      <c r="Z1100" s="105"/>
      <c r="AA1100" s="108"/>
      <c r="AB1100" s="133"/>
    </row>
    <row r="1101" spans="1:32" ht="14.25" customHeight="1" x14ac:dyDescent="0.25">
      <c r="A1101" s="137"/>
      <c r="B1101" s="137"/>
      <c r="C1101" s="130"/>
      <c r="D1101" s="115"/>
      <c r="E1101" s="115"/>
      <c r="F1101" s="115"/>
      <c r="G1101" s="118"/>
      <c r="H1101" s="112"/>
      <c r="I1101" s="106"/>
      <c r="J1101" s="106"/>
      <c r="K1101" s="106"/>
      <c r="L1101" s="109"/>
      <c r="M1101" s="112"/>
      <c r="N1101" s="106"/>
      <c r="O1101" s="106"/>
      <c r="P1101" s="106"/>
      <c r="Q1101" s="109"/>
      <c r="R1101" s="112"/>
      <c r="S1101" s="106"/>
      <c r="T1101" s="106"/>
      <c r="U1101" s="106"/>
      <c r="V1101" s="109"/>
      <c r="W1101" s="112"/>
      <c r="X1101" s="106"/>
      <c r="Y1101" s="106"/>
      <c r="Z1101" s="106"/>
      <c r="AA1101" s="109"/>
      <c r="AB1101" s="134"/>
    </row>
    <row r="1102" spans="1:32" ht="14.25" customHeight="1" thickBot="1" x14ac:dyDescent="0.3">
      <c r="A1102" s="138"/>
      <c r="B1102" s="138"/>
      <c r="C1102" s="131"/>
      <c r="D1102" s="116"/>
      <c r="E1102" s="116"/>
      <c r="F1102" s="116"/>
      <c r="G1102" s="119"/>
      <c r="H1102" s="113"/>
      <c r="I1102" s="107"/>
      <c r="J1102" s="107"/>
      <c r="K1102" s="107"/>
      <c r="L1102" s="110"/>
      <c r="M1102" s="113"/>
      <c r="N1102" s="107"/>
      <c r="O1102" s="107"/>
      <c r="P1102" s="107"/>
      <c r="Q1102" s="110"/>
      <c r="R1102" s="113"/>
      <c r="S1102" s="107"/>
      <c r="T1102" s="107"/>
      <c r="U1102" s="107"/>
      <c r="V1102" s="110"/>
      <c r="W1102" s="113"/>
      <c r="X1102" s="107"/>
      <c r="Y1102" s="107"/>
      <c r="Z1102" s="107"/>
      <c r="AA1102" s="110"/>
      <c r="AB1102" s="135"/>
    </row>
    <row r="1103" spans="1:32" ht="13.5" customHeight="1" x14ac:dyDescent="0.25">
      <c r="A1103" s="136">
        <f>ESCUADRAS!B209</f>
        <v>203</v>
      </c>
      <c r="B1103" s="136">
        <f>ESCUADRAS!C209</f>
        <v>0</v>
      </c>
      <c r="C1103" s="93"/>
      <c r="D1103" s="123"/>
      <c r="E1103" s="123"/>
      <c r="F1103" s="123"/>
      <c r="G1103" s="126"/>
      <c r="H1103" s="102"/>
      <c r="I1103" s="96"/>
      <c r="J1103" s="96"/>
      <c r="K1103" s="96"/>
      <c r="L1103" s="99"/>
      <c r="M1103" s="102"/>
      <c r="N1103" s="96"/>
      <c r="O1103" s="96"/>
      <c r="P1103" s="96"/>
      <c r="Q1103" s="99"/>
      <c r="R1103" s="102"/>
      <c r="S1103" s="96"/>
      <c r="T1103" s="96"/>
      <c r="U1103" s="96"/>
      <c r="V1103" s="99"/>
      <c r="W1103" s="111"/>
      <c r="X1103" s="105"/>
      <c r="Y1103" s="105"/>
      <c r="Z1103" s="105"/>
      <c r="AA1103" s="108"/>
      <c r="AB1103" s="133"/>
    </row>
    <row r="1104" spans="1:32" ht="12.75" customHeight="1" x14ac:dyDescent="0.25">
      <c r="A1104" s="137"/>
      <c r="B1104" s="137"/>
      <c r="C1104" s="94"/>
      <c r="D1104" s="124"/>
      <c r="E1104" s="124"/>
      <c r="F1104" s="124"/>
      <c r="G1104" s="127"/>
      <c r="H1104" s="103"/>
      <c r="I1104" s="97"/>
      <c r="J1104" s="97"/>
      <c r="K1104" s="97"/>
      <c r="L1104" s="100"/>
      <c r="M1104" s="103"/>
      <c r="N1104" s="97"/>
      <c r="O1104" s="97"/>
      <c r="P1104" s="97"/>
      <c r="Q1104" s="100"/>
      <c r="R1104" s="103"/>
      <c r="S1104" s="97"/>
      <c r="T1104" s="97"/>
      <c r="U1104" s="97"/>
      <c r="V1104" s="100"/>
      <c r="W1104" s="112"/>
      <c r="X1104" s="106"/>
      <c r="Y1104" s="106"/>
      <c r="Z1104" s="106"/>
      <c r="AA1104" s="109"/>
      <c r="AB1104" s="134"/>
    </row>
    <row r="1105" spans="1:28" ht="13.5" customHeight="1" thickBot="1" x14ac:dyDescent="0.3">
      <c r="A1105" s="138"/>
      <c r="B1105" s="138"/>
      <c r="C1105" s="95"/>
      <c r="D1105" s="125"/>
      <c r="E1105" s="125"/>
      <c r="F1105" s="125"/>
      <c r="G1105" s="128"/>
      <c r="H1105" s="104"/>
      <c r="I1105" s="98"/>
      <c r="J1105" s="98"/>
      <c r="K1105" s="98"/>
      <c r="L1105" s="101"/>
      <c r="M1105" s="104"/>
      <c r="N1105" s="98"/>
      <c r="O1105" s="98"/>
      <c r="P1105" s="98"/>
      <c r="Q1105" s="101"/>
      <c r="R1105" s="104"/>
      <c r="S1105" s="98"/>
      <c r="T1105" s="98"/>
      <c r="U1105" s="98"/>
      <c r="V1105" s="101"/>
      <c r="W1105" s="113"/>
      <c r="X1105" s="107"/>
      <c r="Y1105" s="107"/>
      <c r="Z1105" s="107"/>
      <c r="AA1105" s="110"/>
      <c r="AB1105" s="135"/>
    </row>
    <row r="1106" spans="1:28" ht="14.25" customHeight="1" x14ac:dyDescent="0.25">
      <c r="A1106" s="136">
        <f>ESCUADRAS!B210</f>
        <v>204</v>
      </c>
      <c r="B1106" s="136">
        <f>ESCUADRAS!C210</f>
        <v>0</v>
      </c>
      <c r="C1106" s="93"/>
      <c r="D1106" s="123"/>
      <c r="E1106" s="123"/>
      <c r="F1106" s="123"/>
      <c r="G1106" s="126"/>
      <c r="H1106" s="102"/>
      <c r="I1106" s="96"/>
      <c r="J1106" s="96"/>
      <c r="K1106" s="96"/>
      <c r="L1106" s="99"/>
      <c r="M1106" s="102"/>
      <c r="N1106" s="96"/>
      <c r="O1106" s="96"/>
      <c r="P1106" s="96"/>
      <c r="Q1106" s="99"/>
      <c r="R1106" s="111"/>
      <c r="S1106" s="105"/>
      <c r="T1106" s="105"/>
      <c r="U1106" s="105"/>
      <c r="V1106" s="108"/>
      <c r="W1106" s="102"/>
      <c r="X1106" s="96"/>
      <c r="Y1106" s="96"/>
      <c r="Z1106" s="96"/>
      <c r="AA1106" s="99"/>
      <c r="AB1106" s="133"/>
    </row>
    <row r="1107" spans="1:28" ht="14.25" customHeight="1" x14ac:dyDescent="0.25">
      <c r="A1107" s="137"/>
      <c r="B1107" s="137"/>
      <c r="C1107" s="94"/>
      <c r="D1107" s="124"/>
      <c r="E1107" s="124"/>
      <c r="F1107" s="124"/>
      <c r="G1107" s="127"/>
      <c r="H1107" s="103"/>
      <c r="I1107" s="97"/>
      <c r="J1107" s="97"/>
      <c r="K1107" s="97"/>
      <c r="L1107" s="100"/>
      <c r="M1107" s="103"/>
      <c r="N1107" s="97"/>
      <c r="O1107" s="97"/>
      <c r="P1107" s="97"/>
      <c r="Q1107" s="100"/>
      <c r="R1107" s="112"/>
      <c r="S1107" s="106"/>
      <c r="T1107" s="106"/>
      <c r="U1107" s="106"/>
      <c r="V1107" s="109"/>
      <c r="W1107" s="103"/>
      <c r="X1107" s="97"/>
      <c r="Y1107" s="97"/>
      <c r="Z1107" s="97"/>
      <c r="AA1107" s="100"/>
      <c r="AB1107" s="134"/>
    </row>
    <row r="1108" spans="1:28" ht="14.25" customHeight="1" thickBot="1" x14ac:dyDescent="0.3">
      <c r="A1108" s="138"/>
      <c r="B1108" s="138"/>
      <c r="C1108" s="95"/>
      <c r="D1108" s="125"/>
      <c r="E1108" s="125"/>
      <c r="F1108" s="125"/>
      <c r="G1108" s="128"/>
      <c r="H1108" s="104"/>
      <c r="I1108" s="98"/>
      <c r="J1108" s="98"/>
      <c r="K1108" s="98"/>
      <c r="L1108" s="101"/>
      <c r="M1108" s="104"/>
      <c r="N1108" s="98"/>
      <c r="O1108" s="98"/>
      <c r="P1108" s="98"/>
      <c r="Q1108" s="101"/>
      <c r="R1108" s="113"/>
      <c r="S1108" s="107"/>
      <c r="T1108" s="107"/>
      <c r="U1108" s="107"/>
      <c r="V1108" s="110"/>
      <c r="W1108" s="104"/>
      <c r="X1108" s="98"/>
      <c r="Y1108" s="98"/>
      <c r="Z1108" s="98"/>
      <c r="AA1108" s="101"/>
      <c r="AB1108" s="135"/>
    </row>
    <row r="1109" spans="1:28" ht="13.5" customHeight="1" x14ac:dyDescent="0.25">
      <c r="A1109" s="136">
        <f>ESCUADRAS!B205</f>
        <v>199</v>
      </c>
      <c r="B1109" s="136">
        <f>ESCUADRAS!C205</f>
        <v>0</v>
      </c>
      <c r="C1109" s="93"/>
      <c r="D1109" s="123"/>
      <c r="E1109" s="123"/>
      <c r="F1109" s="123"/>
      <c r="G1109" s="126"/>
      <c r="H1109" s="102"/>
      <c r="I1109" s="96"/>
      <c r="J1109" s="96"/>
      <c r="K1109" s="96"/>
      <c r="L1109" s="99"/>
      <c r="M1109" s="111"/>
      <c r="N1109" s="105"/>
      <c r="O1109" s="105"/>
      <c r="P1109" s="105"/>
      <c r="Q1109" s="108"/>
      <c r="R1109" s="102"/>
      <c r="S1109" s="96"/>
      <c r="T1109" s="96"/>
      <c r="U1109" s="96"/>
      <c r="V1109" s="99"/>
      <c r="W1109" s="102"/>
      <c r="X1109" s="96"/>
      <c r="Y1109" s="96"/>
      <c r="Z1109" s="96"/>
      <c r="AA1109" s="99"/>
      <c r="AB1109" s="133"/>
    </row>
    <row r="1110" spans="1:28" ht="12.75" customHeight="1" x14ac:dyDescent="0.25">
      <c r="A1110" s="137"/>
      <c r="B1110" s="137"/>
      <c r="C1110" s="94"/>
      <c r="D1110" s="124"/>
      <c r="E1110" s="124"/>
      <c r="F1110" s="124"/>
      <c r="G1110" s="127"/>
      <c r="H1110" s="103"/>
      <c r="I1110" s="97"/>
      <c r="J1110" s="97"/>
      <c r="K1110" s="97"/>
      <c r="L1110" s="100"/>
      <c r="M1110" s="112"/>
      <c r="N1110" s="106"/>
      <c r="O1110" s="106"/>
      <c r="P1110" s="106"/>
      <c r="Q1110" s="109"/>
      <c r="R1110" s="103"/>
      <c r="S1110" s="97"/>
      <c r="T1110" s="97"/>
      <c r="U1110" s="97"/>
      <c r="V1110" s="100"/>
      <c r="W1110" s="103"/>
      <c r="X1110" s="97"/>
      <c r="Y1110" s="97"/>
      <c r="Z1110" s="97"/>
      <c r="AA1110" s="100"/>
      <c r="AB1110" s="134"/>
    </row>
    <row r="1111" spans="1:28" ht="13.5" customHeight="1" thickBot="1" x14ac:dyDescent="0.3">
      <c r="A1111" s="138"/>
      <c r="B1111" s="138"/>
      <c r="C1111" s="95"/>
      <c r="D1111" s="125"/>
      <c r="E1111" s="125"/>
      <c r="F1111" s="125"/>
      <c r="G1111" s="128"/>
      <c r="H1111" s="104"/>
      <c r="I1111" s="98"/>
      <c r="J1111" s="98"/>
      <c r="K1111" s="98"/>
      <c r="L1111" s="101"/>
      <c r="M1111" s="113"/>
      <c r="N1111" s="107"/>
      <c r="O1111" s="107"/>
      <c r="P1111" s="107"/>
      <c r="Q1111" s="110"/>
      <c r="R1111" s="104"/>
      <c r="S1111" s="98"/>
      <c r="T1111" s="98"/>
      <c r="U1111" s="98"/>
      <c r="V1111" s="101"/>
      <c r="W1111" s="104"/>
      <c r="X1111" s="98"/>
      <c r="Y1111" s="98"/>
      <c r="Z1111" s="98"/>
      <c r="AA1111" s="101"/>
      <c r="AB1111" s="135"/>
    </row>
    <row r="1112" spans="1:28" ht="14.25" customHeight="1" x14ac:dyDescent="0.25">
      <c r="A1112" s="136">
        <f>ESCUADRAS!B206</f>
        <v>200</v>
      </c>
      <c r="B1112" s="136">
        <f>ESCUADRAS!C206</f>
        <v>0</v>
      </c>
      <c r="C1112" s="93"/>
      <c r="D1112" s="123"/>
      <c r="E1112" s="123"/>
      <c r="F1112" s="123"/>
      <c r="G1112" s="126"/>
      <c r="H1112" s="111"/>
      <c r="I1112" s="105"/>
      <c r="J1112" s="105"/>
      <c r="K1112" s="105"/>
      <c r="L1112" s="108"/>
      <c r="M1112" s="102"/>
      <c r="N1112" s="96"/>
      <c r="O1112" s="96"/>
      <c r="P1112" s="96"/>
      <c r="Q1112" s="99"/>
      <c r="R1112" s="102"/>
      <c r="S1112" s="96"/>
      <c r="T1112" s="96"/>
      <c r="U1112" s="96"/>
      <c r="V1112" s="99"/>
      <c r="W1112" s="102"/>
      <c r="X1112" s="96"/>
      <c r="Y1112" s="96"/>
      <c r="Z1112" s="96"/>
      <c r="AA1112" s="99"/>
      <c r="AB1112" s="133"/>
    </row>
    <row r="1113" spans="1:28" ht="14.25" customHeight="1" x14ac:dyDescent="0.25">
      <c r="A1113" s="137"/>
      <c r="B1113" s="137"/>
      <c r="C1113" s="94"/>
      <c r="D1113" s="124"/>
      <c r="E1113" s="124"/>
      <c r="F1113" s="124"/>
      <c r="G1113" s="127"/>
      <c r="H1113" s="112"/>
      <c r="I1113" s="106"/>
      <c r="J1113" s="106"/>
      <c r="K1113" s="106"/>
      <c r="L1113" s="109"/>
      <c r="M1113" s="103"/>
      <c r="N1113" s="97"/>
      <c r="O1113" s="97"/>
      <c r="P1113" s="97"/>
      <c r="Q1113" s="100"/>
      <c r="R1113" s="103"/>
      <c r="S1113" s="97"/>
      <c r="T1113" s="97"/>
      <c r="U1113" s="97"/>
      <c r="V1113" s="100"/>
      <c r="W1113" s="103"/>
      <c r="X1113" s="97"/>
      <c r="Y1113" s="97"/>
      <c r="Z1113" s="97"/>
      <c r="AA1113" s="100"/>
      <c r="AB1113" s="134"/>
    </row>
    <row r="1114" spans="1:28" ht="14.25" customHeight="1" thickBot="1" x14ac:dyDescent="0.3">
      <c r="A1114" s="138"/>
      <c r="B1114" s="138"/>
      <c r="C1114" s="95"/>
      <c r="D1114" s="125"/>
      <c r="E1114" s="125"/>
      <c r="F1114" s="125"/>
      <c r="G1114" s="128"/>
      <c r="H1114" s="113"/>
      <c r="I1114" s="107"/>
      <c r="J1114" s="107"/>
      <c r="K1114" s="107"/>
      <c r="L1114" s="110"/>
      <c r="M1114" s="104"/>
      <c r="N1114" s="98"/>
      <c r="O1114" s="98"/>
      <c r="P1114" s="98"/>
      <c r="Q1114" s="101"/>
      <c r="R1114" s="104"/>
      <c r="S1114" s="98"/>
      <c r="T1114" s="98"/>
      <c r="U1114" s="98"/>
      <c r="V1114" s="101"/>
      <c r="W1114" s="104"/>
      <c r="X1114" s="98"/>
      <c r="Y1114" s="98"/>
      <c r="Z1114" s="98"/>
      <c r="AA1114" s="101"/>
      <c r="AB1114" s="135"/>
    </row>
    <row r="1115" spans="1:28" ht="13.5" customHeight="1" x14ac:dyDescent="0.25">
      <c r="A1115" s="136">
        <f>ESCUADRAS!B207</f>
        <v>201</v>
      </c>
      <c r="B1115" s="136">
        <f>ESCUADRAS!C207</f>
        <v>0</v>
      </c>
      <c r="C1115" s="111"/>
      <c r="D1115" s="105"/>
      <c r="E1115" s="105"/>
      <c r="F1115" s="105"/>
      <c r="G1115" s="108"/>
      <c r="H1115" s="122"/>
      <c r="I1115" s="120"/>
      <c r="J1115" s="120"/>
      <c r="K1115" s="120"/>
      <c r="L1115" s="121"/>
      <c r="M1115" s="122"/>
      <c r="N1115" s="120"/>
      <c r="O1115" s="120"/>
      <c r="P1115" s="120"/>
      <c r="Q1115" s="121"/>
      <c r="R1115" s="122"/>
      <c r="S1115" s="120"/>
      <c r="T1115" s="120"/>
      <c r="U1115" s="120"/>
      <c r="V1115" s="121"/>
      <c r="W1115" s="122"/>
      <c r="X1115" s="120"/>
      <c r="Y1115" s="120"/>
      <c r="Z1115" s="120"/>
      <c r="AA1115" s="121"/>
      <c r="AB1115" s="133"/>
    </row>
    <row r="1116" spans="1:28" ht="12.75" customHeight="1" x14ac:dyDescent="0.25">
      <c r="A1116" s="137"/>
      <c r="B1116" s="137"/>
      <c r="C1116" s="112"/>
      <c r="D1116" s="106"/>
      <c r="E1116" s="106"/>
      <c r="F1116" s="106"/>
      <c r="G1116" s="109"/>
      <c r="H1116" s="103"/>
      <c r="I1116" s="97"/>
      <c r="J1116" s="97"/>
      <c r="K1116" s="97"/>
      <c r="L1116" s="100"/>
      <c r="M1116" s="103"/>
      <c r="N1116" s="97"/>
      <c r="O1116" s="97"/>
      <c r="P1116" s="97"/>
      <c r="Q1116" s="100"/>
      <c r="R1116" s="103"/>
      <c r="S1116" s="97"/>
      <c r="T1116" s="97"/>
      <c r="U1116" s="97"/>
      <c r="V1116" s="100"/>
      <c r="W1116" s="103"/>
      <c r="X1116" s="97"/>
      <c r="Y1116" s="97"/>
      <c r="Z1116" s="97"/>
      <c r="AA1116" s="100"/>
      <c r="AB1116" s="134"/>
    </row>
    <row r="1117" spans="1:28" ht="13.5" customHeight="1" thickBot="1" x14ac:dyDescent="0.3">
      <c r="A1117" s="138"/>
      <c r="B1117" s="138"/>
      <c r="C1117" s="113"/>
      <c r="D1117" s="107"/>
      <c r="E1117" s="107"/>
      <c r="F1117" s="107"/>
      <c r="G1117" s="110"/>
      <c r="H1117" s="104"/>
      <c r="I1117" s="98"/>
      <c r="J1117" s="98"/>
      <c r="K1117" s="98"/>
      <c r="L1117" s="101"/>
      <c r="M1117" s="104"/>
      <c r="N1117" s="98"/>
      <c r="O1117" s="98"/>
      <c r="P1117" s="98"/>
      <c r="Q1117" s="101"/>
      <c r="R1117" s="104"/>
      <c r="S1117" s="98"/>
      <c r="T1117" s="98"/>
      <c r="U1117" s="98"/>
      <c r="V1117" s="101"/>
      <c r="W1117" s="104"/>
      <c r="X1117" s="98"/>
      <c r="Y1117" s="98"/>
      <c r="Z1117" s="98"/>
      <c r="AA1117" s="101"/>
      <c r="AB1117" s="135"/>
    </row>
    <row r="1119" spans="1:28" ht="15" x14ac:dyDescent="0.25">
      <c r="A1119" s="28"/>
      <c r="B1119" s="26" t="s">
        <v>35</v>
      </c>
      <c r="E1119" s="21" t="s">
        <v>41</v>
      </c>
      <c r="I1119" s="21" t="s">
        <v>42</v>
      </c>
      <c r="M1119" s="21" t="s">
        <v>43</v>
      </c>
      <c r="Q1119" s="21" t="s">
        <v>44</v>
      </c>
      <c r="U1119" s="21" t="s">
        <v>45</v>
      </c>
      <c r="Y1119" s="21" t="s">
        <v>46</v>
      </c>
    </row>
  </sheetData>
  <mergeCells count="5815">
    <mergeCell ref="X1115:X1117"/>
    <mergeCell ref="Y1115:Y1117"/>
    <mergeCell ref="Z1115:Z1117"/>
    <mergeCell ref="AA1115:AA1117"/>
    <mergeCell ref="AB1115:AB1117"/>
    <mergeCell ref="R1115:R1117"/>
    <mergeCell ref="S1115:S1117"/>
    <mergeCell ref="T1115:T1117"/>
    <mergeCell ref="U1115:U1117"/>
    <mergeCell ref="V1115:V1117"/>
    <mergeCell ref="W1115:W1117"/>
    <mergeCell ref="L1115:L1117"/>
    <mergeCell ref="M1115:M1117"/>
    <mergeCell ref="N1115:N1117"/>
    <mergeCell ref="O1115:O1117"/>
    <mergeCell ref="P1115:P1117"/>
    <mergeCell ref="Q1115:Q1117"/>
    <mergeCell ref="F1115:F1117"/>
    <mergeCell ref="G1115:G1117"/>
    <mergeCell ref="H1115:H1117"/>
    <mergeCell ref="I1115:I1117"/>
    <mergeCell ref="J1115:J1117"/>
    <mergeCell ref="K1115:K1117"/>
    <mergeCell ref="X1112:X1114"/>
    <mergeCell ref="Y1112:Y1114"/>
    <mergeCell ref="Z1112:Z1114"/>
    <mergeCell ref="AA1112:AA1114"/>
    <mergeCell ref="AB1112:AB1114"/>
    <mergeCell ref="A1115:A1117"/>
    <mergeCell ref="B1115:B1117"/>
    <mergeCell ref="C1115:C1117"/>
    <mergeCell ref="D1115:D1117"/>
    <mergeCell ref="E1115:E1117"/>
    <mergeCell ref="R1112:R1114"/>
    <mergeCell ref="S1112:S1114"/>
    <mergeCell ref="T1112:T1114"/>
    <mergeCell ref="U1112:U1114"/>
    <mergeCell ref="V1112:V1114"/>
    <mergeCell ref="W1112:W1114"/>
    <mergeCell ref="L1112:L1114"/>
    <mergeCell ref="M1112:M1114"/>
    <mergeCell ref="N1112:N1114"/>
    <mergeCell ref="O1112:O1114"/>
    <mergeCell ref="P1112:P1114"/>
    <mergeCell ref="Q1112:Q1114"/>
    <mergeCell ref="F1112:F1114"/>
    <mergeCell ref="G1112:G1114"/>
    <mergeCell ref="H1112:H1114"/>
    <mergeCell ref="I1112:I1114"/>
    <mergeCell ref="J1112:J1114"/>
    <mergeCell ref="K1112:K1114"/>
    <mergeCell ref="X1109:X1111"/>
    <mergeCell ref="Y1109:Y1111"/>
    <mergeCell ref="Z1109:Z1111"/>
    <mergeCell ref="AA1109:AA1111"/>
    <mergeCell ref="AB1109:AB1111"/>
    <mergeCell ref="A1112:A1114"/>
    <mergeCell ref="B1112:B1114"/>
    <mergeCell ref="C1112:C1114"/>
    <mergeCell ref="D1112:D1114"/>
    <mergeCell ref="E1112:E1114"/>
    <mergeCell ref="R1109:R1111"/>
    <mergeCell ref="S1109:S1111"/>
    <mergeCell ref="T1109:T1111"/>
    <mergeCell ref="U1109:U1111"/>
    <mergeCell ref="V1109:V1111"/>
    <mergeCell ref="W1109:W1111"/>
    <mergeCell ref="L1109:L1111"/>
    <mergeCell ref="M1109:M1111"/>
    <mergeCell ref="N1109:N1111"/>
    <mergeCell ref="O1109:O1111"/>
    <mergeCell ref="P1109:P1111"/>
    <mergeCell ref="Q1109:Q1111"/>
    <mergeCell ref="F1109:F1111"/>
    <mergeCell ref="G1109:G1111"/>
    <mergeCell ref="H1109:H1111"/>
    <mergeCell ref="I1109:I1111"/>
    <mergeCell ref="J1109:J1111"/>
    <mergeCell ref="K1109:K1111"/>
    <mergeCell ref="AB1106:AB1108"/>
    <mergeCell ref="A1109:A1111"/>
    <mergeCell ref="B1109:B1111"/>
    <mergeCell ref="C1109:C1111"/>
    <mergeCell ref="D1109:D1111"/>
    <mergeCell ref="E1109:E1111"/>
    <mergeCell ref="R1106:R1108"/>
    <mergeCell ref="S1106:S1108"/>
    <mergeCell ref="T1106:T1108"/>
    <mergeCell ref="U1106:U1108"/>
    <mergeCell ref="V1106:V1108"/>
    <mergeCell ref="W1106:W1108"/>
    <mergeCell ref="L1106:L1108"/>
    <mergeCell ref="M1106:M1108"/>
    <mergeCell ref="N1106:N1108"/>
    <mergeCell ref="O1106:O1108"/>
    <mergeCell ref="P1106:P1108"/>
    <mergeCell ref="Q1106:Q1108"/>
    <mergeCell ref="F1106:F1108"/>
    <mergeCell ref="G1106:G1108"/>
    <mergeCell ref="H1106:H1108"/>
    <mergeCell ref="I1106:I1108"/>
    <mergeCell ref="J1106:J1108"/>
    <mergeCell ref="K1106:K1108"/>
    <mergeCell ref="X1103:X1105"/>
    <mergeCell ref="Y1103:Y1105"/>
    <mergeCell ref="Z1103:Z1105"/>
    <mergeCell ref="AA1103:AA1105"/>
    <mergeCell ref="AB1103:AB1105"/>
    <mergeCell ref="A1106:A1108"/>
    <mergeCell ref="B1106:B1108"/>
    <mergeCell ref="C1106:C1108"/>
    <mergeCell ref="D1106:D1108"/>
    <mergeCell ref="E1106:E1108"/>
    <mergeCell ref="R1103:R1105"/>
    <mergeCell ref="S1103:S1105"/>
    <mergeCell ref="T1103:T1105"/>
    <mergeCell ref="U1103:U1105"/>
    <mergeCell ref="V1103:V1105"/>
    <mergeCell ref="W1103:W1105"/>
    <mergeCell ref="L1103:L1105"/>
    <mergeCell ref="M1103:M1105"/>
    <mergeCell ref="N1103:N1105"/>
    <mergeCell ref="O1103:O1105"/>
    <mergeCell ref="P1103:P1105"/>
    <mergeCell ref="Q1103:Q1105"/>
    <mergeCell ref="F1103:F1105"/>
    <mergeCell ref="G1103:G1105"/>
    <mergeCell ref="H1103:H1105"/>
    <mergeCell ref="I1103:I1105"/>
    <mergeCell ref="J1103:J1105"/>
    <mergeCell ref="K1103:K1105"/>
    <mergeCell ref="X1106:X1108"/>
    <mergeCell ref="Y1106:Y1108"/>
    <mergeCell ref="Z1106:Z1108"/>
    <mergeCell ref="AA1106:AA1108"/>
    <mergeCell ref="A1103:A1105"/>
    <mergeCell ref="B1103:B1105"/>
    <mergeCell ref="C1103:C1105"/>
    <mergeCell ref="D1103:D1105"/>
    <mergeCell ref="E1103:E1105"/>
    <mergeCell ref="R1100:R1102"/>
    <mergeCell ref="S1100:S1102"/>
    <mergeCell ref="T1100:T1102"/>
    <mergeCell ref="U1100:U1102"/>
    <mergeCell ref="V1100:V1102"/>
    <mergeCell ref="W1100:W1102"/>
    <mergeCell ref="L1100:L1102"/>
    <mergeCell ref="M1100:M1102"/>
    <mergeCell ref="N1100:N1102"/>
    <mergeCell ref="O1100:O1102"/>
    <mergeCell ref="P1100:P1102"/>
    <mergeCell ref="Q1100:Q1102"/>
    <mergeCell ref="F1100:F1102"/>
    <mergeCell ref="G1100:G1102"/>
    <mergeCell ref="H1100:H1102"/>
    <mergeCell ref="I1100:I1102"/>
    <mergeCell ref="J1100:J1102"/>
    <mergeCell ref="K1100:K1102"/>
    <mergeCell ref="A1092:AF1092"/>
    <mergeCell ref="A1094:AF1094"/>
    <mergeCell ref="A1095:AF1095"/>
    <mergeCell ref="A1100:A1102"/>
    <mergeCell ref="B1100:B1102"/>
    <mergeCell ref="C1100:C1102"/>
    <mergeCell ref="D1100:D1102"/>
    <mergeCell ref="E1100:E1102"/>
    <mergeCell ref="U1082:U1084"/>
    <mergeCell ref="V1082:V1084"/>
    <mergeCell ref="W1082:W1084"/>
    <mergeCell ref="X1082:X1084"/>
    <mergeCell ref="Y1082:Y1084"/>
    <mergeCell ref="Z1082:Z1084"/>
    <mergeCell ref="O1082:O1084"/>
    <mergeCell ref="P1082:P1084"/>
    <mergeCell ref="Q1082:Q1084"/>
    <mergeCell ref="R1082:R1084"/>
    <mergeCell ref="S1082:S1084"/>
    <mergeCell ref="T1082:T1084"/>
    <mergeCell ref="I1082:I1084"/>
    <mergeCell ref="J1082:J1084"/>
    <mergeCell ref="K1082:K1084"/>
    <mergeCell ref="L1082:L1084"/>
    <mergeCell ref="M1082:M1084"/>
    <mergeCell ref="N1082:N1084"/>
    <mergeCell ref="X1100:X1102"/>
    <mergeCell ref="Y1100:Y1102"/>
    <mergeCell ref="Z1100:Z1102"/>
    <mergeCell ref="AA1100:AA1102"/>
    <mergeCell ref="AB1100:AB1102"/>
    <mergeCell ref="AA1079:AA1081"/>
    <mergeCell ref="AB1079:AB1081"/>
    <mergeCell ref="A1082:A1084"/>
    <mergeCell ref="B1082:B1084"/>
    <mergeCell ref="C1082:C1084"/>
    <mergeCell ref="D1082:D1084"/>
    <mergeCell ref="E1082:E1084"/>
    <mergeCell ref="F1082:F1084"/>
    <mergeCell ref="G1082:G1084"/>
    <mergeCell ref="H1082:H1084"/>
    <mergeCell ref="U1079:U1081"/>
    <mergeCell ref="V1079:V1081"/>
    <mergeCell ref="W1079:W1081"/>
    <mergeCell ref="X1079:X1081"/>
    <mergeCell ref="Y1079:Y1081"/>
    <mergeCell ref="Z1079:Z1081"/>
    <mergeCell ref="O1079:O1081"/>
    <mergeCell ref="P1079:P1081"/>
    <mergeCell ref="Q1079:Q1081"/>
    <mergeCell ref="R1079:R1081"/>
    <mergeCell ref="S1079:S1081"/>
    <mergeCell ref="T1079:T1081"/>
    <mergeCell ref="I1079:I1081"/>
    <mergeCell ref="J1079:J1081"/>
    <mergeCell ref="K1079:K1081"/>
    <mergeCell ref="L1079:L1081"/>
    <mergeCell ref="M1079:M1081"/>
    <mergeCell ref="N1079:N1081"/>
    <mergeCell ref="AA1082:AA1084"/>
    <mergeCell ref="AB1082:AB1084"/>
    <mergeCell ref="A1079:A1081"/>
    <mergeCell ref="B1079:B1081"/>
    <mergeCell ref="C1079:C1081"/>
    <mergeCell ref="D1079:D1081"/>
    <mergeCell ref="E1079:E1081"/>
    <mergeCell ref="F1079:F1081"/>
    <mergeCell ref="G1079:G1081"/>
    <mergeCell ref="H1079:H1081"/>
    <mergeCell ref="U1076:U1078"/>
    <mergeCell ref="V1076:V1078"/>
    <mergeCell ref="W1076:W1078"/>
    <mergeCell ref="X1076:X1078"/>
    <mergeCell ref="Y1076:Y1078"/>
    <mergeCell ref="Z1076:Z1078"/>
    <mergeCell ref="O1076:O1078"/>
    <mergeCell ref="P1076:P1078"/>
    <mergeCell ref="Q1076:Q1078"/>
    <mergeCell ref="R1076:R1078"/>
    <mergeCell ref="S1076:S1078"/>
    <mergeCell ref="T1076:T1078"/>
    <mergeCell ref="I1076:I1078"/>
    <mergeCell ref="J1076:J1078"/>
    <mergeCell ref="K1076:K1078"/>
    <mergeCell ref="L1076:L1078"/>
    <mergeCell ref="M1076:M1078"/>
    <mergeCell ref="N1076:N1078"/>
    <mergeCell ref="AA1073:AA1075"/>
    <mergeCell ref="AB1073:AB1075"/>
    <mergeCell ref="A1076:A1078"/>
    <mergeCell ref="B1076:B1078"/>
    <mergeCell ref="C1076:C1078"/>
    <mergeCell ref="D1076:D1078"/>
    <mergeCell ref="E1076:E1078"/>
    <mergeCell ref="F1076:F1078"/>
    <mergeCell ref="G1076:G1078"/>
    <mergeCell ref="H1076:H1078"/>
    <mergeCell ref="U1073:U1075"/>
    <mergeCell ref="V1073:V1075"/>
    <mergeCell ref="W1073:W1075"/>
    <mergeCell ref="X1073:X1075"/>
    <mergeCell ref="Y1073:Y1075"/>
    <mergeCell ref="Z1073:Z1075"/>
    <mergeCell ref="O1073:O1075"/>
    <mergeCell ref="P1073:P1075"/>
    <mergeCell ref="Q1073:Q1075"/>
    <mergeCell ref="R1073:R1075"/>
    <mergeCell ref="S1073:S1075"/>
    <mergeCell ref="T1073:T1075"/>
    <mergeCell ref="I1073:I1075"/>
    <mergeCell ref="J1073:J1075"/>
    <mergeCell ref="K1073:K1075"/>
    <mergeCell ref="L1073:L1075"/>
    <mergeCell ref="M1073:M1075"/>
    <mergeCell ref="N1073:N1075"/>
    <mergeCell ref="AA1076:AA1078"/>
    <mergeCell ref="AB1076:AB1078"/>
    <mergeCell ref="A1073:A1075"/>
    <mergeCell ref="B1073:B1075"/>
    <mergeCell ref="C1073:C1075"/>
    <mergeCell ref="D1073:D1075"/>
    <mergeCell ref="E1073:E1075"/>
    <mergeCell ref="F1073:F1075"/>
    <mergeCell ref="G1073:G1075"/>
    <mergeCell ref="H1073:H1075"/>
    <mergeCell ref="U1070:U1072"/>
    <mergeCell ref="V1070:V1072"/>
    <mergeCell ref="W1070:W1072"/>
    <mergeCell ref="X1070:X1072"/>
    <mergeCell ref="Y1070:Y1072"/>
    <mergeCell ref="Z1070:Z1072"/>
    <mergeCell ref="O1070:O1072"/>
    <mergeCell ref="P1070:P1072"/>
    <mergeCell ref="Q1070:Q1072"/>
    <mergeCell ref="R1070:R1072"/>
    <mergeCell ref="S1070:S1072"/>
    <mergeCell ref="T1070:T1072"/>
    <mergeCell ref="I1070:I1072"/>
    <mergeCell ref="J1070:J1072"/>
    <mergeCell ref="K1070:K1072"/>
    <mergeCell ref="L1070:L1072"/>
    <mergeCell ref="M1070:M1072"/>
    <mergeCell ref="N1070:N1072"/>
    <mergeCell ref="AA1067:AA1069"/>
    <mergeCell ref="AB1067:AB1069"/>
    <mergeCell ref="A1070:A1072"/>
    <mergeCell ref="B1070:B1072"/>
    <mergeCell ref="C1070:C1072"/>
    <mergeCell ref="D1070:D1072"/>
    <mergeCell ref="E1070:E1072"/>
    <mergeCell ref="F1070:F1072"/>
    <mergeCell ref="G1070:G1072"/>
    <mergeCell ref="H1070:H1072"/>
    <mergeCell ref="U1067:U1069"/>
    <mergeCell ref="V1067:V1069"/>
    <mergeCell ref="W1067:W1069"/>
    <mergeCell ref="X1067:X1069"/>
    <mergeCell ref="Y1067:Y1069"/>
    <mergeCell ref="Z1067:Z1069"/>
    <mergeCell ref="O1067:O1069"/>
    <mergeCell ref="P1067:P1069"/>
    <mergeCell ref="Q1067:Q1069"/>
    <mergeCell ref="R1067:R1069"/>
    <mergeCell ref="S1067:S1069"/>
    <mergeCell ref="T1067:T1069"/>
    <mergeCell ref="I1067:I1069"/>
    <mergeCell ref="J1067:J1069"/>
    <mergeCell ref="K1067:K1069"/>
    <mergeCell ref="L1067:L1069"/>
    <mergeCell ref="M1067:M1069"/>
    <mergeCell ref="N1067:N1069"/>
    <mergeCell ref="AA1070:AA1072"/>
    <mergeCell ref="AB1070:AB1072"/>
    <mergeCell ref="A1061:AF1061"/>
    <mergeCell ref="A1062:AF1062"/>
    <mergeCell ref="A1067:A1069"/>
    <mergeCell ref="B1067:B1069"/>
    <mergeCell ref="C1067:C1069"/>
    <mergeCell ref="D1067:D1069"/>
    <mergeCell ref="E1067:E1069"/>
    <mergeCell ref="F1067:F1069"/>
    <mergeCell ref="G1067:G1069"/>
    <mergeCell ref="H1067:H1069"/>
    <mergeCell ref="X1049:X1051"/>
    <mergeCell ref="Y1049:Y1051"/>
    <mergeCell ref="Z1049:Z1051"/>
    <mergeCell ref="AA1049:AA1051"/>
    <mergeCell ref="AB1049:AB1051"/>
    <mergeCell ref="A1059:AF1059"/>
    <mergeCell ref="R1049:R1051"/>
    <mergeCell ref="S1049:S1051"/>
    <mergeCell ref="T1049:T1051"/>
    <mergeCell ref="U1049:U1051"/>
    <mergeCell ref="V1049:V1051"/>
    <mergeCell ref="W1049:W1051"/>
    <mergeCell ref="L1049:L1051"/>
    <mergeCell ref="M1049:M1051"/>
    <mergeCell ref="N1049:N1051"/>
    <mergeCell ref="O1049:O1051"/>
    <mergeCell ref="P1049:P1051"/>
    <mergeCell ref="Q1049:Q1051"/>
    <mergeCell ref="F1049:F1051"/>
    <mergeCell ref="G1049:G1051"/>
    <mergeCell ref="H1049:H1051"/>
    <mergeCell ref="I1049:I1051"/>
    <mergeCell ref="J1049:J1051"/>
    <mergeCell ref="K1049:K1051"/>
    <mergeCell ref="X1046:X1048"/>
    <mergeCell ref="Y1046:Y1048"/>
    <mergeCell ref="Z1046:Z1048"/>
    <mergeCell ref="AA1046:AA1048"/>
    <mergeCell ref="AB1046:AB1048"/>
    <mergeCell ref="A1049:A1051"/>
    <mergeCell ref="B1049:B1051"/>
    <mergeCell ref="C1049:C1051"/>
    <mergeCell ref="D1049:D1051"/>
    <mergeCell ref="E1049:E1051"/>
    <mergeCell ref="R1046:R1048"/>
    <mergeCell ref="S1046:S1048"/>
    <mergeCell ref="T1046:T1048"/>
    <mergeCell ref="U1046:U1048"/>
    <mergeCell ref="V1046:V1048"/>
    <mergeCell ref="W1046:W1048"/>
    <mergeCell ref="L1046:L1048"/>
    <mergeCell ref="M1046:M1048"/>
    <mergeCell ref="N1046:N1048"/>
    <mergeCell ref="O1046:O1048"/>
    <mergeCell ref="P1046:P1048"/>
    <mergeCell ref="Q1046:Q1048"/>
    <mergeCell ref="F1046:F1048"/>
    <mergeCell ref="G1046:G1048"/>
    <mergeCell ref="H1046:H1048"/>
    <mergeCell ref="I1046:I1048"/>
    <mergeCell ref="J1046:J1048"/>
    <mergeCell ref="K1046:K1048"/>
    <mergeCell ref="A1046:A1048"/>
    <mergeCell ref="B1046:B1048"/>
    <mergeCell ref="C1046:C1048"/>
    <mergeCell ref="D1046:D1048"/>
    <mergeCell ref="E1046:E1048"/>
    <mergeCell ref="R1043:R1045"/>
    <mergeCell ref="S1043:S1045"/>
    <mergeCell ref="T1043:T1045"/>
    <mergeCell ref="U1043:U1045"/>
    <mergeCell ref="V1043:V1045"/>
    <mergeCell ref="W1043:W1045"/>
    <mergeCell ref="L1043:L1045"/>
    <mergeCell ref="M1043:M1045"/>
    <mergeCell ref="N1043:N1045"/>
    <mergeCell ref="O1043:O1045"/>
    <mergeCell ref="P1043:P1045"/>
    <mergeCell ref="Q1043:Q1045"/>
    <mergeCell ref="F1043:F1045"/>
    <mergeCell ref="G1043:G1045"/>
    <mergeCell ref="H1043:H1045"/>
    <mergeCell ref="I1043:I1045"/>
    <mergeCell ref="J1043:J1045"/>
    <mergeCell ref="K1043:K1045"/>
    <mergeCell ref="AB1040:AB1042"/>
    <mergeCell ref="A1043:A1045"/>
    <mergeCell ref="B1043:B1045"/>
    <mergeCell ref="C1043:C1045"/>
    <mergeCell ref="D1043:D1045"/>
    <mergeCell ref="E1043:E1045"/>
    <mergeCell ref="R1040:R1042"/>
    <mergeCell ref="S1040:S1042"/>
    <mergeCell ref="T1040:T1042"/>
    <mergeCell ref="U1040:U1042"/>
    <mergeCell ref="V1040:V1042"/>
    <mergeCell ref="W1040:W1042"/>
    <mergeCell ref="L1040:L1042"/>
    <mergeCell ref="M1040:M1042"/>
    <mergeCell ref="N1040:N1042"/>
    <mergeCell ref="O1040:O1042"/>
    <mergeCell ref="P1040:P1042"/>
    <mergeCell ref="Q1040:Q1042"/>
    <mergeCell ref="F1040:F1042"/>
    <mergeCell ref="G1040:G1042"/>
    <mergeCell ref="H1040:H1042"/>
    <mergeCell ref="I1040:I1042"/>
    <mergeCell ref="J1040:J1042"/>
    <mergeCell ref="K1040:K1042"/>
    <mergeCell ref="X1043:X1045"/>
    <mergeCell ref="Y1043:Y1045"/>
    <mergeCell ref="Z1043:Z1045"/>
    <mergeCell ref="AA1043:AA1045"/>
    <mergeCell ref="AB1043:AB1045"/>
    <mergeCell ref="X1037:X1039"/>
    <mergeCell ref="Y1037:Y1039"/>
    <mergeCell ref="Z1037:Z1039"/>
    <mergeCell ref="AA1037:AA1039"/>
    <mergeCell ref="AB1037:AB1039"/>
    <mergeCell ref="A1040:A1042"/>
    <mergeCell ref="B1040:B1042"/>
    <mergeCell ref="C1040:C1042"/>
    <mergeCell ref="D1040:D1042"/>
    <mergeCell ref="E1040:E1042"/>
    <mergeCell ref="R1037:R1039"/>
    <mergeCell ref="S1037:S1039"/>
    <mergeCell ref="T1037:T1039"/>
    <mergeCell ref="U1037:U1039"/>
    <mergeCell ref="V1037:V1039"/>
    <mergeCell ref="W1037:W1039"/>
    <mergeCell ref="L1037:L1039"/>
    <mergeCell ref="M1037:M1039"/>
    <mergeCell ref="N1037:N1039"/>
    <mergeCell ref="O1037:O1039"/>
    <mergeCell ref="P1037:P1039"/>
    <mergeCell ref="Q1037:Q1039"/>
    <mergeCell ref="F1037:F1039"/>
    <mergeCell ref="G1037:G1039"/>
    <mergeCell ref="H1037:H1039"/>
    <mergeCell ref="I1037:I1039"/>
    <mergeCell ref="J1037:J1039"/>
    <mergeCell ref="K1037:K1039"/>
    <mergeCell ref="X1040:X1042"/>
    <mergeCell ref="Y1040:Y1042"/>
    <mergeCell ref="Z1040:Z1042"/>
    <mergeCell ref="AA1040:AA1042"/>
    <mergeCell ref="A1037:A1039"/>
    <mergeCell ref="B1037:B1039"/>
    <mergeCell ref="C1037:C1039"/>
    <mergeCell ref="D1037:D1039"/>
    <mergeCell ref="E1037:E1039"/>
    <mergeCell ref="R1034:R1036"/>
    <mergeCell ref="S1034:S1036"/>
    <mergeCell ref="T1034:T1036"/>
    <mergeCell ref="U1034:U1036"/>
    <mergeCell ref="V1034:V1036"/>
    <mergeCell ref="W1034:W1036"/>
    <mergeCell ref="L1034:L1036"/>
    <mergeCell ref="M1034:M1036"/>
    <mergeCell ref="N1034:N1036"/>
    <mergeCell ref="O1034:O1036"/>
    <mergeCell ref="P1034:P1036"/>
    <mergeCell ref="Q1034:Q1036"/>
    <mergeCell ref="F1034:F1036"/>
    <mergeCell ref="G1034:G1036"/>
    <mergeCell ref="H1034:H1036"/>
    <mergeCell ref="I1034:I1036"/>
    <mergeCell ref="J1034:J1036"/>
    <mergeCell ref="K1034:K1036"/>
    <mergeCell ref="A1026:AF1026"/>
    <mergeCell ref="A1028:AF1028"/>
    <mergeCell ref="A1029:AF1029"/>
    <mergeCell ref="A1034:A1036"/>
    <mergeCell ref="B1034:B1036"/>
    <mergeCell ref="C1034:C1036"/>
    <mergeCell ref="D1034:D1036"/>
    <mergeCell ref="E1034:E1036"/>
    <mergeCell ref="U1016:U1018"/>
    <mergeCell ref="V1016:V1018"/>
    <mergeCell ref="W1016:W1018"/>
    <mergeCell ref="X1016:X1018"/>
    <mergeCell ref="Y1016:Y1018"/>
    <mergeCell ref="Z1016:Z1018"/>
    <mergeCell ref="O1016:O1018"/>
    <mergeCell ref="P1016:P1018"/>
    <mergeCell ref="Q1016:Q1018"/>
    <mergeCell ref="R1016:R1018"/>
    <mergeCell ref="S1016:S1018"/>
    <mergeCell ref="T1016:T1018"/>
    <mergeCell ref="I1016:I1018"/>
    <mergeCell ref="J1016:J1018"/>
    <mergeCell ref="K1016:K1018"/>
    <mergeCell ref="L1016:L1018"/>
    <mergeCell ref="M1016:M1018"/>
    <mergeCell ref="N1016:N1018"/>
    <mergeCell ref="X1034:X1036"/>
    <mergeCell ref="Y1034:Y1036"/>
    <mergeCell ref="Z1034:Z1036"/>
    <mergeCell ref="AA1034:AA1036"/>
    <mergeCell ref="AB1034:AB1036"/>
    <mergeCell ref="AA1013:AA1015"/>
    <mergeCell ref="AB1013:AB1015"/>
    <mergeCell ref="A1016:A1018"/>
    <mergeCell ref="B1016:B1018"/>
    <mergeCell ref="C1016:C1018"/>
    <mergeCell ref="D1016:D1018"/>
    <mergeCell ref="E1016:E1018"/>
    <mergeCell ref="F1016:F1018"/>
    <mergeCell ref="G1016:G1018"/>
    <mergeCell ref="H1016:H1018"/>
    <mergeCell ref="U1013:U1015"/>
    <mergeCell ref="V1013:V1015"/>
    <mergeCell ref="W1013:W1015"/>
    <mergeCell ref="X1013:X1015"/>
    <mergeCell ref="Y1013:Y1015"/>
    <mergeCell ref="Z1013:Z1015"/>
    <mergeCell ref="O1013:O1015"/>
    <mergeCell ref="P1013:P1015"/>
    <mergeCell ref="Q1013:Q1015"/>
    <mergeCell ref="R1013:R1015"/>
    <mergeCell ref="S1013:S1015"/>
    <mergeCell ref="T1013:T1015"/>
    <mergeCell ref="I1013:I1015"/>
    <mergeCell ref="J1013:J1015"/>
    <mergeCell ref="K1013:K1015"/>
    <mergeCell ref="L1013:L1015"/>
    <mergeCell ref="M1013:M1015"/>
    <mergeCell ref="N1013:N1015"/>
    <mergeCell ref="AA1016:AA1018"/>
    <mergeCell ref="AB1016:AB1018"/>
    <mergeCell ref="A1013:A1015"/>
    <mergeCell ref="B1013:B1015"/>
    <mergeCell ref="C1013:C1015"/>
    <mergeCell ref="D1013:D1015"/>
    <mergeCell ref="E1013:E1015"/>
    <mergeCell ref="F1013:F1015"/>
    <mergeCell ref="G1013:G1015"/>
    <mergeCell ref="H1013:H1015"/>
    <mergeCell ref="U1010:U1012"/>
    <mergeCell ref="V1010:V1012"/>
    <mergeCell ref="W1010:W1012"/>
    <mergeCell ref="X1010:X1012"/>
    <mergeCell ref="Y1010:Y1012"/>
    <mergeCell ref="Z1010:Z1012"/>
    <mergeCell ref="O1010:O1012"/>
    <mergeCell ref="P1010:P1012"/>
    <mergeCell ref="Q1010:Q1012"/>
    <mergeCell ref="R1010:R1012"/>
    <mergeCell ref="S1010:S1012"/>
    <mergeCell ref="T1010:T1012"/>
    <mergeCell ref="I1010:I1012"/>
    <mergeCell ref="J1010:J1012"/>
    <mergeCell ref="K1010:K1012"/>
    <mergeCell ref="L1010:L1012"/>
    <mergeCell ref="M1010:M1012"/>
    <mergeCell ref="N1010:N1012"/>
    <mergeCell ref="AA1007:AA1009"/>
    <mergeCell ref="AB1007:AB1009"/>
    <mergeCell ref="A1010:A1012"/>
    <mergeCell ref="B1010:B1012"/>
    <mergeCell ref="C1010:C1012"/>
    <mergeCell ref="D1010:D1012"/>
    <mergeCell ref="E1010:E1012"/>
    <mergeCell ref="F1010:F1012"/>
    <mergeCell ref="G1010:G1012"/>
    <mergeCell ref="H1010:H1012"/>
    <mergeCell ref="U1007:U1009"/>
    <mergeCell ref="V1007:V1009"/>
    <mergeCell ref="W1007:W1009"/>
    <mergeCell ref="X1007:X1009"/>
    <mergeCell ref="Y1007:Y1009"/>
    <mergeCell ref="Z1007:Z1009"/>
    <mergeCell ref="O1007:O1009"/>
    <mergeCell ref="P1007:P1009"/>
    <mergeCell ref="Q1007:Q1009"/>
    <mergeCell ref="R1007:R1009"/>
    <mergeCell ref="S1007:S1009"/>
    <mergeCell ref="T1007:T1009"/>
    <mergeCell ref="I1007:I1009"/>
    <mergeCell ref="J1007:J1009"/>
    <mergeCell ref="K1007:K1009"/>
    <mergeCell ref="L1007:L1009"/>
    <mergeCell ref="M1007:M1009"/>
    <mergeCell ref="N1007:N1009"/>
    <mergeCell ref="AA1010:AA1012"/>
    <mergeCell ref="AB1010:AB1012"/>
    <mergeCell ref="A1007:A1009"/>
    <mergeCell ref="B1007:B1009"/>
    <mergeCell ref="C1007:C1009"/>
    <mergeCell ref="D1007:D1009"/>
    <mergeCell ref="E1007:E1009"/>
    <mergeCell ref="F1007:F1009"/>
    <mergeCell ref="G1007:G1009"/>
    <mergeCell ref="H1007:H1009"/>
    <mergeCell ref="U1004:U1006"/>
    <mergeCell ref="V1004:V1006"/>
    <mergeCell ref="W1004:W1006"/>
    <mergeCell ref="X1004:X1006"/>
    <mergeCell ref="Y1004:Y1006"/>
    <mergeCell ref="Z1004:Z1006"/>
    <mergeCell ref="O1004:O1006"/>
    <mergeCell ref="P1004:P1006"/>
    <mergeCell ref="Q1004:Q1006"/>
    <mergeCell ref="R1004:R1006"/>
    <mergeCell ref="S1004:S1006"/>
    <mergeCell ref="T1004:T1006"/>
    <mergeCell ref="I1004:I1006"/>
    <mergeCell ref="J1004:J1006"/>
    <mergeCell ref="K1004:K1006"/>
    <mergeCell ref="L1004:L1006"/>
    <mergeCell ref="M1004:M1006"/>
    <mergeCell ref="N1004:N1006"/>
    <mergeCell ref="AA1001:AA1003"/>
    <mergeCell ref="AB1001:AB1003"/>
    <mergeCell ref="A1004:A1006"/>
    <mergeCell ref="B1004:B1006"/>
    <mergeCell ref="C1004:C1006"/>
    <mergeCell ref="D1004:D1006"/>
    <mergeCell ref="E1004:E1006"/>
    <mergeCell ref="F1004:F1006"/>
    <mergeCell ref="G1004:G1006"/>
    <mergeCell ref="H1004:H1006"/>
    <mergeCell ref="U1001:U1003"/>
    <mergeCell ref="V1001:V1003"/>
    <mergeCell ref="W1001:W1003"/>
    <mergeCell ref="X1001:X1003"/>
    <mergeCell ref="Y1001:Y1003"/>
    <mergeCell ref="Z1001:Z1003"/>
    <mergeCell ref="O1001:O1003"/>
    <mergeCell ref="P1001:P1003"/>
    <mergeCell ref="Q1001:Q1003"/>
    <mergeCell ref="R1001:R1003"/>
    <mergeCell ref="S1001:S1003"/>
    <mergeCell ref="T1001:T1003"/>
    <mergeCell ref="I1001:I1003"/>
    <mergeCell ref="J1001:J1003"/>
    <mergeCell ref="K1001:K1003"/>
    <mergeCell ref="L1001:L1003"/>
    <mergeCell ref="M1001:M1003"/>
    <mergeCell ref="N1001:N1003"/>
    <mergeCell ref="AA1004:AA1006"/>
    <mergeCell ref="AB1004:AB1006"/>
    <mergeCell ref="A995:AF995"/>
    <mergeCell ref="A996:AF996"/>
    <mergeCell ref="A1001:A1003"/>
    <mergeCell ref="B1001:B1003"/>
    <mergeCell ref="C1001:C1003"/>
    <mergeCell ref="D1001:D1003"/>
    <mergeCell ref="E1001:E1003"/>
    <mergeCell ref="F1001:F1003"/>
    <mergeCell ref="G1001:G1003"/>
    <mergeCell ref="H1001:H1003"/>
    <mergeCell ref="X980:X982"/>
    <mergeCell ref="Y980:Y982"/>
    <mergeCell ref="Z980:Z982"/>
    <mergeCell ref="AA980:AA982"/>
    <mergeCell ref="AB980:AB982"/>
    <mergeCell ref="A993:AF993"/>
    <mergeCell ref="R980:R982"/>
    <mergeCell ref="S980:S982"/>
    <mergeCell ref="T980:T982"/>
    <mergeCell ref="U980:U982"/>
    <mergeCell ref="V980:V982"/>
    <mergeCell ref="W980:W982"/>
    <mergeCell ref="L980:L982"/>
    <mergeCell ref="M980:M982"/>
    <mergeCell ref="N980:N982"/>
    <mergeCell ref="O980:O982"/>
    <mergeCell ref="P980:P982"/>
    <mergeCell ref="Q980:Q982"/>
    <mergeCell ref="F980:F982"/>
    <mergeCell ref="G980:G982"/>
    <mergeCell ref="H980:H982"/>
    <mergeCell ref="I980:I982"/>
    <mergeCell ref="J980:J982"/>
    <mergeCell ref="K980:K982"/>
    <mergeCell ref="X977:X979"/>
    <mergeCell ref="Y977:Y979"/>
    <mergeCell ref="Z977:Z979"/>
    <mergeCell ref="AA977:AA979"/>
    <mergeCell ref="AB977:AB979"/>
    <mergeCell ref="A980:A982"/>
    <mergeCell ref="B980:B982"/>
    <mergeCell ref="C980:C982"/>
    <mergeCell ref="D980:D982"/>
    <mergeCell ref="E980:E982"/>
    <mergeCell ref="R977:R979"/>
    <mergeCell ref="S977:S979"/>
    <mergeCell ref="T977:T979"/>
    <mergeCell ref="U977:U979"/>
    <mergeCell ref="V977:V979"/>
    <mergeCell ref="W977:W979"/>
    <mergeCell ref="L977:L979"/>
    <mergeCell ref="M977:M979"/>
    <mergeCell ref="N977:N979"/>
    <mergeCell ref="O977:O979"/>
    <mergeCell ref="P977:P979"/>
    <mergeCell ref="Q977:Q979"/>
    <mergeCell ref="F977:F979"/>
    <mergeCell ref="G977:G979"/>
    <mergeCell ref="H977:H979"/>
    <mergeCell ref="I977:I979"/>
    <mergeCell ref="J977:J979"/>
    <mergeCell ref="K977:K979"/>
    <mergeCell ref="A977:A979"/>
    <mergeCell ref="B977:B979"/>
    <mergeCell ref="C977:C979"/>
    <mergeCell ref="D977:D979"/>
    <mergeCell ref="E977:E979"/>
    <mergeCell ref="R974:R976"/>
    <mergeCell ref="S974:S976"/>
    <mergeCell ref="T974:T976"/>
    <mergeCell ref="U974:U976"/>
    <mergeCell ref="V974:V976"/>
    <mergeCell ref="W974:W976"/>
    <mergeCell ref="L974:L976"/>
    <mergeCell ref="M974:M976"/>
    <mergeCell ref="N974:N976"/>
    <mergeCell ref="O974:O976"/>
    <mergeCell ref="P974:P976"/>
    <mergeCell ref="Q974:Q976"/>
    <mergeCell ref="F974:F976"/>
    <mergeCell ref="G974:G976"/>
    <mergeCell ref="H974:H976"/>
    <mergeCell ref="I974:I976"/>
    <mergeCell ref="J974:J976"/>
    <mergeCell ref="K974:K976"/>
    <mergeCell ref="AB971:AB973"/>
    <mergeCell ref="A974:A976"/>
    <mergeCell ref="B974:B976"/>
    <mergeCell ref="C974:C976"/>
    <mergeCell ref="D974:D976"/>
    <mergeCell ref="E974:E976"/>
    <mergeCell ref="R971:R973"/>
    <mergeCell ref="S971:S973"/>
    <mergeCell ref="T971:T973"/>
    <mergeCell ref="U971:U973"/>
    <mergeCell ref="V971:V973"/>
    <mergeCell ref="W971:W973"/>
    <mergeCell ref="L971:L973"/>
    <mergeCell ref="M971:M973"/>
    <mergeCell ref="N971:N973"/>
    <mergeCell ref="O971:O973"/>
    <mergeCell ref="P971:P973"/>
    <mergeCell ref="Q971:Q973"/>
    <mergeCell ref="F971:F973"/>
    <mergeCell ref="G971:G973"/>
    <mergeCell ref="H971:H973"/>
    <mergeCell ref="I971:I973"/>
    <mergeCell ref="J971:J973"/>
    <mergeCell ref="K971:K973"/>
    <mergeCell ref="X974:X976"/>
    <mergeCell ref="Y974:Y976"/>
    <mergeCell ref="Z974:Z976"/>
    <mergeCell ref="AA974:AA976"/>
    <mergeCell ref="AB974:AB976"/>
    <mergeCell ref="X968:X970"/>
    <mergeCell ref="Y968:Y970"/>
    <mergeCell ref="Z968:Z970"/>
    <mergeCell ref="AA968:AA970"/>
    <mergeCell ref="AB968:AB970"/>
    <mergeCell ref="A971:A973"/>
    <mergeCell ref="B971:B973"/>
    <mergeCell ref="C971:C973"/>
    <mergeCell ref="D971:D973"/>
    <mergeCell ref="E971:E973"/>
    <mergeCell ref="R968:R970"/>
    <mergeCell ref="S968:S970"/>
    <mergeCell ref="T968:T970"/>
    <mergeCell ref="U968:U970"/>
    <mergeCell ref="V968:V970"/>
    <mergeCell ref="W968:W970"/>
    <mergeCell ref="L968:L970"/>
    <mergeCell ref="M968:M970"/>
    <mergeCell ref="N968:N970"/>
    <mergeCell ref="O968:O970"/>
    <mergeCell ref="P968:P970"/>
    <mergeCell ref="Q968:Q970"/>
    <mergeCell ref="F968:F970"/>
    <mergeCell ref="G968:G970"/>
    <mergeCell ref="H968:H970"/>
    <mergeCell ref="I968:I970"/>
    <mergeCell ref="J968:J970"/>
    <mergeCell ref="K968:K970"/>
    <mergeCell ref="X971:X973"/>
    <mergeCell ref="Y971:Y973"/>
    <mergeCell ref="Z971:Z973"/>
    <mergeCell ref="AA971:AA973"/>
    <mergeCell ref="A968:A970"/>
    <mergeCell ref="B968:B970"/>
    <mergeCell ref="C968:C970"/>
    <mergeCell ref="D968:D970"/>
    <mergeCell ref="E968:E970"/>
    <mergeCell ref="R965:R967"/>
    <mergeCell ref="S965:S967"/>
    <mergeCell ref="T965:T967"/>
    <mergeCell ref="U965:U967"/>
    <mergeCell ref="V965:V967"/>
    <mergeCell ref="W965:W967"/>
    <mergeCell ref="L965:L967"/>
    <mergeCell ref="M965:M967"/>
    <mergeCell ref="N965:N967"/>
    <mergeCell ref="O965:O967"/>
    <mergeCell ref="P965:P967"/>
    <mergeCell ref="Q965:Q967"/>
    <mergeCell ref="F965:F967"/>
    <mergeCell ref="G965:G967"/>
    <mergeCell ref="H965:H967"/>
    <mergeCell ref="I965:I967"/>
    <mergeCell ref="J965:J967"/>
    <mergeCell ref="K965:K967"/>
    <mergeCell ref="A957:AF957"/>
    <mergeCell ref="A959:AF959"/>
    <mergeCell ref="A960:AF960"/>
    <mergeCell ref="A965:A967"/>
    <mergeCell ref="B965:B967"/>
    <mergeCell ref="C965:C967"/>
    <mergeCell ref="D965:D967"/>
    <mergeCell ref="E965:E967"/>
    <mergeCell ref="U946:U948"/>
    <mergeCell ref="V946:V948"/>
    <mergeCell ref="W946:W948"/>
    <mergeCell ref="X946:X948"/>
    <mergeCell ref="Y946:Y948"/>
    <mergeCell ref="Z946:Z948"/>
    <mergeCell ref="O946:O948"/>
    <mergeCell ref="P946:P948"/>
    <mergeCell ref="Q946:Q948"/>
    <mergeCell ref="R946:R948"/>
    <mergeCell ref="S946:S948"/>
    <mergeCell ref="T946:T948"/>
    <mergeCell ref="I946:I948"/>
    <mergeCell ref="J946:J948"/>
    <mergeCell ref="K946:K948"/>
    <mergeCell ref="L946:L948"/>
    <mergeCell ref="M946:M948"/>
    <mergeCell ref="N946:N948"/>
    <mergeCell ref="X965:X967"/>
    <mergeCell ref="Y965:Y967"/>
    <mergeCell ref="Z965:Z967"/>
    <mergeCell ref="AA965:AA967"/>
    <mergeCell ref="AB965:AB967"/>
    <mergeCell ref="AA943:AA945"/>
    <mergeCell ref="AB943:AB945"/>
    <mergeCell ref="A946:A948"/>
    <mergeCell ref="B946:B948"/>
    <mergeCell ref="C946:C948"/>
    <mergeCell ref="D946:D948"/>
    <mergeCell ref="E946:E948"/>
    <mergeCell ref="F946:F948"/>
    <mergeCell ref="G946:G948"/>
    <mergeCell ref="H946:H948"/>
    <mergeCell ref="U943:U945"/>
    <mergeCell ref="V943:V945"/>
    <mergeCell ref="W943:W945"/>
    <mergeCell ref="X943:X945"/>
    <mergeCell ref="Y943:Y945"/>
    <mergeCell ref="Z943:Z945"/>
    <mergeCell ref="O943:O945"/>
    <mergeCell ref="P943:P945"/>
    <mergeCell ref="Q943:Q945"/>
    <mergeCell ref="R943:R945"/>
    <mergeCell ref="S943:S945"/>
    <mergeCell ref="T943:T945"/>
    <mergeCell ref="I943:I945"/>
    <mergeCell ref="J943:J945"/>
    <mergeCell ref="K943:K945"/>
    <mergeCell ref="L943:L945"/>
    <mergeCell ref="M943:M945"/>
    <mergeCell ref="N943:N945"/>
    <mergeCell ref="AA946:AA948"/>
    <mergeCell ref="AB946:AB948"/>
    <mergeCell ref="A943:A945"/>
    <mergeCell ref="B943:B945"/>
    <mergeCell ref="C943:C945"/>
    <mergeCell ref="D943:D945"/>
    <mergeCell ref="E943:E945"/>
    <mergeCell ref="F943:F945"/>
    <mergeCell ref="G943:G945"/>
    <mergeCell ref="H943:H945"/>
    <mergeCell ref="U940:U942"/>
    <mergeCell ref="V940:V942"/>
    <mergeCell ref="W940:W942"/>
    <mergeCell ref="X940:X942"/>
    <mergeCell ref="Y940:Y942"/>
    <mergeCell ref="Z940:Z942"/>
    <mergeCell ref="O940:O942"/>
    <mergeCell ref="P940:P942"/>
    <mergeCell ref="Q940:Q942"/>
    <mergeCell ref="R940:R942"/>
    <mergeCell ref="S940:S942"/>
    <mergeCell ref="T940:T942"/>
    <mergeCell ref="I940:I942"/>
    <mergeCell ref="J940:J942"/>
    <mergeCell ref="K940:K942"/>
    <mergeCell ref="L940:L942"/>
    <mergeCell ref="M940:M942"/>
    <mergeCell ref="N940:N942"/>
    <mergeCell ref="AA937:AA939"/>
    <mergeCell ref="AB937:AB939"/>
    <mergeCell ref="A940:A942"/>
    <mergeCell ref="B940:B942"/>
    <mergeCell ref="C940:C942"/>
    <mergeCell ref="D940:D942"/>
    <mergeCell ref="E940:E942"/>
    <mergeCell ref="F940:F942"/>
    <mergeCell ref="G940:G942"/>
    <mergeCell ref="H940:H942"/>
    <mergeCell ref="U937:U939"/>
    <mergeCell ref="V937:V939"/>
    <mergeCell ref="W937:W939"/>
    <mergeCell ref="X937:X939"/>
    <mergeCell ref="Y937:Y939"/>
    <mergeCell ref="Z937:Z939"/>
    <mergeCell ref="O937:O939"/>
    <mergeCell ref="P937:P939"/>
    <mergeCell ref="Q937:Q939"/>
    <mergeCell ref="R937:R939"/>
    <mergeCell ref="S937:S939"/>
    <mergeCell ref="T937:T939"/>
    <mergeCell ref="I937:I939"/>
    <mergeCell ref="J937:J939"/>
    <mergeCell ref="K937:K939"/>
    <mergeCell ref="L937:L939"/>
    <mergeCell ref="M937:M939"/>
    <mergeCell ref="N937:N939"/>
    <mergeCell ref="AA940:AA942"/>
    <mergeCell ref="AB940:AB942"/>
    <mergeCell ref="A937:A939"/>
    <mergeCell ref="B937:B939"/>
    <mergeCell ref="C937:C939"/>
    <mergeCell ref="D937:D939"/>
    <mergeCell ref="E937:E939"/>
    <mergeCell ref="F937:F939"/>
    <mergeCell ref="G937:G939"/>
    <mergeCell ref="H937:H939"/>
    <mergeCell ref="U934:U936"/>
    <mergeCell ref="V934:V936"/>
    <mergeCell ref="W934:W936"/>
    <mergeCell ref="X934:X936"/>
    <mergeCell ref="Y934:Y936"/>
    <mergeCell ref="Z934:Z936"/>
    <mergeCell ref="O934:O936"/>
    <mergeCell ref="P934:P936"/>
    <mergeCell ref="Q934:Q936"/>
    <mergeCell ref="R934:R936"/>
    <mergeCell ref="S934:S936"/>
    <mergeCell ref="T934:T936"/>
    <mergeCell ref="I934:I936"/>
    <mergeCell ref="J934:J936"/>
    <mergeCell ref="K934:K936"/>
    <mergeCell ref="L934:L936"/>
    <mergeCell ref="M934:M936"/>
    <mergeCell ref="N934:N936"/>
    <mergeCell ref="AA931:AA933"/>
    <mergeCell ref="AB931:AB933"/>
    <mergeCell ref="A934:A936"/>
    <mergeCell ref="B934:B936"/>
    <mergeCell ref="C934:C936"/>
    <mergeCell ref="D934:D936"/>
    <mergeCell ref="E934:E936"/>
    <mergeCell ref="F934:F936"/>
    <mergeCell ref="G934:G936"/>
    <mergeCell ref="H934:H936"/>
    <mergeCell ref="U931:U933"/>
    <mergeCell ref="V931:V933"/>
    <mergeCell ref="W931:W933"/>
    <mergeCell ref="X931:X933"/>
    <mergeCell ref="Y931:Y933"/>
    <mergeCell ref="Z931:Z933"/>
    <mergeCell ref="O931:O933"/>
    <mergeCell ref="P931:P933"/>
    <mergeCell ref="Q931:Q933"/>
    <mergeCell ref="R931:R933"/>
    <mergeCell ref="S931:S933"/>
    <mergeCell ref="T931:T933"/>
    <mergeCell ref="I931:I933"/>
    <mergeCell ref="J931:J933"/>
    <mergeCell ref="K931:K933"/>
    <mergeCell ref="L931:L933"/>
    <mergeCell ref="M931:M933"/>
    <mergeCell ref="N931:N933"/>
    <mergeCell ref="AA934:AA936"/>
    <mergeCell ref="AB934:AB936"/>
    <mergeCell ref="A925:AF925"/>
    <mergeCell ref="A926:AF926"/>
    <mergeCell ref="A931:A933"/>
    <mergeCell ref="B931:B933"/>
    <mergeCell ref="C931:C933"/>
    <mergeCell ref="D931:D933"/>
    <mergeCell ref="E931:E933"/>
    <mergeCell ref="F931:F933"/>
    <mergeCell ref="G931:G933"/>
    <mergeCell ref="H931:H933"/>
    <mergeCell ref="X912:X914"/>
    <mergeCell ref="Y912:Y914"/>
    <mergeCell ref="Z912:Z914"/>
    <mergeCell ref="AA912:AA914"/>
    <mergeCell ref="AB912:AB914"/>
    <mergeCell ref="A923:AF923"/>
    <mergeCell ref="R912:R914"/>
    <mergeCell ref="S912:S914"/>
    <mergeCell ref="T912:T914"/>
    <mergeCell ref="U912:U914"/>
    <mergeCell ref="V912:V914"/>
    <mergeCell ref="W912:W914"/>
    <mergeCell ref="L912:L914"/>
    <mergeCell ref="M912:M914"/>
    <mergeCell ref="N912:N914"/>
    <mergeCell ref="O912:O914"/>
    <mergeCell ref="P912:P914"/>
    <mergeCell ref="Q912:Q914"/>
    <mergeCell ref="F912:F914"/>
    <mergeCell ref="G912:G914"/>
    <mergeCell ref="H912:H914"/>
    <mergeCell ref="I912:I914"/>
    <mergeCell ref="J912:J914"/>
    <mergeCell ref="K912:K914"/>
    <mergeCell ref="X909:X911"/>
    <mergeCell ref="Y909:Y911"/>
    <mergeCell ref="Z909:Z911"/>
    <mergeCell ref="AA909:AA911"/>
    <mergeCell ref="AB909:AB911"/>
    <mergeCell ref="A912:A914"/>
    <mergeCell ref="B912:B914"/>
    <mergeCell ref="C912:C914"/>
    <mergeCell ref="D912:D914"/>
    <mergeCell ref="E912:E914"/>
    <mergeCell ref="R909:R911"/>
    <mergeCell ref="S909:S911"/>
    <mergeCell ref="T909:T911"/>
    <mergeCell ref="U909:U911"/>
    <mergeCell ref="V909:V911"/>
    <mergeCell ref="W909:W911"/>
    <mergeCell ref="L909:L911"/>
    <mergeCell ref="M909:M911"/>
    <mergeCell ref="N909:N911"/>
    <mergeCell ref="O909:O911"/>
    <mergeCell ref="P909:P911"/>
    <mergeCell ref="Q909:Q911"/>
    <mergeCell ref="F909:F911"/>
    <mergeCell ref="G909:G911"/>
    <mergeCell ref="H909:H911"/>
    <mergeCell ref="I909:I911"/>
    <mergeCell ref="J909:J911"/>
    <mergeCell ref="K909:K911"/>
    <mergeCell ref="A909:A911"/>
    <mergeCell ref="B909:B911"/>
    <mergeCell ref="C909:C911"/>
    <mergeCell ref="D909:D911"/>
    <mergeCell ref="E909:E911"/>
    <mergeCell ref="R906:R908"/>
    <mergeCell ref="S906:S908"/>
    <mergeCell ref="T906:T908"/>
    <mergeCell ref="U906:U908"/>
    <mergeCell ref="V906:V908"/>
    <mergeCell ref="W906:W908"/>
    <mergeCell ref="L906:L908"/>
    <mergeCell ref="M906:M908"/>
    <mergeCell ref="N906:N908"/>
    <mergeCell ref="O906:O908"/>
    <mergeCell ref="P906:P908"/>
    <mergeCell ref="Q906:Q908"/>
    <mergeCell ref="F906:F908"/>
    <mergeCell ref="G906:G908"/>
    <mergeCell ref="H906:H908"/>
    <mergeCell ref="I906:I908"/>
    <mergeCell ref="J906:J908"/>
    <mergeCell ref="K906:K908"/>
    <mergeCell ref="AB903:AB905"/>
    <mergeCell ref="A906:A908"/>
    <mergeCell ref="B906:B908"/>
    <mergeCell ref="C906:C908"/>
    <mergeCell ref="D906:D908"/>
    <mergeCell ref="E906:E908"/>
    <mergeCell ref="R903:R905"/>
    <mergeCell ref="S903:S905"/>
    <mergeCell ref="T903:T905"/>
    <mergeCell ref="U903:U905"/>
    <mergeCell ref="V903:V905"/>
    <mergeCell ref="W903:W905"/>
    <mergeCell ref="L903:L905"/>
    <mergeCell ref="M903:M905"/>
    <mergeCell ref="N903:N905"/>
    <mergeCell ref="O903:O905"/>
    <mergeCell ref="P903:P905"/>
    <mergeCell ref="Q903:Q905"/>
    <mergeCell ref="F903:F905"/>
    <mergeCell ref="G903:G905"/>
    <mergeCell ref="H903:H905"/>
    <mergeCell ref="I903:I905"/>
    <mergeCell ref="J903:J905"/>
    <mergeCell ref="K903:K905"/>
    <mergeCell ref="X906:X908"/>
    <mergeCell ref="Y906:Y908"/>
    <mergeCell ref="Z906:Z908"/>
    <mergeCell ref="AA906:AA908"/>
    <mergeCell ref="AB906:AB908"/>
    <mergeCell ref="X900:X902"/>
    <mergeCell ref="Y900:Y902"/>
    <mergeCell ref="Z900:Z902"/>
    <mergeCell ref="AA900:AA902"/>
    <mergeCell ref="AB900:AB902"/>
    <mergeCell ref="A903:A905"/>
    <mergeCell ref="B903:B905"/>
    <mergeCell ref="C903:C905"/>
    <mergeCell ref="D903:D905"/>
    <mergeCell ref="E903:E905"/>
    <mergeCell ref="R900:R902"/>
    <mergeCell ref="S900:S902"/>
    <mergeCell ref="T900:T902"/>
    <mergeCell ref="U900:U902"/>
    <mergeCell ref="V900:V902"/>
    <mergeCell ref="W900:W902"/>
    <mergeCell ref="L900:L902"/>
    <mergeCell ref="M900:M902"/>
    <mergeCell ref="N900:N902"/>
    <mergeCell ref="O900:O902"/>
    <mergeCell ref="P900:P902"/>
    <mergeCell ref="Q900:Q902"/>
    <mergeCell ref="F900:F902"/>
    <mergeCell ref="G900:G902"/>
    <mergeCell ref="H900:H902"/>
    <mergeCell ref="I900:I902"/>
    <mergeCell ref="J900:J902"/>
    <mergeCell ref="K900:K902"/>
    <mergeCell ref="X903:X905"/>
    <mergeCell ref="Y903:Y905"/>
    <mergeCell ref="Z903:Z905"/>
    <mergeCell ref="AA903:AA905"/>
    <mergeCell ref="A900:A902"/>
    <mergeCell ref="B900:B902"/>
    <mergeCell ref="C900:C902"/>
    <mergeCell ref="D900:D902"/>
    <mergeCell ref="E900:E902"/>
    <mergeCell ref="R897:R899"/>
    <mergeCell ref="S897:S899"/>
    <mergeCell ref="T897:T899"/>
    <mergeCell ref="U897:U899"/>
    <mergeCell ref="V897:V899"/>
    <mergeCell ref="W897:W899"/>
    <mergeCell ref="L897:L899"/>
    <mergeCell ref="M897:M899"/>
    <mergeCell ref="N897:N899"/>
    <mergeCell ref="O897:O899"/>
    <mergeCell ref="P897:P899"/>
    <mergeCell ref="Q897:Q899"/>
    <mergeCell ref="F897:F899"/>
    <mergeCell ref="G897:G899"/>
    <mergeCell ref="H897:H899"/>
    <mergeCell ref="I897:I899"/>
    <mergeCell ref="J897:J899"/>
    <mergeCell ref="K897:K899"/>
    <mergeCell ref="A889:AF889"/>
    <mergeCell ref="A891:AF891"/>
    <mergeCell ref="A892:AF892"/>
    <mergeCell ref="A897:A899"/>
    <mergeCell ref="B897:B899"/>
    <mergeCell ref="C897:C899"/>
    <mergeCell ref="D897:D899"/>
    <mergeCell ref="E897:E899"/>
    <mergeCell ref="U878:U880"/>
    <mergeCell ref="V878:V880"/>
    <mergeCell ref="W878:W880"/>
    <mergeCell ref="X878:X880"/>
    <mergeCell ref="Y878:Y880"/>
    <mergeCell ref="Z878:Z880"/>
    <mergeCell ref="O878:O880"/>
    <mergeCell ref="P878:P880"/>
    <mergeCell ref="Q878:Q880"/>
    <mergeCell ref="R878:R880"/>
    <mergeCell ref="S878:S880"/>
    <mergeCell ref="T878:T880"/>
    <mergeCell ref="I878:I880"/>
    <mergeCell ref="J878:J880"/>
    <mergeCell ref="K878:K880"/>
    <mergeCell ref="L878:L880"/>
    <mergeCell ref="M878:M880"/>
    <mergeCell ref="N878:N880"/>
    <mergeCell ref="X897:X899"/>
    <mergeCell ref="Y897:Y899"/>
    <mergeCell ref="Z897:Z899"/>
    <mergeCell ref="AA897:AA899"/>
    <mergeCell ref="AB897:AB899"/>
    <mergeCell ref="AA875:AA877"/>
    <mergeCell ref="AB875:AB877"/>
    <mergeCell ref="A878:A880"/>
    <mergeCell ref="B878:B880"/>
    <mergeCell ref="C878:C880"/>
    <mergeCell ref="D878:D880"/>
    <mergeCell ref="E878:E880"/>
    <mergeCell ref="F878:F880"/>
    <mergeCell ref="G878:G880"/>
    <mergeCell ref="H878:H880"/>
    <mergeCell ref="U875:U877"/>
    <mergeCell ref="V875:V877"/>
    <mergeCell ref="W875:W877"/>
    <mergeCell ref="X875:X877"/>
    <mergeCell ref="Y875:Y877"/>
    <mergeCell ref="Z875:Z877"/>
    <mergeCell ref="O875:O877"/>
    <mergeCell ref="P875:P877"/>
    <mergeCell ref="Q875:Q877"/>
    <mergeCell ref="R875:R877"/>
    <mergeCell ref="S875:S877"/>
    <mergeCell ref="T875:T877"/>
    <mergeCell ref="I875:I877"/>
    <mergeCell ref="J875:J877"/>
    <mergeCell ref="K875:K877"/>
    <mergeCell ref="L875:L877"/>
    <mergeCell ref="M875:M877"/>
    <mergeCell ref="N875:N877"/>
    <mergeCell ref="AA878:AA880"/>
    <mergeCell ref="AB878:AB880"/>
    <mergeCell ref="A875:A877"/>
    <mergeCell ref="B875:B877"/>
    <mergeCell ref="C875:C877"/>
    <mergeCell ref="D875:D877"/>
    <mergeCell ref="E875:E877"/>
    <mergeCell ref="F875:F877"/>
    <mergeCell ref="G875:G877"/>
    <mergeCell ref="H875:H877"/>
    <mergeCell ref="U872:U874"/>
    <mergeCell ref="V872:V874"/>
    <mergeCell ref="W872:W874"/>
    <mergeCell ref="X872:X874"/>
    <mergeCell ref="Y872:Y874"/>
    <mergeCell ref="Z872:Z874"/>
    <mergeCell ref="O872:O874"/>
    <mergeCell ref="P872:P874"/>
    <mergeCell ref="Q872:Q874"/>
    <mergeCell ref="R872:R874"/>
    <mergeCell ref="S872:S874"/>
    <mergeCell ref="T872:T874"/>
    <mergeCell ref="I872:I874"/>
    <mergeCell ref="J872:J874"/>
    <mergeCell ref="K872:K874"/>
    <mergeCell ref="L872:L874"/>
    <mergeCell ref="M872:M874"/>
    <mergeCell ref="N872:N874"/>
    <mergeCell ref="AA869:AA871"/>
    <mergeCell ref="AB869:AB871"/>
    <mergeCell ref="A872:A874"/>
    <mergeCell ref="B872:B874"/>
    <mergeCell ref="C872:C874"/>
    <mergeCell ref="D872:D874"/>
    <mergeCell ref="E872:E874"/>
    <mergeCell ref="F872:F874"/>
    <mergeCell ref="G872:G874"/>
    <mergeCell ref="H872:H874"/>
    <mergeCell ref="U869:U871"/>
    <mergeCell ref="V869:V871"/>
    <mergeCell ref="W869:W871"/>
    <mergeCell ref="X869:X871"/>
    <mergeCell ref="Y869:Y871"/>
    <mergeCell ref="Z869:Z871"/>
    <mergeCell ref="O869:O871"/>
    <mergeCell ref="P869:P871"/>
    <mergeCell ref="Q869:Q871"/>
    <mergeCell ref="R869:R871"/>
    <mergeCell ref="S869:S871"/>
    <mergeCell ref="T869:T871"/>
    <mergeCell ref="I869:I871"/>
    <mergeCell ref="J869:J871"/>
    <mergeCell ref="K869:K871"/>
    <mergeCell ref="L869:L871"/>
    <mergeCell ref="M869:M871"/>
    <mergeCell ref="N869:N871"/>
    <mergeCell ref="AA872:AA874"/>
    <mergeCell ref="AB872:AB874"/>
    <mergeCell ref="A869:A871"/>
    <mergeCell ref="B869:B871"/>
    <mergeCell ref="C869:C871"/>
    <mergeCell ref="D869:D871"/>
    <mergeCell ref="E869:E871"/>
    <mergeCell ref="F869:F871"/>
    <mergeCell ref="G869:G871"/>
    <mergeCell ref="H869:H871"/>
    <mergeCell ref="U866:U868"/>
    <mergeCell ref="V866:V868"/>
    <mergeCell ref="W866:W868"/>
    <mergeCell ref="X866:X868"/>
    <mergeCell ref="Y866:Y868"/>
    <mergeCell ref="Z866:Z868"/>
    <mergeCell ref="O866:O868"/>
    <mergeCell ref="P866:P868"/>
    <mergeCell ref="Q866:Q868"/>
    <mergeCell ref="R866:R868"/>
    <mergeCell ref="S866:S868"/>
    <mergeCell ref="T866:T868"/>
    <mergeCell ref="I866:I868"/>
    <mergeCell ref="J866:J868"/>
    <mergeCell ref="K866:K868"/>
    <mergeCell ref="L866:L868"/>
    <mergeCell ref="M866:M868"/>
    <mergeCell ref="N866:N868"/>
    <mergeCell ref="AA863:AA865"/>
    <mergeCell ref="AB863:AB865"/>
    <mergeCell ref="A866:A868"/>
    <mergeCell ref="B866:B868"/>
    <mergeCell ref="C866:C868"/>
    <mergeCell ref="D866:D868"/>
    <mergeCell ref="E866:E868"/>
    <mergeCell ref="F866:F868"/>
    <mergeCell ref="G866:G868"/>
    <mergeCell ref="H866:H868"/>
    <mergeCell ref="U863:U865"/>
    <mergeCell ref="V863:V865"/>
    <mergeCell ref="W863:W865"/>
    <mergeCell ref="X863:X865"/>
    <mergeCell ref="Y863:Y865"/>
    <mergeCell ref="Z863:Z865"/>
    <mergeCell ref="O863:O865"/>
    <mergeCell ref="P863:P865"/>
    <mergeCell ref="Q863:Q865"/>
    <mergeCell ref="R863:R865"/>
    <mergeCell ref="S863:S865"/>
    <mergeCell ref="T863:T865"/>
    <mergeCell ref="I863:I865"/>
    <mergeCell ref="J863:J865"/>
    <mergeCell ref="K863:K865"/>
    <mergeCell ref="L863:L865"/>
    <mergeCell ref="M863:M865"/>
    <mergeCell ref="N863:N865"/>
    <mergeCell ref="AA866:AA868"/>
    <mergeCell ref="AB866:AB868"/>
    <mergeCell ref="A857:AF857"/>
    <mergeCell ref="A858:AF858"/>
    <mergeCell ref="A863:A865"/>
    <mergeCell ref="B863:B865"/>
    <mergeCell ref="C863:C865"/>
    <mergeCell ref="D863:D865"/>
    <mergeCell ref="E863:E865"/>
    <mergeCell ref="F863:F865"/>
    <mergeCell ref="G863:G865"/>
    <mergeCell ref="H863:H865"/>
    <mergeCell ref="X844:X846"/>
    <mergeCell ref="Y844:Y846"/>
    <mergeCell ref="Z844:Z846"/>
    <mergeCell ref="AA844:AA846"/>
    <mergeCell ref="AB844:AB846"/>
    <mergeCell ref="A855:AF855"/>
    <mergeCell ref="R844:R846"/>
    <mergeCell ref="S844:S846"/>
    <mergeCell ref="T844:T846"/>
    <mergeCell ref="U844:U846"/>
    <mergeCell ref="V844:V846"/>
    <mergeCell ref="W844:W846"/>
    <mergeCell ref="L844:L846"/>
    <mergeCell ref="M844:M846"/>
    <mergeCell ref="N844:N846"/>
    <mergeCell ref="O844:O846"/>
    <mergeCell ref="P844:P846"/>
    <mergeCell ref="Q844:Q846"/>
    <mergeCell ref="F844:F846"/>
    <mergeCell ref="G844:G846"/>
    <mergeCell ref="H844:H846"/>
    <mergeCell ref="I844:I846"/>
    <mergeCell ref="J844:J846"/>
    <mergeCell ref="K844:K846"/>
    <mergeCell ref="X841:X843"/>
    <mergeCell ref="Y841:Y843"/>
    <mergeCell ref="Z841:Z843"/>
    <mergeCell ref="AA841:AA843"/>
    <mergeCell ref="AB841:AB843"/>
    <mergeCell ref="A844:A846"/>
    <mergeCell ref="B844:B846"/>
    <mergeCell ref="C844:C846"/>
    <mergeCell ref="D844:D846"/>
    <mergeCell ref="E844:E846"/>
    <mergeCell ref="R841:R843"/>
    <mergeCell ref="S841:S843"/>
    <mergeCell ref="T841:T843"/>
    <mergeCell ref="U841:U843"/>
    <mergeCell ref="V841:V843"/>
    <mergeCell ref="W841:W843"/>
    <mergeCell ref="L841:L843"/>
    <mergeCell ref="M841:M843"/>
    <mergeCell ref="N841:N843"/>
    <mergeCell ref="O841:O843"/>
    <mergeCell ref="P841:P843"/>
    <mergeCell ref="Q841:Q843"/>
    <mergeCell ref="F841:F843"/>
    <mergeCell ref="G841:G843"/>
    <mergeCell ref="H841:H843"/>
    <mergeCell ref="I841:I843"/>
    <mergeCell ref="J841:J843"/>
    <mergeCell ref="K841:K843"/>
    <mergeCell ref="A841:A843"/>
    <mergeCell ref="B841:B843"/>
    <mergeCell ref="C841:C843"/>
    <mergeCell ref="D841:D843"/>
    <mergeCell ref="E841:E843"/>
    <mergeCell ref="R838:R840"/>
    <mergeCell ref="S838:S840"/>
    <mergeCell ref="T838:T840"/>
    <mergeCell ref="U838:U840"/>
    <mergeCell ref="V838:V840"/>
    <mergeCell ref="W838:W840"/>
    <mergeCell ref="L838:L840"/>
    <mergeCell ref="M838:M840"/>
    <mergeCell ref="N838:N840"/>
    <mergeCell ref="O838:O840"/>
    <mergeCell ref="P838:P840"/>
    <mergeCell ref="Q838:Q840"/>
    <mergeCell ref="F838:F840"/>
    <mergeCell ref="G838:G840"/>
    <mergeCell ref="H838:H840"/>
    <mergeCell ref="I838:I840"/>
    <mergeCell ref="J838:J840"/>
    <mergeCell ref="K838:K840"/>
    <mergeCell ref="AB835:AB837"/>
    <mergeCell ref="A838:A840"/>
    <mergeCell ref="B838:B840"/>
    <mergeCell ref="C838:C840"/>
    <mergeCell ref="D838:D840"/>
    <mergeCell ref="E838:E840"/>
    <mergeCell ref="R835:R837"/>
    <mergeCell ref="S835:S837"/>
    <mergeCell ref="T835:T837"/>
    <mergeCell ref="U835:U837"/>
    <mergeCell ref="V835:V837"/>
    <mergeCell ref="W835:W837"/>
    <mergeCell ref="L835:L837"/>
    <mergeCell ref="M835:M837"/>
    <mergeCell ref="N835:N837"/>
    <mergeCell ref="O835:O837"/>
    <mergeCell ref="P835:P837"/>
    <mergeCell ref="Q835:Q837"/>
    <mergeCell ref="F835:F837"/>
    <mergeCell ref="G835:G837"/>
    <mergeCell ref="H835:H837"/>
    <mergeCell ref="I835:I837"/>
    <mergeCell ref="J835:J837"/>
    <mergeCell ref="K835:K837"/>
    <mergeCell ref="X838:X840"/>
    <mergeCell ref="Y838:Y840"/>
    <mergeCell ref="Z838:Z840"/>
    <mergeCell ref="AA838:AA840"/>
    <mergeCell ref="AB838:AB840"/>
    <mergeCell ref="X832:X834"/>
    <mergeCell ref="Y832:Y834"/>
    <mergeCell ref="Z832:Z834"/>
    <mergeCell ref="AA832:AA834"/>
    <mergeCell ref="AB832:AB834"/>
    <mergeCell ref="A835:A837"/>
    <mergeCell ref="B835:B837"/>
    <mergeCell ref="C835:C837"/>
    <mergeCell ref="D835:D837"/>
    <mergeCell ref="E835:E837"/>
    <mergeCell ref="R832:R834"/>
    <mergeCell ref="S832:S834"/>
    <mergeCell ref="T832:T834"/>
    <mergeCell ref="U832:U834"/>
    <mergeCell ref="V832:V834"/>
    <mergeCell ref="W832:W834"/>
    <mergeCell ref="L832:L834"/>
    <mergeCell ref="M832:M834"/>
    <mergeCell ref="N832:N834"/>
    <mergeCell ref="O832:O834"/>
    <mergeCell ref="P832:P834"/>
    <mergeCell ref="Q832:Q834"/>
    <mergeCell ref="F832:F834"/>
    <mergeCell ref="G832:G834"/>
    <mergeCell ref="H832:H834"/>
    <mergeCell ref="I832:I834"/>
    <mergeCell ref="J832:J834"/>
    <mergeCell ref="K832:K834"/>
    <mergeCell ref="X835:X837"/>
    <mergeCell ref="Y835:Y837"/>
    <mergeCell ref="Z835:Z837"/>
    <mergeCell ref="AA835:AA837"/>
    <mergeCell ref="A832:A834"/>
    <mergeCell ref="B832:B834"/>
    <mergeCell ref="C832:C834"/>
    <mergeCell ref="D832:D834"/>
    <mergeCell ref="E832:E834"/>
    <mergeCell ref="R829:R831"/>
    <mergeCell ref="S829:S831"/>
    <mergeCell ref="T829:T831"/>
    <mergeCell ref="U829:U831"/>
    <mergeCell ref="V829:V831"/>
    <mergeCell ref="W829:W831"/>
    <mergeCell ref="L829:L831"/>
    <mergeCell ref="M829:M831"/>
    <mergeCell ref="N829:N831"/>
    <mergeCell ref="O829:O831"/>
    <mergeCell ref="P829:P831"/>
    <mergeCell ref="Q829:Q831"/>
    <mergeCell ref="F829:F831"/>
    <mergeCell ref="G829:G831"/>
    <mergeCell ref="H829:H831"/>
    <mergeCell ref="I829:I831"/>
    <mergeCell ref="J829:J831"/>
    <mergeCell ref="K829:K831"/>
    <mergeCell ref="A821:AF821"/>
    <mergeCell ref="A823:AF823"/>
    <mergeCell ref="A824:AF824"/>
    <mergeCell ref="A829:A831"/>
    <mergeCell ref="B829:B831"/>
    <mergeCell ref="C829:C831"/>
    <mergeCell ref="D829:D831"/>
    <mergeCell ref="E829:E831"/>
    <mergeCell ref="U810:U812"/>
    <mergeCell ref="V810:V812"/>
    <mergeCell ref="W810:W812"/>
    <mergeCell ref="X810:X812"/>
    <mergeCell ref="Y810:Y812"/>
    <mergeCell ref="Z810:Z812"/>
    <mergeCell ref="O810:O812"/>
    <mergeCell ref="P810:P812"/>
    <mergeCell ref="Q810:Q812"/>
    <mergeCell ref="R810:R812"/>
    <mergeCell ref="S810:S812"/>
    <mergeCell ref="T810:T812"/>
    <mergeCell ref="I810:I812"/>
    <mergeCell ref="J810:J812"/>
    <mergeCell ref="K810:K812"/>
    <mergeCell ref="L810:L812"/>
    <mergeCell ref="M810:M812"/>
    <mergeCell ref="N810:N812"/>
    <mergeCell ref="X829:X831"/>
    <mergeCell ref="Y829:Y831"/>
    <mergeCell ref="Z829:Z831"/>
    <mergeCell ref="AA829:AA831"/>
    <mergeCell ref="AB829:AB831"/>
    <mergeCell ref="AA807:AA809"/>
    <mergeCell ref="AB807:AB809"/>
    <mergeCell ref="A810:A812"/>
    <mergeCell ref="B810:B812"/>
    <mergeCell ref="C810:C812"/>
    <mergeCell ref="D810:D812"/>
    <mergeCell ref="E810:E812"/>
    <mergeCell ref="F810:F812"/>
    <mergeCell ref="G810:G812"/>
    <mergeCell ref="H810:H812"/>
    <mergeCell ref="U807:U809"/>
    <mergeCell ref="V807:V809"/>
    <mergeCell ref="W807:W809"/>
    <mergeCell ref="X807:X809"/>
    <mergeCell ref="Y807:Y809"/>
    <mergeCell ref="Z807:Z809"/>
    <mergeCell ref="O807:O809"/>
    <mergeCell ref="P807:P809"/>
    <mergeCell ref="Q807:Q809"/>
    <mergeCell ref="R807:R809"/>
    <mergeCell ref="S807:S809"/>
    <mergeCell ref="T807:T809"/>
    <mergeCell ref="I807:I809"/>
    <mergeCell ref="J807:J809"/>
    <mergeCell ref="K807:K809"/>
    <mergeCell ref="L807:L809"/>
    <mergeCell ref="M807:M809"/>
    <mergeCell ref="N807:N809"/>
    <mergeCell ref="AA810:AA812"/>
    <mergeCell ref="AB810:AB812"/>
    <mergeCell ref="A807:A809"/>
    <mergeCell ref="B807:B809"/>
    <mergeCell ref="C807:C809"/>
    <mergeCell ref="D807:D809"/>
    <mergeCell ref="E807:E809"/>
    <mergeCell ref="F807:F809"/>
    <mergeCell ref="G807:G809"/>
    <mergeCell ref="H807:H809"/>
    <mergeCell ref="U804:U806"/>
    <mergeCell ref="V804:V806"/>
    <mergeCell ref="W804:W806"/>
    <mergeCell ref="X804:X806"/>
    <mergeCell ref="Y804:Y806"/>
    <mergeCell ref="Z804:Z806"/>
    <mergeCell ref="O804:O806"/>
    <mergeCell ref="P804:P806"/>
    <mergeCell ref="Q804:Q806"/>
    <mergeCell ref="R804:R806"/>
    <mergeCell ref="S804:S806"/>
    <mergeCell ref="T804:T806"/>
    <mergeCell ref="I804:I806"/>
    <mergeCell ref="J804:J806"/>
    <mergeCell ref="K804:K806"/>
    <mergeCell ref="L804:L806"/>
    <mergeCell ref="M804:M806"/>
    <mergeCell ref="N804:N806"/>
    <mergeCell ref="AA801:AA803"/>
    <mergeCell ref="AB801:AB803"/>
    <mergeCell ref="A804:A806"/>
    <mergeCell ref="B804:B806"/>
    <mergeCell ref="C804:C806"/>
    <mergeCell ref="D804:D806"/>
    <mergeCell ref="E804:E806"/>
    <mergeCell ref="F804:F806"/>
    <mergeCell ref="G804:G806"/>
    <mergeCell ref="H804:H806"/>
    <mergeCell ref="U801:U803"/>
    <mergeCell ref="V801:V803"/>
    <mergeCell ref="W801:W803"/>
    <mergeCell ref="X801:X803"/>
    <mergeCell ref="Y801:Y803"/>
    <mergeCell ref="Z801:Z803"/>
    <mergeCell ref="O801:O803"/>
    <mergeCell ref="P801:P803"/>
    <mergeCell ref="Q801:Q803"/>
    <mergeCell ref="R801:R803"/>
    <mergeCell ref="S801:S803"/>
    <mergeCell ref="T801:T803"/>
    <mergeCell ref="I801:I803"/>
    <mergeCell ref="J801:J803"/>
    <mergeCell ref="K801:K803"/>
    <mergeCell ref="L801:L803"/>
    <mergeCell ref="M801:M803"/>
    <mergeCell ref="N801:N803"/>
    <mergeCell ref="AA804:AA806"/>
    <mergeCell ref="AB804:AB806"/>
    <mergeCell ref="A801:A803"/>
    <mergeCell ref="B801:B803"/>
    <mergeCell ref="C801:C803"/>
    <mergeCell ref="D801:D803"/>
    <mergeCell ref="E801:E803"/>
    <mergeCell ref="F801:F803"/>
    <mergeCell ref="G801:G803"/>
    <mergeCell ref="H801:H803"/>
    <mergeCell ref="U798:U800"/>
    <mergeCell ref="V798:V800"/>
    <mergeCell ref="W798:W800"/>
    <mergeCell ref="X798:X800"/>
    <mergeCell ref="Y798:Y800"/>
    <mergeCell ref="Z798:Z800"/>
    <mergeCell ref="O798:O800"/>
    <mergeCell ref="P798:P800"/>
    <mergeCell ref="Q798:Q800"/>
    <mergeCell ref="R798:R800"/>
    <mergeCell ref="S798:S800"/>
    <mergeCell ref="T798:T800"/>
    <mergeCell ref="I798:I800"/>
    <mergeCell ref="J798:J800"/>
    <mergeCell ref="K798:K800"/>
    <mergeCell ref="L798:L800"/>
    <mergeCell ref="M798:M800"/>
    <mergeCell ref="N798:N800"/>
    <mergeCell ref="AA795:AA797"/>
    <mergeCell ref="AB795:AB797"/>
    <mergeCell ref="A798:A800"/>
    <mergeCell ref="B798:B800"/>
    <mergeCell ref="C798:C800"/>
    <mergeCell ref="D798:D800"/>
    <mergeCell ref="E798:E800"/>
    <mergeCell ref="F798:F800"/>
    <mergeCell ref="G798:G800"/>
    <mergeCell ref="H798:H800"/>
    <mergeCell ref="U795:U797"/>
    <mergeCell ref="V795:V797"/>
    <mergeCell ref="W795:W797"/>
    <mergeCell ref="X795:X797"/>
    <mergeCell ref="Y795:Y797"/>
    <mergeCell ref="Z795:Z797"/>
    <mergeCell ref="O795:O797"/>
    <mergeCell ref="P795:P797"/>
    <mergeCell ref="Q795:Q797"/>
    <mergeCell ref="R795:R797"/>
    <mergeCell ref="S795:S797"/>
    <mergeCell ref="T795:T797"/>
    <mergeCell ref="I795:I797"/>
    <mergeCell ref="J795:J797"/>
    <mergeCell ref="K795:K797"/>
    <mergeCell ref="L795:L797"/>
    <mergeCell ref="M795:M797"/>
    <mergeCell ref="N795:N797"/>
    <mergeCell ref="AA798:AA800"/>
    <mergeCell ref="AB798:AB800"/>
    <mergeCell ref="A789:AF789"/>
    <mergeCell ref="A790:AF790"/>
    <mergeCell ref="A795:A797"/>
    <mergeCell ref="B795:B797"/>
    <mergeCell ref="C795:C797"/>
    <mergeCell ref="D795:D797"/>
    <mergeCell ref="E795:E797"/>
    <mergeCell ref="F795:F797"/>
    <mergeCell ref="G795:G797"/>
    <mergeCell ref="H795:H797"/>
    <mergeCell ref="X776:X778"/>
    <mergeCell ref="Y776:Y778"/>
    <mergeCell ref="Z776:Z778"/>
    <mergeCell ref="AA776:AA778"/>
    <mergeCell ref="AB776:AB778"/>
    <mergeCell ref="A787:AF787"/>
    <mergeCell ref="R776:R778"/>
    <mergeCell ref="S776:S778"/>
    <mergeCell ref="T776:T778"/>
    <mergeCell ref="U776:U778"/>
    <mergeCell ref="V776:V778"/>
    <mergeCell ref="W776:W778"/>
    <mergeCell ref="L776:L778"/>
    <mergeCell ref="M776:M778"/>
    <mergeCell ref="N776:N778"/>
    <mergeCell ref="O776:O778"/>
    <mergeCell ref="P776:P778"/>
    <mergeCell ref="Q776:Q778"/>
    <mergeCell ref="F776:F778"/>
    <mergeCell ref="G776:G778"/>
    <mergeCell ref="H776:H778"/>
    <mergeCell ref="I776:I778"/>
    <mergeCell ref="J776:J778"/>
    <mergeCell ref="K776:K778"/>
    <mergeCell ref="X773:X775"/>
    <mergeCell ref="Y773:Y775"/>
    <mergeCell ref="Z773:Z775"/>
    <mergeCell ref="AA773:AA775"/>
    <mergeCell ref="AB773:AB775"/>
    <mergeCell ref="A776:A778"/>
    <mergeCell ref="B776:B778"/>
    <mergeCell ref="C776:C778"/>
    <mergeCell ref="D776:D778"/>
    <mergeCell ref="E776:E778"/>
    <mergeCell ref="R773:R775"/>
    <mergeCell ref="S773:S775"/>
    <mergeCell ref="T773:T775"/>
    <mergeCell ref="U773:U775"/>
    <mergeCell ref="V773:V775"/>
    <mergeCell ref="W773:W775"/>
    <mergeCell ref="L773:L775"/>
    <mergeCell ref="M773:M775"/>
    <mergeCell ref="N773:N775"/>
    <mergeCell ref="O773:O775"/>
    <mergeCell ref="P773:P775"/>
    <mergeCell ref="Q773:Q775"/>
    <mergeCell ref="F773:F775"/>
    <mergeCell ref="G773:G775"/>
    <mergeCell ref="H773:H775"/>
    <mergeCell ref="I773:I775"/>
    <mergeCell ref="J773:J775"/>
    <mergeCell ref="K773:K775"/>
    <mergeCell ref="A773:A775"/>
    <mergeCell ref="B773:B775"/>
    <mergeCell ref="C773:C775"/>
    <mergeCell ref="D773:D775"/>
    <mergeCell ref="E773:E775"/>
    <mergeCell ref="R770:R772"/>
    <mergeCell ref="S770:S772"/>
    <mergeCell ref="T770:T772"/>
    <mergeCell ref="U770:U772"/>
    <mergeCell ref="V770:V772"/>
    <mergeCell ref="W770:W772"/>
    <mergeCell ref="L770:L772"/>
    <mergeCell ref="M770:M772"/>
    <mergeCell ref="N770:N772"/>
    <mergeCell ref="O770:O772"/>
    <mergeCell ref="P770:P772"/>
    <mergeCell ref="Q770:Q772"/>
    <mergeCell ref="F770:F772"/>
    <mergeCell ref="G770:G772"/>
    <mergeCell ref="H770:H772"/>
    <mergeCell ref="I770:I772"/>
    <mergeCell ref="J770:J772"/>
    <mergeCell ref="K770:K772"/>
    <mergeCell ref="AB767:AB769"/>
    <mergeCell ref="A770:A772"/>
    <mergeCell ref="B770:B772"/>
    <mergeCell ref="C770:C772"/>
    <mergeCell ref="D770:D772"/>
    <mergeCell ref="E770:E772"/>
    <mergeCell ref="R767:R769"/>
    <mergeCell ref="S767:S769"/>
    <mergeCell ref="T767:T769"/>
    <mergeCell ref="U767:U769"/>
    <mergeCell ref="V767:V769"/>
    <mergeCell ref="W767:W769"/>
    <mergeCell ref="L767:L769"/>
    <mergeCell ref="M767:M769"/>
    <mergeCell ref="N767:N769"/>
    <mergeCell ref="O767:O769"/>
    <mergeCell ref="P767:P769"/>
    <mergeCell ref="Q767:Q769"/>
    <mergeCell ref="F767:F769"/>
    <mergeCell ref="G767:G769"/>
    <mergeCell ref="H767:H769"/>
    <mergeCell ref="I767:I769"/>
    <mergeCell ref="J767:J769"/>
    <mergeCell ref="K767:K769"/>
    <mergeCell ref="X770:X772"/>
    <mergeCell ref="Y770:Y772"/>
    <mergeCell ref="Z770:Z772"/>
    <mergeCell ref="AA770:AA772"/>
    <mergeCell ref="AB770:AB772"/>
    <mergeCell ref="X764:X766"/>
    <mergeCell ref="Y764:Y766"/>
    <mergeCell ref="Z764:Z766"/>
    <mergeCell ref="AA764:AA766"/>
    <mergeCell ref="AB764:AB766"/>
    <mergeCell ref="A767:A769"/>
    <mergeCell ref="B767:B769"/>
    <mergeCell ref="C767:C769"/>
    <mergeCell ref="D767:D769"/>
    <mergeCell ref="E767:E769"/>
    <mergeCell ref="R764:R766"/>
    <mergeCell ref="S764:S766"/>
    <mergeCell ref="T764:T766"/>
    <mergeCell ref="U764:U766"/>
    <mergeCell ref="V764:V766"/>
    <mergeCell ref="W764:W766"/>
    <mergeCell ref="L764:L766"/>
    <mergeCell ref="M764:M766"/>
    <mergeCell ref="N764:N766"/>
    <mergeCell ref="O764:O766"/>
    <mergeCell ref="P764:P766"/>
    <mergeCell ref="Q764:Q766"/>
    <mergeCell ref="F764:F766"/>
    <mergeCell ref="G764:G766"/>
    <mergeCell ref="H764:H766"/>
    <mergeCell ref="I764:I766"/>
    <mergeCell ref="J764:J766"/>
    <mergeCell ref="K764:K766"/>
    <mergeCell ref="X767:X769"/>
    <mergeCell ref="Y767:Y769"/>
    <mergeCell ref="Z767:Z769"/>
    <mergeCell ref="AA767:AA769"/>
    <mergeCell ref="A764:A766"/>
    <mergeCell ref="B764:B766"/>
    <mergeCell ref="C764:C766"/>
    <mergeCell ref="D764:D766"/>
    <mergeCell ref="E764:E766"/>
    <mergeCell ref="R761:R763"/>
    <mergeCell ref="S761:S763"/>
    <mergeCell ref="T761:T763"/>
    <mergeCell ref="U761:U763"/>
    <mergeCell ref="V761:V763"/>
    <mergeCell ref="W761:W763"/>
    <mergeCell ref="L761:L763"/>
    <mergeCell ref="M761:M763"/>
    <mergeCell ref="N761:N763"/>
    <mergeCell ref="O761:O763"/>
    <mergeCell ref="P761:P763"/>
    <mergeCell ref="Q761:Q763"/>
    <mergeCell ref="F761:F763"/>
    <mergeCell ref="G761:G763"/>
    <mergeCell ref="H761:H763"/>
    <mergeCell ref="I761:I763"/>
    <mergeCell ref="J761:J763"/>
    <mergeCell ref="K761:K763"/>
    <mergeCell ref="A753:AF753"/>
    <mergeCell ref="A755:AF755"/>
    <mergeCell ref="A756:AF756"/>
    <mergeCell ref="A761:A763"/>
    <mergeCell ref="B761:B763"/>
    <mergeCell ref="C761:C763"/>
    <mergeCell ref="D761:D763"/>
    <mergeCell ref="E761:E763"/>
    <mergeCell ref="U742:U744"/>
    <mergeCell ref="V742:V744"/>
    <mergeCell ref="W742:W744"/>
    <mergeCell ref="X742:X744"/>
    <mergeCell ref="Y742:Y744"/>
    <mergeCell ref="Z742:Z744"/>
    <mergeCell ref="O742:O744"/>
    <mergeCell ref="P742:P744"/>
    <mergeCell ref="Q742:Q744"/>
    <mergeCell ref="R742:R744"/>
    <mergeCell ref="S742:S744"/>
    <mergeCell ref="T742:T744"/>
    <mergeCell ref="I742:I744"/>
    <mergeCell ref="J742:J744"/>
    <mergeCell ref="K742:K744"/>
    <mergeCell ref="L742:L744"/>
    <mergeCell ref="M742:M744"/>
    <mergeCell ref="N742:N744"/>
    <mergeCell ref="X761:X763"/>
    <mergeCell ref="Y761:Y763"/>
    <mergeCell ref="Z761:Z763"/>
    <mergeCell ref="AA761:AA763"/>
    <mergeCell ref="AB761:AB763"/>
    <mergeCell ref="AA739:AA741"/>
    <mergeCell ref="AB739:AB741"/>
    <mergeCell ref="A742:A744"/>
    <mergeCell ref="B742:B744"/>
    <mergeCell ref="C742:C744"/>
    <mergeCell ref="D742:D744"/>
    <mergeCell ref="E742:E744"/>
    <mergeCell ref="F742:F744"/>
    <mergeCell ref="G742:G744"/>
    <mergeCell ref="H742:H744"/>
    <mergeCell ref="U739:U741"/>
    <mergeCell ref="V739:V741"/>
    <mergeCell ref="W739:W741"/>
    <mergeCell ref="X739:X741"/>
    <mergeCell ref="Y739:Y741"/>
    <mergeCell ref="Z739:Z741"/>
    <mergeCell ref="O739:O741"/>
    <mergeCell ref="P739:P741"/>
    <mergeCell ref="Q739:Q741"/>
    <mergeCell ref="R739:R741"/>
    <mergeCell ref="S739:S741"/>
    <mergeCell ref="T739:T741"/>
    <mergeCell ref="I739:I741"/>
    <mergeCell ref="J739:J741"/>
    <mergeCell ref="K739:K741"/>
    <mergeCell ref="L739:L741"/>
    <mergeCell ref="M739:M741"/>
    <mergeCell ref="N739:N741"/>
    <mergeCell ref="AA742:AA744"/>
    <mergeCell ref="AB742:AB744"/>
    <mergeCell ref="A739:A741"/>
    <mergeCell ref="B739:B741"/>
    <mergeCell ref="C739:C741"/>
    <mergeCell ref="D739:D741"/>
    <mergeCell ref="E739:E741"/>
    <mergeCell ref="F739:F741"/>
    <mergeCell ref="G739:G741"/>
    <mergeCell ref="H739:H741"/>
    <mergeCell ref="U736:U738"/>
    <mergeCell ref="V736:V738"/>
    <mergeCell ref="W736:W738"/>
    <mergeCell ref="X736:X738"/>
    <mergeCell ref="Y736:Y738"/>
    <mergeCell ref="Z736:Z738"/>
    <mergeCell ref="O736:O738"/>
    <mergeCell ref="P736:P738"/>
    <mergeCell ref="Q736:Q738"/>
    <mergeCell ref="R736:R738"/>
    <mergeCell ref="S736:S738"/>
    <mergeCell ref="T736:T738"/>
    <mergeCell ref="I736:I738"/>
    <mergeCell ref="J736:J738"/>
    <mergeCell ref="K736:K738"/>
    <mergeCell ref="L736:L738"/>
    <mergeCell ref="M736:M738"/>
    <mergeCell ref="N736:N738"/>
    <mergeCell ref="AA733:AA735"/>
    <mergeCell ref="AB733:AB735"/>
    <mergeCell ref="A736:A738"/>
    <mergeCell ref="B736:B738"/>
    <mergeCell ref="C736:C738"/>
    <mergeCell ref="D736:D738"/>
    <mergeCell ref="E736:E738"/>
    <mergeCell ref="F736:F738"/>
    <mergeCell ref="G736:G738"/>
    <mergeCell ref="H736:H738"/>
    <mergeCell ref="U733:U735"/>
    <mergeCell ref="V733:V735"/>
    <mergeCell ref="W733:W735"/>
    <mergeCell ref="X733:X735"/>
    <mergeCell ref="Y733:Y735"/>
    <mergeCell ref="Z733:Z735"/>
    <mergeCell ref="O733:O735"/>
    <mergeCell ref="P733:P735"/>
    <mergeCell ref="Q733:Q735"/>
    <mergeCell ref="R733:R735"/>
    <mergeCell ref="S733:S735"/>
    <mergeCell ref="T733:T735"/>
    <mergeCell ref="I733:I735"/>
    <mergeCell ref="J733:J735"/>
    <mergeCell ref="K733:K735"/>
    <mergeCell ref="L733:L735"/>
    <mergeCell ref="M733:M735"/>
    <mergeCell ref="N733:N735"/>
    <mergeCell ref="AA736:AA738"/>
    <mergeCell ref="AB736:AB738"/>
    <mergeCell ref="A733:A735"/>
    <mergeCell ref="B733:B735"/>
    <mergeCell ref="C733:C735"/>
    <mergeCell ref="D733:D735"/>
    <mergeCell ref="E733:E735"/>
    <mergeCell ref="F733:F735"/>
    <mergeCell ref="G733:G735"/>
    <mergeCell ref="H733:H735"/>
    <mergeCell ref="U730:U732"/>
    <mergeCell ref="V730:V732"/>
    <mergeCell ref="W730:W732"/>
    <mergeCell ref="X730:X732"/>
    <mergeCell ref="Y730:Y732"/>
    <mergeCell ref="Z730:Z732"/>
    <mergeCell ref="O730:O732"/>
    <mergeCell ref="P730:P732"/>
    <mergeCell ref="Q730:Q732"/>
    <mergeCell ref="R730:R732"/>
    <mergeCell ref="S730:S732"/>
    <mergeCell ref="T730:T732"/>
    <mergeCell ref="I730:I732"/>
    <mergeCell ref="J730:J732"/>
    <mergeCell ref="K730:K732"/>
    <mergeCell ref="L730:L732"/>
    <mergeCell ref="M730:M732"/>
    <mergeCell ref="N730:N732"/>
    <mergeCell ref="AA727:AA729"/>
    <mergeCell ref="AB727:AB729"/>
    <mergeCell ref="A730:A732"/>
    <mergeCell ref="B730:B732"/>
    <mergeCell ref="C730:C732"/>
    <mergeCell ref="D730:D732"/>
    <mergeCell ref="E730:E732"/>
    <mergeCell ref="F730:F732"/>
    <mergeCell ref="G730:G732"/>
    <mergeCell ref="H730:H732"/>
    <mergeCell ref="U727:U729"/>
    <mergeCell ref="V727:V729"/>
    <mergeCell ref="W727:W729"/>
    <mergeCell ref="X727:X729"/>
    <mergeCell ref="Y727:Y729"/>
    <mergeCell ref="Z727:Z729"/>
    <mergeCell ref="O727:O729"/>
    <mergeCell ref="P727:P729"/>
    <mergeCell ref="Q727:Q729"/>
    <mergeCell ref="R727:R729"/>
    <mergeCell ref="S727:S729"/>
    <mergeCell ref="T727:T729"/>
    <mergeCell ref="I727:I729"/>
    <mergeCell ref="J727:J729"/>
    <mergeCell ref="K727:K729"/>
    <mergeCell ref="L727:L729"/>
    <mergeCell ref="M727:M729"/>
    <mergeCell ref="N727:N729"/>
    <mergeCell ref="AA730:AA732"/>
    <mergeCell ref="AB730:AB732"/>
    <mergeCell ref="A721:AF721"/>
    <mergeCell ref="A722:AF722"/>
    <mergeCell ref="A727:A729"/>
    <mergeCell ref="B727:B729"/>
    <mergeCell ref="C727:C729"/>
    <mergeCell ref="D727:D729"/>
    <mergeCell ref="E727:E729"/>
    <mergeCell ref="F727:F729"/>
    <mergeCell ref="G727:G729"/>
    <mergeCell ref="H727:H729"/>
    <mergeCell ref="X708:X710"/>
    <mergeCell ref="Y708:Y710"/>
    <mergeCell ref="Z708:Z710"/>
    <mergeCell ref="AA708:AA710"/>
    <mergeCell ref="AB708:AB710"/>
    <mergeCell ref="A719:AF719"/>
    <mergeCell ref="R708:R710"/>
    <mergeCell ref="S708:S710"/>
    <mergeCell ref="T708:T710"/>
    <mergeCell ref="U708:U710"/>
    <mergeCell ref="V708:V710"/>
    <mergeCell ref="W708:W710"/>
    <mergeCell ref="L708:L710"/>
    <mergeCell ref="M708:M710"/>
    <mergeCell ref="N708:N710"/>
    <mergeCell ref="O708:O710"/>
    <mergeCell ref="P708:P710"/>
    <mergeCell ref="Q708:Q710"/>
    <mergeCell ref="F708:F710"/>
    <mergeCell ref="G708:G710"/>
    <mergeCell ref="H708:H710"/>
    <mergeCell ref="I708:I710"/>
    <mergeCell ref="J708:J710"/>
    <mergeCell ref="K708:K710"/>
    <mergeCell ref="X705:X707"/>
    <mergeCell ref="Y705:Y707"/>
    <mergeCell ref="Z705:Z707"/>
    <mergeCell ref="AA705:AA707"/>
    <mergeCell ref="AB705:AB707"/>
    <mergeCell ref="A708:A710"/>
    <mergeCell ref="B708:B710"/>
    <mergeCell ref="C708:C710"/>
    <mergeCell ref="D708:D710"/>
    <mergeCell ref="E708:E710"/>
    <mergeCell ref="R705:R707"/>
    <mergeCell ref="S705:S707"/>
    <mergeCell ref="T705:T707"/>
    <mergeCell ref="U705:U707"/>
    <mergeCell ref="V705:V707"/>
    <mergeCell ref="W705:W707"/>
    <mergeCell ref="L705:L707"/>
    <mergeCell ref="M705:M707"/>
    <mergeCell ref="N705:N707"/>
    <mergeCell ref="O705:O707"/>
    <mergeCell ref="P705:P707"/>
    <mergeCell ref="Q705:Q707"/>
    <mergeCell ref="F705:F707"/>
    <mergeCell ref="G705:G707"/>
    <mergeCell ref="H705:H707"/>
    <mergeCell ref="I705:I707"/>
    <mergeCell ref="J705:J707"/>
    <mergeCell ref="K705:K707"/>
    <mergeCell ref="A705:A707"/>
    <mergeCell ref="B705:B707"/>
    <mergeCell ref="C705:C707"/>
    <mergeCell ref="D705:D707"/>
    <mergeCell ref="E705:E707"/>
    <mergeCell ref="R702:R704"/>
    <mergeCell ref="S702:S704"/>
    <mergeCell ref="T702:T704"/>
    <mergeCell ref="U702:U704"/>
    <mergeCell ref="V702:V704"/>
    <mergeCell ref="W702:W704"/>
    <mergeCell ref="L702:L704"/>
    <mergeCell ref="M702:M704"/>
    <mergeCell ref="N702:N704"/>
    <mergeCell ref="O702:O704"/>
    <mergeCell ref="P702:P704"/>
    <mergeCell ref="Q702:Q704"/>
    <mergeCell ref="F702:F704"/>
    <mergeCell ref="G702:G704"/>
    <mergeCell ref="H702:H704"/>
    <mergeCell ref="I702:I704"/>
    <mergeCell ref="J702:J704"/>
    <mergeCell ref="K702:K704"/>
    <mergeCell ref="AB699:AB701"/>
    <mergeCell ref="A702:A704"/>
    <mergeCell ref="B702:B704"/>
    <mergeCell ref="C702:C704"/>
    <mergeCell ref="D702:D704"/>
    <mergeCell ref="E702:E704"/>
    <mergeCell ref="R699:R701"/>
    <mergeCell ref="S699:S701"/>
    <mergeCell ref="T699:T701"/>
    <mergeCell ref="U699:U701"/>
    <mergeCell ref="V699:V701"/>
    <mergeCell ref="W699:W701"/>
    <mergeCell ref="L699:L701"/>
    <mergeCell ref="M699:M701"/>
    <mergeCell ref="N699:N701"/>
    <mergeCell ref="O699:O701"/>
    <mergeCell ref="P699:P701"/>
    <mergeCell ref="Q699:Q701"/>
    <mergeCell ref="F699:F701"/>
    <mergeCell ref="G699:G701"/>
    <mergeCell ref="H699:H701"/>
    <mergeCell ref="I699:I701"/>
    <mergeCell ref="J699:J701"/>
    <mergeCell ref="K699:K701"/>
    <mergeCell ref="X702:X704"/>
    <mergeCell ref="Y702:Y704"/>
    <mergeCell ref="Z702:Z704"/>
    <mergeCell ref="AA702:AA704"/>
    <mergeCell ref="AB702:AB704"/>
    <mergeCell ref="X696:X698"/>
    <mergeCell ref="Y696:Y698"/>
    <mergeCell ref="Z696:Z698"/>
    <mergeCell ref="AA696:AA698"/>
    <mergeCell ref="AB696:AB698"/>
    <mergeCell ref="A699:A701"/>
    <mergeCell ref="B699:B701"/>
    <mergeCell ref="C699:C701"/>
    <mergeCell ref="D699:D701"/>
    <mergeCell ref="E699:E701"/>
    <mergeCell ref="R696:R698"/>
    <mergeCell ref="S696:S698"/>
    <mergeCell ref="T696:T698"/>
    <mergeCell ref="U696:U698"/>
    <mergeCell ref="V696:V698"/>
    <mergeCell ref="W696:W698"/>
    <mergeCell ref="L696:L698"/>
    <mergeCell ref="M696:M698"/>
    <mergeCell ref="N696:N698"/>
    <mergeCell ref="O696:O698"/>
    <mergeCell ref="P696:P698"/>
    <mergeCell ref="Q696:Q698"/>
    <mergeCell ref="F696:F698"/>
    <mergeCell ref="G696:G698"/>
    <mergeCell ref="H696:H698"/>
    <mergeCell ref="I696:I698"/>
    <mergeCell ref="J696:J698"/>
    <mergeCell ref="K696:K698"/>
    <mergeCell ref="X699:X701"/>
    <mergeCell ref="Y699:Y701"/>
    <mergeCell ref="Z699:Z701"/>
    <mergeCell ref="AA699:AA701"/>
    <mergeCell ref="A696:A698"/>
    <mergeCell ref="B696:B698"/>
    <mergeCell ref="C696:C698"/>
    <mergeCell ref="D696:D698"/>
    <mergeCell ref="E696:E698"/>
    <mergeCell ref="R693:R695"/>
    <mergeCell ref="S693:S695"/>
    <mergeCell ref="T693:T695"/>
    <mergeCell ref="U693:U695"/>
    <mergeCell ref="V693:V695"/>
    <mergeCell ref="W693:W695"/>
    <mergeCell ref="L693:L695"/>
    <mergeCell ref="M693:M695"/>
    <mergeCell ref="N693:N695"/>
    <mergeCell ref="O693:O695"/>
    <mergeCell ref="P693:P695"/>
    <mergeCell ref="Q693:Q695"/>
    <mergeCell ref="F693:F695"/>
    <mergeCell ref="G693:G695"/>
    <mergeCell ref="H693:H695"/>
    <mergeCell ref="I693:I695"/>
    <mergeCell ref="J693:J695"/>
    <mergeCell ref="K693:K695"/>
    <mergeCell ref="A685:AF685"/>
    <mergeCell ref="A687:AF687"/>
    <mergeCell ref="A688:AF688"/>
    <mergeCell ref="A693:A695"/>
    <mergeCell ref="B693:B695"/>
    <mergeCell ref="C693:C695"/>
    <mergeCell ref="D693:D695"/>
    <mergeCell ref="E693:E695"/>
    <mergeCell ref="U674:U676"/>
    <mergeCell ref="V674:V676"/>
    <mergeCell ref="W674:W676"/>
    <mergeCell ref="X674:X676"/>
    <mergeCell ref="Y674:Y676"/>
    <mergeCell ref="Z674:Z676"/>
    <mergeCell ref="O674:O676"/>
    <mergeCell ref="P674:P676"/>
    <mergeCell ref="Q674:Q676"/>
    <mergeCell ref="R674:R676"/>
    <mergeCell ref="S674:S676"/>
    <mergeCell ref="T674:T676"/>
    <mergeCell ref="I674:I676"/>
    <mergeCell ref="J674:J676"/>
    <mergeCell ref="K674:K676"/>
    <mergeCell ref="L674:L676"/>
    <mergeCell ref="M674:M676"/>
    <mergeCell ref="N674:N676"/>
    <mergeCell ref="X693:X695"/>
    <mergeCell ref="Y693:Y695"/>
    <mergeCell ref="Z693:Z695"/>
    <mergeCell ref="AA693:AA695"/>
    <mergeCell ref="AB693:AB695"/>
    <mergeCell ref="AA671:AA673"/>
    <mergeCell ref="AB671:AB673"/>
    <mergeCell ref="A674:A676"/>
    <mergeCell ref="B674:B676"/>
    <mergeCell ref="C674:C676"/>
    <mergeCell ref="D674:D676"/>
    <mergeCell ref="E674:E676"/>
    <mergeCell ref="F674:F676"/>
    <mergeCell ref="G674:G676"/>
    <mergeCell ref="H674:H676"/>
    <mergeCell ref="U671:U673"/>
    <mergeCell ref="V671:V673"/>
    <mergeCell ref="W671:W673"/>
    <mergeCell ref="X671:X673"/>
    <mergeCell ref="Y671:Y673"/>
    <mergeCell ref="Z671:Z673"/>
    <mergeCell ref="O671:O673"/>
    <mergeCell ref="P671:P673"/>
    <mergeCell ref="Q671:Q673"/>
    <mergeCell ref="R671:R673"/>
    <mergeCell ref="S671:S673"/>
    <mergeCell ref="T671:T673"/>
    <mergeCell ref="I671:I673"/>
    <mergeCell ref="J671:J673"/>
    <mergeCell ref="K671:K673"/>
    <mergeCell ref="L671:L673"/>
    <mergeCell ref="M671:M673"/>
    <mergeCell ref="N671:N673"/>
    <mergeCell ref="AA674:AA676"/>
    <mergeCell ref="AB674:AB676"/>
    <mergeCell ref="A671:A673"/>
    <mergeCell ref="B671:B673"/>
    <mergeCell ref="C671:C673"/>
    <mergeCell ref="D671:D673"/>
    <mergeCell ref="E671:E673"/>
    <mergeCell ref="F671:F673"/>
    <mergeCell ref="G671:G673"/>
    <mergeCell ref="H671:H673"/>
    <mergeCell ref="U668:U670"/>
    <mergeCell ref="V668:V670"/>
    <mergeCell ref="W668:W670"/>
    <mergeCell ref="X668:X670"/>
    <mergeCell ref="Y668:Y670"/>
    <mergeCell ref="Z668:Z670"/>
    <mergeCell ref="O668:O670"/>
    <mergeCell ref="P668:P670"/>
    <mergeCell ref="Q668:Q670"/>
    <mergeCell ref="R668:R670"/>
    <mergeCell ref="S668:S670"/>
    <mergeCell ref="T668:T670"/>
    <mergeCell ref="I668:I670"/>
    <mergeCell ref="J668:J670"/>
    <mergeCell ref="K668:K670"/>
    <mergeCell ref="L668:L670"/>
    <mergeCell ref="M668:M670"/>
    <mergeCell ref="N668:N670"/>
    <mergeCell ref="AA665:AA667"/>
    <mergeCell ref="AB665:AB667"/>
    <mergeCell ref="A668:A670"/>
    <mergeCell ref="B668:B670"/>
    <mergeCell ref="C668:C670"/>
    <mergeCell ref="D668:D670"/>
    <mergeCell ref="E668:E670"/>
    <mergeCell ref="F668:F670"/>
    <mergeCell ref="G668:G670"/>
    <mergeCell ref="H668:H670"/>
    <mergeCell ref="U665:U667"/>
    <mergeCell ref="V665:V667"/>
    <mergeCell ref="W665:W667"/>
    <mergeCell ref="X665:X667"/>
    <mergeCell ref="Y665:Y667"/>
    <mergeCell ref="Z665:Z667"/>
    <mergeCell ref="O665:O667"/>
    <mergeCell ref="P665:P667"/>
    <mergeCell ref="Q665:Q667"/>
    <mergeCell ref="R665:R667"/>
    <mergeCell ref="S665:S667"/>
    <mergeCell ref="T665:T667"/>
    <mergeCell ref="I665:I667"/>
    <mergeCell ref="J665:J667"/>
    <mergeCell ref="K665:K667"/>
    <mergeCell ref="L665:L667"/>
    <mergeCell ref="M665:M667"/>
    <mergeCell ref="N665:N667"/>
    <mergeCell ref="AA668:AA670"/>
    <mergeCell ref="AB668:AB670"/>
    <mergeCell ref="A665:A667"/>
    <mergeCell ref="B665:B667"/>
    <mergeCell ref="C665:C667"/>
    <mergeCell ref="D665:D667"/>
    <mergeCell ref="E665:E667"/>
    <mergeCell ref="F665:F667"/>
    <mergeCell ref="G665:G667"/>
    <mergeCell ref="H665:H667"/>
    <mergeCell ref="U662:U664"/>
    <mergeCell ref="V662:V664"/>
    <mergeCell ref="W662:W664"/>
    <mergeCell ref="X662:X664"/>
    <mergeCell ref="Y662:Y664"/>
    <mergeCell ref="Z662:Z664"/>
    <mergeCell ref="O662:O664"/>
    <mergeCell ref="P662:P664"/>
    <mergeCell ref="Q662:Q664"/>
    <mergeCell ref="R662:R664"/>
    <mergeCell ref="S662:S664"/>
    <mergeCell ref="T662:T664"/>
    <mergeCell ref="I662:I664"/>
    <mergeCell ref="J662:J664"/>
    <mergeCell ref="K662:K664"/>
    <mergeCell ref="L662:L664"/>
    <mergeCell ref="M662:M664"/>
    <mergeCell ref="N662:N664"/>
    <mergeCell ref="AA659:AA661"/>
    <mergeCell ref="AB659:AB661"/>
    <mergeCell ref="A662:A664"/>
    <mergeCell ref="B662:B664"/>
    <mergeCell ref="C662:C664"/>
    <mergeCell ref="D662:D664"/>
    <mergeCell ref="E662:E664"/>
    <mergeCell ref="F662:F664"/>
    <mergeCell ref="G662:G664"/>
    <mergeCell ref="H662:H664"/>
    <mergeCell ref="U659:U661"/>
    <mergeCell ref="V659:V661"/>
    <mergeCell ref="W659:W661"/>
    <mergeCell ref="X659:X661"/>
    <mergeCell ref="Y659:Y661"/>
    <mergeCell ref="Z659:Z661"/>
    <mergeCell ref="O659:O661"/>
    <mergeCell ref="P659:P661"/>
    <mergeCell ref="Q659:Q661"/>
    <mergeCell ref="R659:R661"/>
    <mergeCell ref="S659:S661"/>
    <mergeCell ref="T659:T661"/>
    <mergeCell ref="I659:I661"/>
    <mergeCell ref="J659:J661"/>
    <mergeCell ref="K659:K661"/>
    <mergeCell ref="L659:L661"/>
    <mergeCell ref="M659:M661"/>
    <mergeCell ref="N659:N661"/>
    <mergeCell ref="AA662:AA664"/>
    <mergeCell ref="AB662:AB664"/>
    <mergeCell ref="A653:AF653"/>
    <mergeCell ref="A654:AF654"/>
    <mergeCell ref="A659:A661"/>
    <mergeCell ref="B659:B661"/>
    <mergeCell ref="C659:C661"/>
    <mergeCell ref="D659:D661"/>
    <mergeCell ref="E659:E661"/>
    <mergeCell ref="F659:F661"/>
    <mergeCell ref="G659:G661"/>
    <mergeCell ref="H659:H661"/>
    <mergeCell ref="X640:X642"/>
    <mergeCell ref="Y640:Y642"/>
    <mergeCell ref="Z640:Z642"/>
    <mergeCell ref="AA640:AA642"/>
    <mergeCell ref="AB640:AB642"/>
    <mergeCell ref="A651:AF651"/>
    <mergeCell ref="R640:R642"/>
    <mergeCell ref="S640:S642"/>
    <mergeCell ref="T640:T642"/>
    <mergeCell ref="U640:U642"/>
    <mergeCell ref="V640:V642"/>
    <mergeCell ref="W640:W642"/>
    <mergeCell ref="L640:L642"/>
    <mergeCell ref="M640:M642"/>
    <mergeCell ref="N640:N642"/>
    <mergeCell ref="O640:O642"/>
    <mergeCell ref="P640:P642"/>
    <mergeCell ref="Q640:Q642"/>
    <mergeCell ref="F640:F642"/>
    <mergeCell ref="G640:G642"/>
    <mergeCell ref="H640:H642"/>
    <mergeCell ref="I640:I642"/>
    <mergeCell ref="J640:J642"/>
    <mergeCell ref="K640:K642"/>
    <mergeCell ref="X637:X639"/>
    <mergeCell ref="Y637:Y639"/>
    <mergeCell ref="Z637:Z639"/>
    <mergeCell ref="AA637:AA639"/>
    <mergeCell ref="AB637:AB639"/>
    <mergeCell ref="A640:A642"/>
    <mergeCell ref="B640:B642"/>
    <mergeCell ref="C640:C642"/>
    <mergeCell ref="D640:D642"/>
    <mergeCell ref="E640:E642"/>
    <mergeCell ref="R637:R639"/>
    <mergeCell ref="S637:S639"/>
    <mergeCell ref="T637:T639"/>
    <mergeCell ref="U637:U639"/>
    <mergeCell ref="V637:V639"/>
    <mergeCell ref="W637:W639"/>
    <mergeCell ref="L637:L639"/>
    <mergeCell ref="M637:M639"/>
    <mergeCell ref="N637:N639"/>
    <mergeCell ref="O637:O639"/>
    <mergeCell ref="P637:P639"/>
    <mergeCell ref="Q637:Q639"/>
    <mergeCell ref="F637:F639"/>
    <mergeCell ref="G637:G639"/>
    <mergeCell ref="H637:H639"/>
    <mergeCell ref="I637:I639"/>
    <mergeCell ref="J637:J639"/>
    <mergeCell ref="K637:K639"/>
    <mergeCell ref="A637:A639"/>
    <mergeCell ref="B637:B639"/>
    <mergeCell ref="C637:C639"/>
    <mergeCell ref="D637:D639"/>
    <mergeCell ref="E637:E639"/>
    <mergeCell ref="R634:R636"/>
    <mergeCell ref="S634:S636"/>
    <mergeCell ref="T634:T636"/>
    <mergeCell ref="U634:U636"/>
    <mergeCell ref="V634:V636"/>
    <mergeCell ref="W634:W636"/>
    <mergeCell ref="L634:L636"/>
    <mergeCell ref="M634:M636"/>
    <mergeCell ref="N634:N636"/>
    <mergeCell ref="O634:O636"/>
    <mergeCell ref="P634:P636"/>
    <mergeCell ref="Q634:Q636"/>
    <mergeCell ref="F634:F636"/>
    <mergeCell ref="G634:G636"/>
    <mergeCell ref="H634:H636"/>
    <mergeCell ref="I634:I636"/>
    <mergeCell ref="J634:J636"/>
    <mergeCell ref="K634:K636"/>
    <mergeCell ref="AB631:AB633"/>
    <mergeCell ref="A634:A636"/>
    <mergeCell ref="B634:B636"/>
    <mergeCell ref="C634:C636"/>
    <mergeCell ref="D634:D636"/>
    <mergeCell ref="E634:E636"/>
    <mergeCell ref="R631:R633"/>
    <mergeCell ref="S631:S633"/>
    <mergeCell ref="T631:T633"/>
    <mergeCell ref="U631:U633"/>
    <mergeCell ref="V631:V633"/>
    <mergeCell ref="W631:W633"/>
    <mergeCell ref="L631:L633"/>
    <mergeCell ref="M631:M633"/>
    <mergeCell ref="N631:N633"/>
    <mergeCell ref="O631:O633"/>
    <mergeCell ref="P631:P633"/>
    <mergeCell ref="Q631:Q633"/>
    <mergeCell ref="F631:F633"/>
    <mergeCell ref="G631:G633"/>
    <mergeCell ref="H631:H633"/>
    <mergeCell ref="I631:I633"/>
    <mergeCell ref="J631:J633"/>
    <mergeCell ref="K631:K633"/>
    <mergeCell ref="X634:X636"/>
    <mergeCell ref="Y634:Y636"/>
    <mergeCell ref="Z634:Z636"/>
    <mergeCell ref="AA634:AA636"/>
    <mergeCell ref="AB634:AB636"/>
    <mergeCell ref="X628:X630"/>
    <mergeCell ref="Y628:Y630"/>
    <mergeCell ref="Z628:Z630"/>
    <mergeCell ref="AA628:AA630"/>
    <mergeCell ref="AB628:AB630"/>
    <mergeCell ref="A631:A633"/>
    <mergeCell ref="B631:B633"/>
    <mergeCell ref="C631:C633"/>
    <mergeCell ref="D631:D633"/>
    <mergeCell ref="E631:E633"/>
    <mergeCell ref="R628:R630"/>
    <mergeCell ref="S628:S630"/>
    <mergeCell ref="T628:T630"/>
    <mergeCell ref="U628:U630"/>
    <mergeCell ref="V628:V630"/>
    <mergeCell ref="W628:W630"/>
    <mergeCell ref="L628:L630"/>
    <mergeCell ref="M628:M630"/>
    <mergeCell ref="N628:N630"/>
    <mergeCell ref="O628:O630"/>
    <mergeCell ref="P628:P630"/>
    <mergeCell ref="Q628:Q630"/>
    <mergeCell ref="F628:F630"/>
    <mergeCell ref="G628:G630"/>
    <mergeCell ref="H628:H630"/>
    <mergeCell ref="I628:I630"/>
    <mergeCell ref="J628:J630"/>
    <mergeCell ref="K628:K630"/>
    <mergeCell ref="X631:X633"/>
    <mergeCell ref="Y631:Y633"/>
    <mergeCell ref="Z631:Z633"/>
    <mergeCell ref="AA631:AA633"/>
    <mergeCell ref="A628:A630"/>
    <mergeCell ref="B628:B630"/>
    <mergeCell ref="C628:C630"/>
    <mergeCell ref="D628:D630"/>
    <mergeCell ref="E628:E630"/>
    <mergeCell ref="R625:R627"/>
    <mergeCell ref="S625:S627"/>
    <mergeCell ref="T625:T627"/>
    <mergeCell ref="U625:U627"/>
    <mergeCell ref="V625:V627"/>
    <mergeCell ref="W625:W627"/>
    <mergeCell ref="L625:L627"/>
    <mergeCell ref="M625:M627"/>
    <mergeCell ref="N625:N627"/>
    <mergeCell ref="O625:O627"/>
    <mergeCell ref="P625:P627"/>
    <mergeCell ref="Q625:Q627"/>
    <mergeCell ref="F625:F627"/>
    <mergeCell ref="G625:G627"/>
    <mergeCell ref="H625:H627"/>
    <mergeCell ref="I625:I627"/>
    <mergeCell ref="J625:J627"/>
    <mergeCell ref="K625:K627"/>
    <mergeCell ref="A616:AF616"/>
    <mergeCell ref="A618:AF618"/>
    <mergeCell ref="A619:AF619"/>
    <mergeCell ref="A620:AF620"/>
    <mergeCell ref="A625:A627"/>
    <mergeCell ref="B625:B627"/>
    <mergeCell ref="C625:C627"/>
    <mergeCell ref="D625:D627"/>
    <mergeCell ref="E625:E627"/>
    <mergeCell ref="V606:V608"/>
    <mergeCell ref="W606:W608"/>
    <mergeCell ref="X606:X608"/>
    <mergeCell ref="Y606:Y608"/>
    <mergeCell ref="Z606:Z608"/>
    <mergeCell ref="AA606:AA608"/>
    <mergeCell ref="P606:P608"/>
    <mergeCell ref="Q606:Q608"/>
    <mergeCell ref="R606:R608"/>
    <mergeCell ref="S606:S608"/>
    <mergeCell ref="T606:T608"/>
    <mergeCell ref="U606:U608"/>
    <mergeCell ref="J606:J608"/>
    <mergeCell ref="K606:K608"/>
    <mergeCell ref="L606:L608"/>
    <mergeCell ref="M606:M608"/>
    <mergeCell ref="N606:N608"/>
    <mergeCell ref="O606:O608"/>
    <mergeCell ref="X625:X627"/>
    <mergeCell ref="Y625:Y627"/>
    <mergeCell ref="Z625:Z627"/>
    <mergeCell ref="AA625:AA627"/>
    <mergeCell ref="AB625:AB627"/>
    <mergeCell ref="AB603:AB605"/>
    <mergeCell ref="A606:A608"/>
    <mergeCell ref="B606:B608"/>
    <mergeCell ref="C606:C608"/>
    <mergeCell ref="D606:D608"/>
    <mergeCell ref="E606:E608"/>
    <mergeCell ref="F606:F608"/>
    <mergeCell ref="G606:G608"/>
    <mergeCell ref="H606:H608"/>
    <mergeCell ref="I606:I608"/>
    <mergeCell ref="V603:V605"/>
    <mergeCell ref="W603:W605"/>
    <mergeCell ref="X603:X605"/>
    <mergeCell ref="Y603:Y605"/>
    <mergeCell ref="Z603:Z605"/>
    <mergeCell ref="AA603:AA605"/>
    <mergeCell ref="P603:P605"/>
    <mergeCell ref="Q603:Q605"/>
    <mergeCell ref="R603:R605"/>
    <mergeCell ref="S603:S605"/>
    <mergeCell ref="T603:T605"/>
    <mergeCell ref="U603:U605"/>
    <mergeCell ref="J603:J605"/>
    <mergeCell ref="K603:K605"/>
    <mergeCell ref="L603:L605"/>
    <mergeCell ref="M603:M605"/>
    <mergeCell ref="N603:N605"/>
    <mergeCell ref="O603:O605"/>
    <mergeCell ref="AB606:AB608"/>
    <mergeCell ref="A603:A605"/>
    <mergeCell ref="B603:B605"/>
    <mergeCell ref="C603:C605"/>
    <mergeCell ref="D603:D605"/>
    <mergeCell ref="E603:E605"/>
    <mergeCell ref="F603:F605"/>
    <mergeCell ref="G603:G605"/>
    <mergeCell ref="H603:H605"/>
    <mergeCell ref="I603:I605"/>
    <mergeCell ref="V600:V602"/>
    <mergeCell ref="W600:W602"/>
    <mergeCell ref="X600:X602"/>
    <mergeCell ref="Y600:Y602"/>
    <mergeCell ref="Z600:Z602"/>
    <mergeCell ref="AA600:AA602"/>
    <mergeCell ref="P600:P602"/>
    <mergeCell ref="Q600:Q602"/>
    <mergeCell ref="R600:R602"/>
    <mergeCell ref="S600:S602"/>
    <mergeCell ref="T600:T602"/>
    <mergeCell ref="U600:U602"/>
    <mergeCell ref="J600:J602"/>
    <mergeCell ref="K600:K602"/>
    <mergeCell ref="L600:L602"/>
    <mergeCell ref="M600:M602"/>
    <mergeCell ref="N600:N602"/>
    <mergeCell ref="O600:O602"/>
    <mergeCell ref="AB597:AB599"/>
    <mergeCell ref="A600:A602"/>
    <mergeCell ref="B600:B602"/>
    <mergeCell ref="C600:C602"/>
    <mergeCell ref="D600:D602"/>
    <mergeCell ref="E600:E602"/>
    <mergeCell ref="F600:F602"/>
    <mergeCell ref="G600:G602"/>
    <mergeCell ref="H600:H602"/>
    <mergeCell ref="I600:I602"/>
    <mergeCell ref="V597:V599"/>
    <mergeCell ref="W597:W599"/>
    <mergeCell ref="X597:X599"/>
    <mergeCell ref="Y597:Y599"/>
    <mergeCell ref="Z597:Z599"/>
    <mergeCell ref="AA597:AA599"/>
    <mergeCell ref="P597:P599"/>
    <mergeCell ref="Q597:Q599"/>
    <mergeCell ref="R597:R599"/>
    <mergeCell ref="S597:S599"/>
    <mergeCell ref="T597:T599"/>
    <mergeCell ref="U597:U599"/>
    <mergeCell ref="J597:J599"/>
    <mergeCell ref="K597:K599"/>
    <mergeCell ref="L597:L599"/>
    <mergeCell ref="M597:M599"/>
    <mergeCell ref="N597:N599"/>
    <mergeCell ref="O597:O599"/>
    <mergeCell ref="AB600:AB602"/>
    <mergeCell ref="A597:A599"/>
    <mergeCell ref="B597:B599"/>
    <mergeCell ref="C597:C599"/>
    <mergeCell ref="D597:D599"/>
    <mergeCell ref="E597:E599"/>
    <mergeCell ref="F597:F599"/>
    <mergeCell ref="G597:G599"/>
    <mergeCell ref="H597:H599"/>
    <mergeCell ref="I597:I599"/>
    <mergeCell ref="V594:V596"/>
    <mergeCell ref="W594:W596"/>
    <mergeCell ref="X594:X596"/>
    <mergeCell ref="Y594:Y596"/>
    <mergeCell ref="Z594:Z596"/>
    <mergeCell ref="AA594:AA596"/>
    <mergeCell ref="P594:P596"/>
    <mergeCell ref="Q594:Q596"/>
    <mergeCell ref="R594:R596"/>
    <mergeCell ref="S594:S596"/>
    <mergeCell ref="T594:T596"/>
    <mergeCell ref="U594:U596"/>
    <mergeCell ref="J594:J596"/>
    <mergeCell ref="K594:K596"/>
    <mergeCell ref="L594:L596"/>
    <mergeCell ref="M594:M596"/>
    <mergeCell ref="N594:N596"/>
    <mergeCell ref="O594:O596"/>
    <mergeCell ref="AB591:AB593"/>
    <mergeCell ref="A594:A596"/>
    <mergeCell ref="B594:B596"/>
    <mergeCell ref="C594:C596"/>
    <mergeCell ref="D594:D596"/>
    <mergeCell ref="E594:E596"/>
    <mergeCell ref="F594:F596"/>
    <mergeCell ref="G594:G596"/>
    <mergeCell ref="H594:H596"/>
    <mergeCell ref="I594:I596"/>
    <mergeCell ref="V591:V593"/>
    <mergeCell ref="W591:W593"/>
    <mergeCell ref="X591:X593"/>
    <mergeCell ref="Y591:Y593"/>
    <mergeCell ref="Z591:Z593"/>
    <mergeCell ref="AA591:AA593"/>
    <mergeCell ref="P591:P593"/>
    <mergeCell ref="Q591:Q593"/>
    <mergeCell ref="R591:R593"/>
    <mergeCell ref="S591:S593"/>
    <mergeCell ref="T591:T593"/>
    <mergeCell ref="U591:U593"/>
    <mergeCell ref="J591:J593"/>
    <mergeCell ref="K591:K593"/>
    <mergeCell ref="L591:L593"/>
    <mergeCell ref="M591:M593"/>
    <mergeCell ref="N591:N593"/>
    <mergeCell ref="O591:O593"/>
    <mergeCell ref="AB594:AB596"/>
    <mergeCell ref="A586:AF586"/>
    <mergeCell ref="A591:A593"/>
    <mergeCell ref="B591:B593"/>
    <mergeCell ref="C591:C593"/>
    <mergeCell ref="D591:D593"/>
    <mergeCell ref="E591:E593"/>
    <mergeCell ref="F591:F593"/>
    <mergeCell ref="G591:G593"/>
    <mergeCell ref="H591:H593"/>
    <mergeCell ref="I591:I593"/>
    <mergeCell ref="Y572:Y574"/>
    <mergeCell ref="Z572:Z574"/>
    <mergeCell ref="AA572:AA574"/>
    <mergeCell ref="AB572:AB574"/>
    <mergeCell ref="A583:AF583"/>
    <mergeCell ref="A585:AF585"/>
    <mergeCell ref="S572:S574"/>
    <mergeCell ref="T572:T574"/>
    <mergeCell ref="U572:U574"/>
    <mergeCell ref="V572:V574"/>
    <mergeCell ref="W572:W574"/>
    <mergeCell ref="X572:X574"/>
    <mergeCell ref="M572:M574"/>
    <mergeCell ref="N572:N574"/>
    <mergeCell ref="O572:O574"/>
    <mergeCell ref="P572:P574"/>
    <mergeCell ref="Q572:Q574"/>
    <mergeCell ref="R572:R574"/>
    <mergeCell ref="G572:G574"/>
    <mergeCell ref="H572:H574"/>
    <mergeCell ref="I572:I574"/>
    <mergeCell ref="J572:J574"/>
    <mergeCell ref="K572:K574"/>
    <mergeCell ref="L572:L574"/>
    <mergeCell ref="Y569:Y571"/>
    <mergeCell ref="Z569:Z571"/>
    <mergeCell ref="AA569:AA571"/>
    <mergeCell ref="AB569:AB571"/>
    <mergeCell ref="A572:A574"/>
    <mergeCell ref="B572:B574"/>
    <mergeCell ref="C572:C574"/>
    <mergeCell ref="D572:D574"/>
    <mergeCell ref="E572:E574"/>
    <mergeCell ref="F572:F574"/>
    <mergeCell ref="S569:S571"/>
    <mergeCell ref="T569:T571"/>
    <mergeCell ref="U569:U571"/>
    <mergeCell ref="V569:V571"/>
    <mergeCell ref="W569:W571"/>
    <mergeCell ref="X569:X571"/>
    <mergeCell ref="M569:M571"/>
    <mergeCell ref="N569:N571"/>
    <mergeCell ref="O569:O571"/>
    <mergeCell ref="P569:P571"/>
    <mergeCell ref="Q569:Q571"/>
    <mergeCell ref="R569:R571"/>
    <mergeCell ref="G569:G571"/>
    <mergeCell ref="H569:H571"/>
    <mergeCell ref="I569:I571"/>
    <mergeCell ref="J569:J571"/>
    <mergeCell ref="K569:K571"/>
    <mergeCell ref="L569:L571"/>
    <mergeCell ref="Y566:Y568"/>
    <mergeCell ref="Z566:Z568"/>
    <mergeCell ref="AA566:AA568"/>
    <mergeCell ref="AB566:AB568"/>
    <mergeCell ref="A569:A571"/>
    <mergeCell ref="B569:B571"/>
    <mergeCell ref="C569:C571"/>
    <mergeCell ref="D569:D571"/>
    <mergeCell ref="E569:E571"/>
    <mergeCell ref="F569:F571"/>
    <mergeCell ref="S566:S568"/>
    <mergeCell ref="T566:T568"/>
    <mergeCell ref="U566:U568"/>
    <mergeCell ref="V566:V568"/>
    <mergeCell ref="W566:W568"/>
    <mergeCell ref="X566:X568"/>
    <mergeCell ref="M566:M568"/>
    <mergeCell ref="N566:N568"/>
    <mergeCell ref="O566:O568"/>
    <mergeCell ref="P566:P568"/>
    <mergeCell ref="Q566:Q568"/>
    <mergeCell ref="R566:R568"/>
    <mergeCell ref="G566:G568"/>
    <mergeCell ref="H566:H568"/>
    <mergeCell ref="I566:I568"/>
    <mergeCell ref="J566:J568"/>
    <mergeCell ref="K566:K568"/>
    <mergeCell ref="L566:L568"/>
    <mergeCell ref="A566:A568"/>
    <mergeCell ref="B566:B568"/>
    <mergeCell ref="C566:C568"/>
    <mergeCell ref="D566:D568"/>
    <mergeCell ref="E566:E568"/>
    <mergeCell ref="F566:F568"/>
    <mergeCell ref="S563:S565"/>
    <mergeCell ref="T563:T565"/>
    <mergeCell ref="U563:U565"/>
    <mergeCell ref="V563:V565"/>
    <mergeCell ref="W563:W565"/>
    <mergeCell ref="X563:X565"/>
    <mergeCell ref="M563:M565"/>
    <mergeCell ref="N563:N565"/>
    <mergeCell ref="O563:O565"/>
    <mergeCell ref="P563:P565"/>
    <mergeCell ref="Q563:Q565"/>
    <mergeCell ref="R563:R565"/>
    <mergeCell ref="G563:G565"/>
    <mergeCell ref="H563:H565"/>
    <mergeCell ref="I563:I565"/>
    <mergeCell ref="J563:J565"/>
    <mergeCell ref="K563:K565"/>
    <mergeCell ref="L563:L565"/>
    <mergeCell ref="Y560:Y562"/>
    <mergeCell ref="Z560:Z562"/>
    <mergeCell ref="AA560:AA562"/>
    <mergeCell ref="AB560:AB562"/>
    <mergeCell ref="A563:A565"/>
    <mergeCell ref="B563:B565"/>
    <mergeCell ref="C563:C565"/>
    <mergeCell ref="D563:D565"/>
    <mergeCell ref="E563:E565"/>
    <mergeCell ref="F563:F565"/>
    <mergeCell ref="S560:S562"/>
    <mergeCell ref="T560:T562"/>
    <mergeCell ref="U560:U562"/>
    <mergeCell ref="V560:V562"/>
    <mergeCell ref="W560:W562"/>
    <mergeCell ref="X560:X562"/>
    <mergeCell ref="M560:M562"/>
    <mergeCell ref="N560:N562"/>
    <mergeCell ref="O560:O562"/>
    <mergeCell ref="P560:P562"/>
    <mergeCell ref="Q560:Q562"/>
    <mergeCell ref="R560:R562"/>
    <mergeCell ref="G560:G562"/>
    <mergeCell ref="H560:H562"/>
    <mergeCell ref="I560:I562"/>
    <mergeCell ref="J560:J562"/>
    <mergeCell ref="K560:K562"/>
    <mergeCell ref="L560:L562"/>
    <mergeCell ref="Y563:Y565"/>
    <mergeCell ref="Z563:Z565"/>
    <mergeCell ref="AA563:AA565"/>
    <mergeCell ref="AB563:AB565"/>
    <mergeCell ref="A560:A562"/>
    <mergeCell ref="B560:B562"/>
    <mergeCell ref="C560:C562"/>
    <mergeCell ref="D560:D562"/>
    <mergeCell ref="E560:E562"/>
    <mergeCell ref="F560:F562"/>
    <mergeCell ref="S557:S559"/>
    <mergeCell ref="T557:T559"/>
    <mergeCell ref="U557:U559"/>
    <mergeCell ref="V557:V559"/>
    <mergeCell ref="W557:W559"/>
    <mergeCell ref="X557:X559"/>
    <mergeCell ref="M557:M559"/>
    <mergeCell ref="N557:N559"/>
    <mergeCell ref="O557:O559"/>
    <mergeCell ref="P557:P559"/>
    <mergeCell ref="Q557:Q559"/>
    <mergeCell ref="R557:R559"/>
    <mergeCell ref="G557:G559"/>
    <mergeCell ref="H557:H559"/>
    <mergeCell ref="I557:I559"/>
    <mergeCell ref="J557:J559"/>
    <mergeCell ref="K557:K559"/>
    <mergeCell ref="L557:L559"/>
    <mergeCell ref="A549:AF549"/>
    <mergeCell ref="A551:AF551"/>
    <mergeCell ref="A552:AF552"/>
    <mergeCell ref="A557:A559"/>
    <mergeCell ref="B557:B559"/>
    <mergeCell ref="C557:C559"/>
    <mergeCell ref="D557:D559"/>
    <mergeCell ref="E557:E559"/>
    <mergeCell ref="F557:F559"/>
    <mergeCell ref="V538:V540"/>
    <mergeCell ref="W538:W540"/>
    <mergeCell ref="X538:X540"/>
    <mergeCell ref="Y538:Y540"/>
    <mergeCell ref="Z538:Z540"/>
    <mergeCell ref="AA538:AA540"/>
    <mergeCell ref="P538:P540"/>
    <mergeCell ref="Q538:Q540"/>
    <mergeCell ref="R538:R540"/>
    <mergeCell ref="S538:S540"/>
    <mergeCell ref="T538:T540"/>
    <mergeCell ref="U538:U540"/>
    <mergeCell ref="J538:J540"/>
    <mergeCell ref="K538:K540"/>
    <mergeCell ref="L538:L540"/>
    <mergeCell ref="M538:M540"/>
    <mergeCell ref="N538:N540"/>
    <mergeCell ref="O538:O540"/>
    <mergeCell ref="Y557:Y559"/>
    <mergeCell ref="Z557:Z559"/>
    <mergeCell ref="AA557:AA559"/>
    <mergeCell ref="AB557:AB559"/>
    <mergeCell ref="AB535:AB537"/>
    <mergeCell ref="A538:A540"/>
    <mergeCell ref="B538:B540"/>
    <mergeCell ref="C538:C540"/>
    <mergeCell ref="D538:D540"/>
    <mergeCell ref="E538:E540"/>
    <mergeCell ref="F538:F540"/>
    <mergeCell ref="G538:G540"/>
    <mergeCell ref="H538:H540"/>
    <mergeCell ref="I538:I540"/>
    <mergeCell ref="V535:V537"/>
    <mergeCell ref="W535:W537"/>
    <mergeCell ref="X535:X537"/>
    <mergeCell ref="Y535:Y537"/>
    <mergeCell ref="Z535:Z537"/>
    <mergeCell ref="AA535:AA537"/>
    <mergeCell ref="P535:P537"/>
    <mergeCell ref="Q535:Q537"/>
    <mergeCell ref="R535:R537"/>
    <mergeCell ref="S535:S537"/>
    <mergeCell ref="T535:T537"/>
    <mergeCell ref="U535:U537"/>
    <mergeCell ref="J535:J537"/>
    <mergeCell ref="K535:K537"/>
    <mergeCell ref="L535:L537"/>
    <mergeCell ref="M535:M537"/>
    <mergeCell ref="N535:N537"/>
    <mergeCell ref="O535:O537"/>
    <mergeCell ref="AB538:AB540"/>
    <mergeCell ref="A535:A537"/>
    <mergeCell ref="B535:B537"/>
    <mergeCell ref="C535:C537"/>
    <mergeCell ref="D535:D537"/>
    <mergeCell ref="E535:E537"/>
    <mergeCell ref="F535:F537"/>
    <mergeCell ref="G535:G537"/>
    <mergeCell ref="H535:H537"/>
    <mergeCell ref="I535:I537"/>
    <mergeCell ref="V532:V534"/>
    <mergeCell ref="W532:W534"/>
    <mergeCell ref="X532:X534"/>
    <mergeCell ref="Y532:Y534"/>
    <mergeCell ref="Z532:Z534"/>
    <mergeCell ref="AA532:AA534"/>
    <mergeCell ref="P532:P534"/>
    <mergeCell ref="Q532:Q534"/>
    <mergeCell ref="R532:R534"/>
    <mergeCell ref="S532:S534"/>
    <mergeCell ref="T532:T534"/>
    <mergeCell ref="U532:U534"/>
    <mergeCell ref="J532:J534"/>
    <mergeCell ref="K532:K534"/>
    <mergeCell ref="L532:L534"/>
    <mergeCell ref="M532:M534"/>
    <mergeCell ref="N532:N534"/>
    <mergeCell ref="O532:O534"/>
    <mergeCell ref="AB529:AB531"/>
    <mergeCell ref="A532:A534"/>
    <mergeCell ref="B532:B534"/>
    <mergeCell ref="C532:C534"/>
    <mergeCell ref="D532:D534"/>
    <mergeCell ref="E532:E534"/>
    <mergeCell ref="F532:F534"/>
    <mergeCell ref="G532:G534"/>
    <mergeCell ref="H532:H534"/>
    <mergeCell ref="I532:I534"/>
    <mergeCell ref="V529:V531"/>
    <mergeCell ref="W529:W531"/>
    <mergeCell ref="X529:X531"/>
    <mergeCell ref="Y529:Y531"/>
    <mergeCell ref="Z529:Z531"/>
    <mergeCell ref="AA529:AA531"/>
    <mergeCell ref="P529:P531"/>
    <mergeCell ref="Q529:Q531"/>
    <mergeCell ref="R529:R531"/>
    <mergeCell ref="S529:S531"/>
    <mergeCell ref="T529:T531"/>
    <mergeCell ref="U529:U531"/>
    <mergeCell ref="J529:J531"/>
    <mergeCell ref="K529:K531"/>
    <mergeCell ref="L529:L531"/>
    <mergeCell ref="M529:M531"/>
    <mergeCell ref="N529:N531"/>
    <mergeCell ref="O529:O531"/>
    <mergeCell ref="AB532:AB534"/>
    <mergeCell ref="A529:A531"/>
    <mergeCell ref="B529:B531"/>
    <mergeCell ref="C529:C531"/>
    <mergeCell ref="D529:D531"/>
    <mergeCell ref="E529:E531"/>
    <mergeCell ref="F529:F531"/>
    <mergeCell ref="G529:G531"/>
    <mergeCell ref="H529:H531"/>
    <mergeCell ref="I529:I531"/>
    <mergeCell ref="V526:V528"/>
    <mergeCell ref="W526:W528"/>
    <mergeCell ref="X526:X528"/>
    <mergeCell ref="Y526:Y528"/>
    <mergeCell ref="Z526:Z528"/>
    <mergeCell ref="AA526:AA528"/>
    <mergeCell ref="P526:P528"/>
    <mergeCell ref="Q526:Q528"/>
    <mergeCell ref="R526:R528"/>
    <mergeCell ref="S526:S528"/>
    <mergeCell ref="T526:T528"/>
    <mergeCell ref="U526:U528"/>
    <mergeCell ref="J526:J528"/>
    <mergeCell ref="K526:K528"/>
    <mergeCell ref="L526:L528"/>
    <mergeCell ref="M526:M528"/>
    <mergeCell ref="N526:N528"/>
    <mergeCell ref="O526:O528"/>
    <mergeCell ref="AB523:AB525"/>
    <mergeCell ref="A526:A528"/>
    <mergeCell ref="B526:B528"/>
    <mergeCell ref="C526:C528"/>
    <mergeCell ref="D526:D528"/>
    <mergeCell ref="E526:E528"/>
    <mergeCell ref="F526:F528"/>
    <mergeCell ref="G526:G528"/>
    <mergeCell ref="H526:H528"/>
    <mergeCell ref="I526:I528"/>
    <mergeCell ref="V523:V525"/>
    <mergeCell ref="W523:W525"/>
    <mergeCell ref="X523:X525"/>
    <mergeCell ref="Y523:Y525"/>
    <mergeCell ref="Z523:Z525"/>
    <mergeCell ref="AA523:AA525"/>
    <mergeCell ref="P523:P525"/>
    <mergeCell ref="Q523:Q525"/>
    <mergeCell ref="R523:R525"/>
    <mergeCell ref="S523:S525"/>
    <mergeCell ref="T523:T525"/>
    <mergeCell ref="U523:U525"/>
    <mergeCell ref="J523:J525"/>
    <mergeCell ref="K523:K525"/>
    <mergeCell ref="L523:L525"/>
    <mergeCell ref="M523:M525"/>
    <mergeCell ref="N523:N525"/>
    <mergeCell ref="O523:O525"/>
    <mergeCell ref="AB526:AB528"/>
    <mergeCell ref="A518:AF518"/>
    <mergeCell ref="A523:A525"/>
    <mergeCell ref="B523:B525"/>
    <mergeCell ref="C523:C525"/>
    <mergeCell ref="D523:D525"/>
    <mergeCell ref="E523:E525"/>
    <mergeCell ref="F523:F525"/>
    <mergeCell ref="G523:G525"/>
    <mergeCell ref="H523:H525"/>
    <mergeCell ref="I523:I525"/>
    <mergeCell ref="Y505:Y507"/>
    <mergeCell ref="Z505:Z507"/>
    <mergeCell ref="AA505:AA507"/>
    <mergeCell ref="AB505:AB507"/>
    <mergeCell ref="A515:AF515"/>
    <mergeCell ref="A517:AF517"/>
    <mergeCell ref="S505:S507"/>
    <mergeCell ref="T505:T507"/>
    <mergeCell ref="U505:U507"/>
    <mergeCell ref="V505:V507"/>
    <mergeCell ref="W505:W507"/>
    <mergeCell ref="X505:X507"/>
    <mergeCell ref="M505:M507"/>
    <mergeCell ref="N505:N507"/>
    <mergeCell ref="O505:O507"/>
    <mergeCell ref="P505:P507"/>
    <mergeCell ref="Q505:Q507"/>
    <mergeCell ref="R505:R507"/>
    <mergeCell ref="G505:G507"/>
    <mergeCell ref="H505:H507"/>
    <mergeCell ref="I505:I507"/>
    <mergeCell ref="J505:J507"/>
    <mergeCell ref="K505:K507"/>
    <mergeCell ref="L505:L507"/>
    <mergeCell ref="Y502:Y504"/>
    <mergeCell ref="Z502:Z504"/>
    <mergeCell ref="AA502:AA504"/>
    <mergeCell ref="AB502:AB504"/>
    <mergeCell ref="A505:A507"/>
    <mergeCell ref="B505:B507"/>
    <mergeCell ref="C505:C507"/>
    <mergeCell ref="D505:D507"/>
    <mergeCell ref="E505:E507"/>
    <mergeCell ref="F505:F507"/>
    <mergeCell ref="S502:S504"/>
    <mergeCell ref="T502:T504"/>
    <mergeCell ref="U502:U504"/>
    <mergeCell ref="V502:V504"/>
    <mergeCell ref="W502:W504"/>
    <mergeCell ref="X502:X504"/>
    <mergeCell ref="M502:M504"/>
    <mergeCell ref="N502:N504"/>
    <mergeCell ref="O502:O504"/>
    <mergeCell ref="P502:P504"/>
    <mergeCell ref="Q502:Q504"/>
    <mergeCell ref="R502:R504"/>
    <mergeCell ref="G502:G504"/>
    <mergeCell ref="H502:H504"/>
    <mergeCell ref="I502:I504"/>
    <mergeCell ref="J502:J504"/>
    <mergeCell ref="K502:K504"/>
    <mergeCell ref="L502:L504"/>
    <mergeCell ref="Y499:Y501"/>
    <mergeCell ref="Z499:Z501"/>
    <mergeCell ref="AA499:AA501"/>
    <mergeCell ref="AB499:AB501"/>
    <mergeCell ref="A502:A504"/>
    <mergeCell ref="B502:B504"/>
    <mergeCell ref="C502:C504"/>
    <mergeCell ref="D502:D504"/>
    <mergeCell ref="E502:E504"/>
    <mergeCell ref="F502:F504"/>
    <mergeCell ref="S499:S501"/>
    <mergeCell ref="T499:T501"/>
    <mergeCell ref="U499:U501"/>
    <mergeCell ref="V499:V501"/>
    <mergeCell ref="W499:W501"/>
    <mergeCell ref="X499:X501"/>
    <mergeCell ref="M499:M501"/>
    <mergeCell ref="N499:N501"/>
    <mergeCell ref="O499:O501"/>
    <mergeCell ref="P499:P501"/>
    <mergeCell ref="Q499:Q501"/>
    <mergeCell ref="R499:R501"/>
    <mergeCell ref="G499:G501"/>
    <mergeCell ref="H499:H501"/>
    <mergeCell ref="I499:I501"/>
    <mergeCell ref="J499:J501"/>
    <mergeCell ref="K499:K501"/>
    <mergeCell ref="L499:L501"/>
    <mergeCell ref="A499:A501"/>
    <mergeCell ref="B499:B501"/>
    <mergeCell ref="C499:C501"/>
    <mergeCell ref="D499:D501"/>
    <mergeCell ref="E499:E501"/>
    <mergeCell ref="F499:F501"/>
    <mergeCell ref="S496:S498"/>
    <mergeCell ref="T496:T498"/>
    <mergeCell ref="U496:U498"/>
    <mergeCell ref="V496:V498"/>
    <mergeCell ref="W496:W498"/>
    <mergeCell ref="X496:X498"/>
    <mergeCell ref="M496:M498"/>
    <mergeCell ref="N496:N498"/>
    <mergeCell ref="O496:O498"/>
    <mergeCell ref="P496:P498"/>
    <mergeCell ref="Q496:Q498"/>
    <mergeCell ref="R496:R498"/>
    <mergeCell ref="G496:G498"/>
    <mergeCell ref="H496:H498"/>
    <mergeCell ref="I496:I498"/>
    <mergeCell ref="J496:J498"/>
    <mergeCell ref="K496:K498"/>
    <mergeCell ref="L496:L498"/>
    <mergeCell ref="Y493:Y495"/>
    <mergeCell ref="Z493:Z495"/>
    <mergeCell ref="AA493:AA495"/>
    <mergeCell ref="AB493:AB495"/>
    <mergeCell ref="A496:A498"/>
    <mergeCell ref="B496:B498"/>
    <mergeCell ref="C496:C498"/>
    <mergeCell ref="D496:D498"/>
    <mergeCell ref="E496:E498"/>
    <mergeCell ref="F496:F498"/>
    <mergeCell ref="S493:S495"/>
    <mergeCell ref="T493:T495"/>
    <mergeCell ref="U493:U495"/>
    <mergeCell ref="V493:V495"/>
    <mergeCell ref="W493:W495"/>
    <mergeCell ref="X493:X495"/>
    <mergeCell ref="M493:M495"/>
    <mergeCell ref="N493:N495"/>
    <mergeCell ref="O493:O495"/>
    <mergeCell ref="P493:P495"/>
    <mergeCell ref="Q493:Q495"/>
    <mergeCell ref="R493:R495"/>
    <mergeCell ref="G493:G495"/>
    <mergeCell ref="H493:H495"/>
    <mergeCell ref="I493:I495"/>
    <mergeCell ref="J493:J495"/>
    <mergeCell ref="K493:K495"/>
    <mergeCell ref="L493:L495"/>
    <mergeCell ref="Y496:Y498"/>
    <mergeCell ref="Z496:Z498"/>
    <mergeCell ref="AA496:AA498"/>
    <mergeCell ref="AB496:AB498"/>
    <mergeCell ref="A493:A495"/>
    <mergeCell ref="B493:B495"/>
    <mergeCell ref="C493:C495"/>
    <mergeCell ref="D493:D495"/>
    <mergeCell ref="E493:E495"/>
    <mergeCell ref="F493:F495"/>
    <mergeCell ref="S490:S492"/>
    <mergeCell ref="T490:T492"/>
    <mergeCell ref="U490:U492"/>
    <mergeCell ref="V490:V492"/>
    <mergeCell ref="W490:W492"/>
    <mergeCell ref="X490:X492"/>
    <mergeCell ref="M490:M492"/>
    <mergeCell ref="N490:N492"/>
    <mergeCell ref="O490:O492"/>
    <mergeCell ref="P490:P492"/>
    <mergeCell ref="Q490:Q492"/>
    <mergeCell ref="R490:R492"/>
    <mergeCell ref="G490:G492"/>
    <mergeCell ref="H490:H492"/>
    <mergeCell ref="I490:I492"/>
    <mergeCell ref="J490:J492"/>
    <mergeCell ref="K490:K492"/>
    <mergeCell ref="L490:L492"/>
    <mergeCell ref="A482:AF482"/>
    <mergeCell ref="A484:AF484"/>
    <mergeCell ref="A485:AF485"/>
    <mergeCell ref="A490:A492"/>
    <mergeCell ref="B490:B492"/>
    <mergeCell ref="C490:C492"/>
    <mergeCell ref="D490:D492"/>
    <mergeCell ref="E490:E492"/>
    <mergeCell ref="F490:F492"/>
    <mergeCell ref="V473:V475"/>
    <mergeCell ref="W473:W475"/>
    <mergeCell ref="X473:X475"/>
    <mergeCell ref="Y473:Y475"/>
    <mergeCell ref="Z473:Z475"/>
    <mergeCell ref="AA473:AA475"/>
    <mergeCell ref="P473:P475"/>
    <mergeCell ref="Q473:Q475"/>
    <mergeCell ref="R473:R475"/>
    <mergeCell ref="S473:S475"/>
    <mergeCell ref="T473:T475"/>
    <mergeCell ref="U473:U475"/>
    <mergeCell ref="J473:J475"/>
    <mergeCell ref="K473:K475"/>
    <mergeCell ref="L473:L475"/>
    <mergeCell ref="M473:M475"/>
    <mergeCell ref="N473:N475"/>
    <mergeCell ref="O473:O475"/>
    <mergeCell ref="Y490:Y492"/>
    <mergeCell ref="Z490:Z492"/>
    <mergeCell ref="AA490:AA492"/>
    <mergeCell ref="AB490:AB492"/>
    <mergeCell ref="AB470:AB472"/>
    <mergeCell ref="A473:A475"/>
    <mergeCell ref="B473:B475"/>
    <mergeCell ref="C473:C475"/>
    <mergeCell ref="D473:D475"/>
    <mergeCell ref="E473:E475"/>
    <mergeCell ref="F473:F475"/>
    <mergeCell ref="G473:G475"/>
    <mergeCell ref="H473:H475"/>
    <mergeCell ref="I473:I475"/>
    <mergeCell ref="V470:V472"/>
    <mergeCell ref="W470:W472"/>
    <mergeCell ref="X470:X472"/>
    <mergeCell ref="Y470:Y472"/>
    <mergeCell ref="Z470:Z472"/>
    <mergeCell ref="AA470:AA472"/>
    <mergeCell ref="P470:P472"/>
    <mergeCell ref="Q470:Q472"/>
    <mergeCell ref="R470:R472"/>
    <mergeCell ref="S470:S472"/>
    <mergeCell ref="T470:T472"/>
    <mergeCell ref="U470:U472"/>
    <mergeCell ref="J470:J472"/>
    <mergeCell ref="K470:K472"/>
    <mergeCell ref="L470:L472"/>
    <mergeCell ref="M470:M472"/>
    <mergeCell ref="N470:N472"/>
    <mergeCell ref="O470:O472"/>
    <mergeCell ref="AB473:AB475"/>
    <mergeCell ref="A470:A472"/>
    <mergeCell ref="B470:B472"/>
    <mergeCell ref="C470:C472"/>
    <mergeCell ref="D470:D472"/>
    <mergeCell ref="E470:E472"/>
    <mergeCell ref="F470:F472"/>
    <mergeCell ref="G470:G472"/>
    <mergeCell ref="H470:H472"/>
    <mergeCell ref="I470:I472"/>
    <mergeCell ref="V467:V469"/>
    <mergeCell ref="W467:W469"/>
    <mergeCell ref="X467:X469"/>
    <mergeCell ref="Y467:Y469"/>
    <mergeCell ref="Z467:Z469"/>
    <mergeCell ref="AA467:AA469"/>
    <mergeCell ref="P467:P469"/>
    <mergeCell ref="Q467:Q469"/>
    <mergeCell ref="R467:R469"/>
    <mergeCell ref="S467:S469"/>
    <mergeCell ref="T467:T469"/>
    <mergeCell ref="U467:U469"/>
    <mergeCell ref="J467:J469"/>
    <mergeCell ref="K467:K469"/>
    <mergeCell ref="L467:L469"/>
    <mergeCell ref="M467:M469"/>
    <mergeCell ref="N467:N469"/>
    <mergeCell ref="O467:O469"/>
    <mergeCell ref="AB464:AB466"/>
    <mergeCell ref="A467:A469"/>
    <mergeCell ref="B467:B469"/>
    <mergeCell ref="C467:C469"/>
    <mergeCell ref="D467:D469"/>
    <mergeCell ref="E467:E469"/>
    <mergeCell ref="F467:F469"/>
    <mergeCell ref="G467:G469"/>
    <mergeCell ref="H467:H469"/>
    <mergeCell ref="I467:I469"/>
    <mergeCell ref="V464:V466"/>
    <mergeCell ref="W464:W466"/>
    <mergeCell ref="X464:X466"/>
    <mergeCell ref="Y464:Y466"/>
    <mergeCell ref="Z464:Z466"/>
    <mergeCell ref="AA464:AA466"/>
    <mergeCell ref="P464:P466"/>
    <mergeCell ref="Q464:Q466"/>
    <mergeCell ref="R464:R466"/>
    <mergeCell ref="S464:S466"/>
    <mergeCell ref="T464:T466"/>
    <mergeCell ref="U464:U466"/>
    <mergeCell ref="J464:J466"/>
    <mergeCell ref="K464:K466"/>
    <mergeCell ref="L464:L466"/>
    <mergeCell ref="M464:M466"/>
    <mergeCell ref="N464:N466"/>
    <mergeCell ref="O464:O466"/>
    <mergeCell ref="AB467:AB469"/>
    <mergeCell ref="A464:A466"/>
    <mergeCell ref="B464:B466"/>
    <mergeCell ref="C464:C466"/>
    <mergeCell ref="D464:D466"/>
    <mergeCell ref="E464:E466"/>
    <mergeCell ref="F464:F466"/>
    <mergeCell ref="G464:G466"/>
    <mergeCell ref="H464:H466"/>
    <mergeCell ref="I464:I466"/>
    <mergeCell ref="V461:V463"/>
    <mergeCell ref="W461:W463"/>
    <mergeCell ref="X461:X463"/>
    <mergeCell ref="Y461:Y463"/>
    <mergeCell ref="Z461:Z463"/>
    <mergeCell ref="AA461:AA463"/>
    <mergeCell ref="P461:P463"/>
    <mergeCell ref="Q461:Q463"/>
    <mergeCell ref="R461:R463"/>
    <mergeCell ref="S461:S463"/>
    <mergeCell ref="T461:T463"/>
    <mergeCell ref="U461:U463"/>
    <mergeCell ref="J461:J463"/>
    <mergeCell ref="K461:K463"/>
    <mergeCell ref="L461:L463"/>
    <mergeCell ref="M461:M463"/>
    <mergeCell ref="N461:N463"/>
    <mergeCell ref="O461:O463"/>
    <mergeCell ref="AB458:AB460"/>
    <mergeCell ref="A461:A463"/>
    <mergeCell ref="B461:B463"/>
    <mergeCell ref="C461:C463"/>
    <mergeCell ref="D461:D463"/>
    <mergeCell ref="E461:E463"/>
    <mergeCell ref="F461:F463"/>
    <mergeCell ref="G461:G463"/>
    <mergeCell ref="H461:H463"/>
    <mergeCell ref="I461:I463"/>
    <mergeCell ref="V458:V460"/>
    <mergeCell ref="W458:W460"/>
    <mergeCell ref="X458:X460"/>
    <mergeCell ref="Y458:Y460"/>
    <mergeCell ref="Z458:Z460"/>
    <mergeCell ref="AA458:AA460"/>
    <mergeCell ref="P458:P460"/>
    <mergeCell ref="Q458:Q460"/>
    <mergeCell ref="R458:R460"/>
    <mergeCell ref="S458:S460"/>
    <mergeCell ref="T458:T460"/>
    <mergeCell ref="U458:U460"/>
    <mergeCell ref="J458:J460"/>
    <mergeCell ref="K458:K460"/>
    <mergeCell ref="L458:L460"/>
    <mergeCell ref="M458:M460"/>
    <mergeCell ref="N458:N460"/>
    <mergeCell ref="O458:O460"/>
    <mergeCell ref="AB461:AB463"/>
    <mergeCell ref="A453:AF453"/>
    <mergeCell ref="A458:A460"/>
    <mergeCell ref="B458:B460"/>
    <mergeCell ref="C458:C460"/>
    <mergeCell ref="D458:D460"/>
    <mergeCell ref="E458:E460"/>
    <mergeCell ref="F458:F460"/>
    <mergeCell ref="G458:G460"/>
    <mergeCell ref="H458:H460"/>
    <mergeCell ref="I458:I460"/>
    <mergeCell ref="Y441:Y443"/>
    <mergeCell ref="Z441:Z443"/>
    <mergeCell ref="AA441:AA443"/>
    <mergeCell ref="AB441:AB443"/>
    <mergeCell ref="A450:AF450"/>
    <mergeCell ref="A452:AF452"/>
    <mergeCell ref="S441:S443"/>
    <mergeCell ref="T441:T443"/>
    <mergeCell ref="U441:U443"/>
    <mergeCell ref="V441:V443"/>
    <mergeCell ref="W441:W443"/>
    <mergeCell ref="X441:X443"/>
    <mergeCell ref="M441:M443"/>
    <mergeCell ref="N441:N443"/>
    <mergeCell ref="O441:O443"/>
    <mergeCell ref="P441:P443"/>
    <mergeCell ref="Q441:Q443"/>
    <mergeCell ref="R441:R443"/>
    <mergeCell ref="G441:G443"/>
    <mergeCell ref="H441:H443"/>
    <mergeCell ref="I441:I443"/>
    <mergeCell ref="J441:J443"/>
    <mergeCell ref="K441:K443"/>
    <mergeCell ref="L441:L443"/>
    <mergeCell ref="Y438:Y440"/>
    <mergeCell ref="Z438:Z440"/>
    <mergeCell ref="AA438:AA440"/>
    <mergeCell ref="AB438:AB440"/>
    <mergeCell ref="A441:A443"/>
    <mergeCell ref="B441:B443"/>
    <mergeCell ref="C441:C443"/>
    <mergeCell ref="D441:D443"/>
    <mergeCell ref="E441:E443"/>
    <mergeCell ref="F441:F443"/>
    <mergeCell ref="S438:S440"/>
    <mergeCell ref="T438:T440"/>
    <mergeCell ref="U438:U440"/>
    <mergeCell ref="V438:V440"/>
    <mergeCell ref="W438:W440"/>
    <mergeCell ref="X438:X440"/>
    <mergeCell ref="M438:M440"/>
    <mergeCell ref="N438:N440"/>
    <mergeCell ref="O438:O440"/>
    <mergeCell ref="P438:P440"/>
    <mergeCell ref="Q438:Q440"/>
    <mergeCell ref="R438:R440"/>
    <mergeCell ref="G438:G440"/>
    <mergeCell ref="H438:H440"/>
    <mergeCell ref="I438:I440"/>
    <mergeCell ref="J438:J440"/>
    <mergeCell ref="K438:K440"/>
    <mergeCell ref="L438:L440"/>
    <mergeCell ref="Y435:Y437"/>
    <mergeCell ref="Z435:Z437"/>
    <mergeCell ref="AA435:AA437"/>
    <mergeCell ref="AB435:AB437"/>
    <mergeCell ref="A438:A440"/>
    <mergeCell ref="B438:B440"/>
    <mergeCell ref="C438:C440"/>
    <mergeCell ref="D438:D440"/>
    <mergeCell ref="E438:E440"/>
    <mergeCell ref="F438:F440"/>
    <mergeCell ref="S435:S437"/>
    <mergeCell ref="T435:T437"/>
    <mergeCell ref="U435:U437"/>
    <mergeCell ref="V435:V437"/>
    <mergeCell ref="W435:W437"/>
    <mergeCell ref="X435:X437"/>
    <mergeCell ref="M435:M437"/>
    <mergeCell ref="N435:N437"/>
    <mergeCell ref="O435:O437"/>
    <mergeCell ref="P435:P437"/>
    <mergeCell ref="Q435:Q437"/>
    <mergeCell ref="R435:R437"/>
    <mergeCell ref="G435:G437"/>
    <mergeCell ref="H435:H437"/>
    <mergeCell ref="I435:I437"/>
    <mergeCell ref="J435:J437"/>
    <mergeCell ref="K435:K437"/>
    <mergeCell ref="L435:L437"/>
    <mergeCell ref="A435:A437"/>
    <mergeCell ref="B435:B437"/>
    <mergeCell ref="C435:C437"/>
    <mergeCell ref="D435:D437"/>
    <mergeCell ref="E435:E437"/>
    <mergeCell ref="F435:F437"/>
    <mergeCell ref="S432:S434"/>
    <mergeCell ref="T432:T434"/>
    <mergeCell ref="U432:U434"/>
    <mergeCell ref="V432:V434"/>
    <mergeCell ref="W432:W434"/>
    <mergeCell ref="X432:X434"/>
    <mergeCell ref="M432:M434"/>
    <mergeCell ref="N432:N434"/>
    <mergeCell ref="O432:O434"/>
    <mergeCell ref="P432:P434"/>
    <mergeCell ref="Q432:Q434"/>
    <mergeCell ref="R432:R434"/>
    <mergeCell ref="G432:G434"/>
    <mergeCell ref="H432:H434"/>
    <mergeCell ref="I432:I434"/>
    <mergeCell ref="J432:J434"/>
    <mergeCell ref="K432:K434"/>
    <mergeCell ref="L432:L434"/>
    <mergeCell ref="Y429:Y431"/>
    <mergeCell ref="Z429:Z431"/>
    <mergeCell ref="AA429:AA431"/>
    <mergeCell ref="AB429:AB431"/>
    <mergeCell ref="A432:A434"/>
    <mergeCell ref="B432:B434"/>
    <mergeCell ref="C432:C434"/>
    <mergeCell ref="D432:D434"/>
    <mergeCell ref="E432:E434"/>
    <mergeCell ref="F432:F434"/>
    <mergeCell ref="S429:S431"/>
    <mergeCell ref="T429:T431"/>
    <mergeCell ref="U429:U431"/>
    <mergeCell ref="V429:V431"/>
    <mergeCell ref="W429:W431"/>
    <mergeCell ref="X429:X431"/>
    <mergeCell ref="M429:M431"/>
    <mergeCell ref="N429:N431"/>
    <mergeCell ref="O429:O431"/>
    <mergeCell ref="P429:P431"/>
    <mergeCell ref="Q429:Q431"/>
    <mergeCell ref="R429:R431"/>
    <mergeCell ref="G429:G431"/>
    <mergeCell ref="H429:H431"/>
    <mergeCell ref="I429:I431"/>
    <mergeCell ref="J429:J431"/>
    <mergeCell ref="K429:K431"/>
    <mergeCell ref="L429:L431"/>
    <mergeCell ref="Y432:Y434"/>
    <mergeCell ref="Z432:Z434"/>
    <mergeCell ref="AA432:AA434"/>
    <mergeCell ref="AB432:AB434"/>
    <mergeCell ref="A429:A431"/>
    <mergeCell ref="B429:B431"/>
    <mergeCell ref="C429:C431"/>
    <mergeCell ref="D429:D431"/>
    <mergeCell ref="E429:E431"/>
    <mergeCell ref="F429:F431"/>
    <mergeCell ref="S426:S428"/>
    <mergeCell ref="T426:T428"/>
    <mergeCell ref="U426:U428"/>
    <mergeCell ref="V426:V428"/>
    <mergeCell ref="W426:W428"/>
    <mergeCell ref="X426:X428"/>
    <mergeCell ref="M426:M428"/>
    <mergeCell ref="N426:N428"/>
    <mergeCell ref="O426:O428"/>
    <mergeCell ref="P426:P428"/>
    <mergeCell ref="Q426:Q428"/>
    <mergeCell ref="R426:R428"/>
    <mergeCell ref="G426:G428"/>
    <mergeCell ref="H426:H428"/>
    <mergeCell ref="I426:I428"/>
    <mergeCell ref="J426:J428"/>
    <mergeCell ref="K426:K428"/>
    <mergeCell ref="L426:L428"/>
    <mergeCell ref="A418:AF418"/>
    <mergeCell ref="A420:AF420"/>
    <mergeCell ref="A421:AF421"/>
    <mergeCell ref="A426:A428"/>
    <mergeCell ref="B426:B428"/>
    <mergeCell ref="C426:C428"/>
    <mergeCell ref="D426:D428"/>
    <mergeCell ref="E426:E428"/>
    <mergeCell ref="F426:F428"/>
    <mergeCell ref="V409:V411"/>
    <mergeCell ref="W409:W411"/>
    <mergeCell ref="X409:X411"/>
    <mergeCell ref="Y409:Y411"/>
    <mergeCell ref="Z409:Z411"/>
    <mergeCell ref="AA409:AA411"/>
    <mergeCell ref="P409:P411"/>
    <mergeCell ref="Q409:Q411"/>
    <mergeCell ref="R409:R411"/>
    <mergeCell ref="S409:S411"/>
    <mergeCell ref="T409:T411"/>
    <mergeCell ref="U409:U411"/>
    <mergeCell ref="J409:J411"/>
    <mergeCell ref="K409:K411"/>
    <mergeCell ref="L409:L411"/>
    <mergeCell ref="M409:M411"/>
    <mergeCell ref="N409:N411"/>
    <mergeCell ref="O409:O411"/>
    <mergeCell ref="Y426:Y428"/>
    <mergeCell ref="Z426:Z428"/>
    <mergeCell ref="AA426:AA428"/>
    <mergeCell ref="AB426:AB428"/>
    <mergeCell ref="AB406:AB408"/>
    <mergeCell ref="A409:A411"/>
    <mergeCell ref="B409:B411"/>
    <mergeCell ref="C409:C411"/>
    <mergeCell ref="D409:D411"/>
    <mergeCell ref="E409:E411"/>
    <mergeCell ref="F409:F411"/>
    <mergeCell ref="G409:G411"/>
    <mergeCell ref="H409:H411"/>
    <mergeCell ref="I409:I411"/>
    <mergeCell ref="V406:V408"/>
    <mergeCell ref="W406:W408"/>
    <mergeCell ref="X406:X408"/>
    <mergeCell ref="Y406:Y408"/>
    <mergeCell ref="Z406:Z408"/>
    <mergeCell ref="AA406:AA408"/>
    <mergeCell ref="P406:P408"/>
    <mergeCell ref="Q406:Q408"/>
    <mergeCell ref="R406:R408"/>
    <mergeCell ref="S406:S408"/>
    <mergeCell ref="T406:T408"/>
    <mergeCell ref="U406:U408"/>
    <mergeCell ref="J406:J408"/>
    <mergeCell ref="K406:K408"/>
    <mergeCell ref="L406:L408"/>
    <mergeCell ref="M406:M408"/>
    <mergeCell ref="N406:N408"/>
    <mergeCell ref="O406:O408"/>
    <mergeCell ref="AB409:AB411"/>
    <mergeCell ref="A406:A408"/>
    <mergeCell ref="B406:B408"/>
    <mergeCell ref="C406:C408"/>
    <mergeCell ref="D406:D408"/>
    <mergeCell ref="E406:E408"/>
    <mergeCell ref="F406:F408"/>
    <mergeCell ref="G406:G408"/>
    <mergeCell ref="H406:H408"/>
    <mergeCell ref="I406:I408"/>
    <mergeCell ref="V403:V405"/>
    <mergeCell ref="W403:W405"/>
    <mergeCell ref="X403:X405"/>
    <mergeCell ref="Y403:Y405"/>
    <mergeCell ref="Z403:Z405"/>
    <mergeCell ref="AA403:AA405"/>
    <mergeCell ref="P403:P405"/>
    <mergeCell ref="Q403:Q405"/>
    <mergeCell ref="R403:R405"/>
    <mergeCell ref="S403:S405"/>
    <mergeCell ref="T403:T405"/>
    <mergeCell ref="U403:U405"/>
    <mergeCell ref="J403:J405"/>
    <mergeCell ref="K403:K405"/>
    <mergeCell ref="L403:L405"/>
    <mergeCell ref="M403:M405"/>
    <mergeCell ref="N403:N405"/>
    <mergeCell ref="O403:O405"/>
    <mergeCell ref="AB400:AB402"/>
    <mergeCell ref="A403:A405"/>
    <mergeCell ref="B403:B405"/>
    <mergeCell ref="C403:C405"/>
    <mergeCell ref="D403:D405"/>
    <mergeCell ref="E403:E405"/>
    <mergeCell ref="F403:F405"/>
    <mergeCell ref="G403:G405"/>
    <mergeCell ref="H403:H405"/>
    <mergeCell ref="I403:I405"/>
    <mergeCell ref="V400:V402"/>
    <mergeCell ref="W400:W402"/>
    <mergeCell ref="X400:X402"/>
    <mergeCell ref="Y400:Y402"/>
    <mergeCell ref="Z400:Z402"/>
    <mergeCell ref="AA400:AA402"/>
    <mergeCell ref="P400:P402"/>
    <mergeCell ref="Q400:Q402"/>
    <mergeCell ref="R400:R402"/>
    <mergeCell ref="S400:S402"/>
    <mergeCell ref="T400:T402"/>
    <mergeCell ref="U400:U402"/>
    <mergeCell ref="J400:J402"/>
    <mergeCell ref="K400:K402"/>
    <mergeCell ref="L400:L402"/>
    <mergeCell ref="M400:M402"/>
    <mergeCell ref="N400:N402"/>
    <mergeCell ref="O400:O402"/>
    <mergeCell ref="AB403:AB405"/>
    <mergeCell ref="A400:A402"/>
    <mergeCell ref="B400:B402"/>
    <mergeCell ref="C400:C402"/>
    <mergeCell ref="D400:D402"/>
    <mergeCell ref="E400:E402"/>
    <mergeCell ref="F400:F402"/>
    <mergeCell ref="G400:G402"/>
    <mergeCell ref="H400:H402"/>
    <mergeCell ref="I400:I402"/>
    <mergeCell ref="V397:V399"/>
    <mergeCell ref="W397:W399"/>
    <mergeCell ref="X397:X399"/>
    <mergeCell ref="Y397:Y399"/>
    <mergeCell ref="Z397:Z399"/>
    <mergeCell ref="AA397:AA399"/>
    <mergeCell ref="P397:P399"/>
    <mergeCell ref="Q397:Q399"/>
    <mergeCell ref="R397:R399"/>
    <mergeCell ref="S397:S399"/>
    <mergeCell ref="T397:T399"/>
    <mergeCell ref="U397:U399"/>
    <mergeCell ref="J397:J399"/>
    <mergeCell ref="K397:K399"/>
    <mergeCell ref="L397:L399"/>
    <mergeCell ref="M397:M399"/>
    <mergeCell ref="N397:N399"/>
    <mergeCell ref="O397:O399"/>
    <mergeCell ref="AB394:AB396"/>
    <mergeCell ref="A397:A399"/>
    <mergeCell ref="B397:B399"/>
    <mergeCell ref="C397:C399"/>
    <mergeCell ref="D397:D399"/>
    <mergeCell ref="E397:E399"/>
    <mergeCell ref="F397:F399"/>
    <mergeCell ref="G397:G399"/>
    <mergeCell ref="H397:H399"/>
    <mergeCell ref="I397:I399"/>
    <mergeCell ref="V394:V396"/>
    <mergeCell ref="W394:W396"/>
    <mergeCell ref="X394:X396"/>
    <mergeCell ref="Y394:Y396"/>
    <mergeCell ref="Z394:Z396"/>
    <mergeCell ref="AA394:AA396"/>
    <mergeCell ref="P394:P396"/>
    <mergeCell ref="Q394:Q396"/>
    <mergeCell ref="R394:R396"/>
    <mergeCell ref="S394:S396"/>
    <mergeCell ref="T394:T396"/>
    <mergeCell ref="U394:U396"/>
    <mergeCell ref="J394:J396"/>
    <mergeCell ref="K394:K396"/>
    <mergeCell ref="L394:L396"/>
    <mergeCell ref="M394:M396"/>
    <mergeCell ref="N394:N396"/>
    <mergeCell ref="O394:O396"/>
    <mergeCell ref="AB397:AB399"/>
    <mergeCell ref="A389:AF389"/>
    <mergeCell ref="A394:A396"/>
    <mergeCell ref="B394:B396"/>
    <mergeCell ref="C394:C396"/>
    <mergeCell ref="D394:D396"/>
    <mergeCell ref="E394:E396"/>
    <mergeCell ref="F394:F396"/>
    <mergeCell ref="G394:G396"/>
    <mergeCell ref="H394:H396"/>
    <mergeCell ref="I394:I396"/>
    <mergeCell ref="Y377:Y379"/>
    <mergeCell ref="Z377:Z379"/>
    <mergeCell ref="AA377:AA379"/>
    <mergeCell ref="AB377:AB379"/>
    <mergeCell ref="A386:AF386"/>
    <mergeCell ref="A388:AF388"/>
    <mergeCell ref="S377:S379"/>
    <mergeCell ref="T377:T379"/>
    <mergeCell ref="U377:U379"/>
    <mergeCell ref="V377:V379"/>
    <mergeCell ref="W377:W379"/>
    <mergeCell ref="X377:X379"/>
    <mergeCell ref="M377:M379"/>
    <mergeCell ref="N377:N379"/>
    <mergeCell ref="O377:O379"/>
    <mergeCell ref="P377:P379"/>
    <mergeCell ref="Q377:Q379"/>
    <mergeCell ref="R377:R379"/>
    <mergeCell ref="G377:G379"/>
    <mergeCell ref="H377:H379"/>
    <mergeCell ref="I377:I379"/>
    <mergeCell ref="J377:J379"/>
    <mergeCell ref="K377:K379"/>
    <mergeCell ref="L377:L379"/>
    <mergeCell ref="Y374:Y376"/>
    <mergeCell ref="Z374:Z376"/>
    <mergeCell ref="AA374:AA376"/>
    <mergeCell ref="AB374:AB376"/>
    <mergeCell ref="A377:A379"/>
    <mergeCell ref="B377:B379"/>
    <mergeCell ref="C377:C379"/>
    <mergeCell ref="D377:D379"/>
    <mergeCell ref="E377:E379"/>
    <mergeCell ref="F377:F379"/>
    <mergeCell ref="S374:S376"/>
    <mergeCell ref="T374:T376"/>
    <mergeCell ref="U374:U376"/>
    <mergeCell ref="V374:V376"/>
    <mergeCell ref="W374:W376"/>
    <mergeCell ref="X374:X376"/>
    <mergeCell ref="M374:M376"/>
    <mergeCell ref="N374:N376"/>
    <mergeCell ref="O374:O376"/>
    <mergeCell ref="P374:P376"/>
    <mergeCell ref="Q374:Q376"/>
    <mergeCell ref="R374:R376"/>
    <mergeCell ref="G374:G376"/>
    <mergeCell ref="H374:H376"/>
    <mergeCell ref="I374:I376"/>
    <mergeCell ref="J374:J376"/>
    <mergeCell ref="K374:K376"/>
    <mergeCell ref="L374:L376"/>
    <mergeCell ref="Y371:Y373"/>
    <mergeCell ref="Z371:Z373"/>
    <mergeCell ref="AA371:AA373"/>
    <mergeCell ref="AB371:AB373"/>
    <mergeCell ref="A374:A376"/>
    <mergeCell ref="B374:B376"/>
    <mergeCell ref="C374:C376"/>
    <mergeCell ref="D374:D376"/>
    <mergeCell ref="E374:E376"/>
    <mergeCell ref="F374:F376"/>
    <mergeCell ref="S371:S373"/>
    <mergeCell ref="T371:T373"/>
    <mergeCell ref="U371:U373"/>
    <mergeCell ref="V371:V373"/>
    <mergeCell ref="W371:W373"/>
    <mergeCell ref="X371:X373"/>
    <mergeCell ref="M371:M373"/>
    <mergeCell ref="N371:N373"/>
    <mergeCell ref="O371:O373"/>
    <mergeCell ref="P371:P373"/>
    <mergeCell ref="Q371:Q373"/>
    <mergeCell ref="R371:R373"/>
    <mergeCell ref="G371:G373"/>
    <mergeCell ref="H371:H373"/>
    <mergeCell ref="I371:I373"/>
    <mergeCell ref="J371:J373"/>
    <mergeCell ref="K371:K373"/>
    <mergeCell ref="L371:L373"/>
    <mergeCell ref="A371:A373"/>
    <mergeCell ref="B371:B373"/>
    <mergeCell ref="C371:C373"/>
    <mergeCell ref="D371:D373"/>
    <mergeCell ref="E371:E373"/>
    <mergeCell ref="F371:F373"/>
    <mergeCell ref="S368:S370"/>
    <mergeCell ref="T368:T370"/>
    <mergeCell ref="U368:U370"/>
    <mergeCell ref="V368:V370"/>
    <mergeCell ref="W368:W370"/>
    <mergeCell ref="X368:X370"/>
    <mergeCell ref="M368:M370"/>
    <mergeCell ref="N368:N370"/>
    <mergeCell ref="O368:O370"/>
    <mergeCell ref="P368:P370"/>
    <mergeCell ref="Q368:Q370"/>
    <mergeCell ref="R368:R370"/>
    <mergeCell ref="G368:G370"/>
    <mergeCell ref="H368:H370"/>
    <mergeCell ref="I368:I370"/>
    <mergeCell ref="J368:J370"/>
    <mergeCell ref="K368:K370"/>
    <mergeCell ref="L368:L370"/>
    <mergeCell ref="Y365:Y367"/>
    <mergeCell ref="Z365:Z367"/>
    <mergeCell ref="AA365:AA367"/>
    <mergeCell ref="AB365:AB367"/>
    <mergeCell ref="A368:A370"/>
    <mergeCell ref="B368:B370"/>
    <mergeCell ref="C368:C370"/>
    <mergeCell ref="D368:D370"/>
    <mergeCell ref="E368:E370"/>
    <mergeCell ref="F368:F370"/>
    <mergeCell ref="S365:S367"/>
    <mergeCell ref="T365:T367"/>
    <mergeCell ref="U365:U367"/>
    <mergeCell ref="V365:V367"/>
    <mergeCell ref="W365:W367"/>
    <mergeCell ref="X365:X367"/>
    <mergeCell ref="M365:M367"/>
    <mergeCell ref="N365:N367"/>
    <mergeCell ref="O365:O367"/>
    <mergeCell ref="P365:P367"/>
    <mergeCell ref="Q365:Q367"/>
    <mergeCell ref="R365:R367"/>
    <mergeCell ref="G365:G367"/>
    <mergeCell ref="H365:H367"/>
    <mergeCell ref="I365:I367"/>
    <mergeCell ref="J365:J367"/>
    <mergeCell ref="K365:K367"/>
    <mergeCell ref="L365:L367"/>
    <mergeCell ref="Y368:Y370"/>
    <mergeCell ref="Z368:Z370"/>
    <mergeCell ref="AA368:AA370"/>
    <mergeCell ref="AB368:AB370"/>
    <mergeCell ref="A365:A367"/>
    <mergeCell ref="B365:B367"/>
    <mergeCell ref="C365:C367"/>
    <mergeCell ref="D365:D367"/>
    <mergeCell ref="E365:E367"/>
    <mergeCell ref="F365:F367"/>
    <mergeCell ref="S362:S364"/>
    <mergeCell ref="T362:T364"/>
    <mergeCell ref="U362:U364"/>
    <mergeCell ref="V362:V364"/>
    <mergeCell ref="W362:W364"/>
    <mergeCell ref="X362:X364"/>
    <mergeCell ref="M362:M364"/>
    <mergeCell ref="N362:N364"/>
    <mergeCell ref="O362:O364"/>
    <mergeCell ref="P362:P364"/>
    <mergeCell ref="Q362:Q364"/>
    <mergeCell ref="R362:R364"/>
    <mergeCell ref="G362:G364"/>
    <mergeCell ref="H362:H364"/>
    <mergeCell ref="I362:I364"/>
    <mergeCell ref="J362:J364"/>
    <mergeCell ref="K362:K364"/>
    <mergeCell ref="L362:L364"/>
    <mergeCell ref="A354:AF354"/>
    <mergeCell ref="A356:AF356"/>
    <mergeCell ref="A357:AF357"/>
    <mergeCell ref="A362:A364"/>
    <mergeCell ref="B362:B364"/>
    <mergeCell ref="C362:C364"/>
    <mergeCell ref="D362:D364"/>
    <mergeCell ref="E362:E364"/>
    <mergeCell ref="F362:F364"/>
    <mergeCell ref="V345:V347"/>
    <mergeCell ref="W345:W347"/>
    <mergeCell ref="X345:X347"/>
    <mergeCell ref="Y345:Y347"/>
    <mergeCell ref="Z345:Z347"/>
    <mergeCell ref="AA345:AA347"/>
    <mergeCell ref="P345:P347"/>
    <mergeCell ref="Q345:Q347"/>
    <mergeCell ref="R345:R347"/>
    <mergeCell ref="S345:S347"/>
    <mergeCell ref="T345:T347"/>
    <mergeCell ref="U345:U347"/>
    <mergeCell ref="J345:J347"/>
    <mergeCell ref="K345:K347"/>
    <mergeCell ref="L345:L347"/>
    <mergeCell ref="M345:M347"/>
    <mergeCell ref="N345:N347"/>
    <mergeCell ref="O345:O347"/>
    <mergeCell ref="Y362:Y364"/>
    <mergeCell ref="Z362:Z364"/>
    <mergeCell ref="AA362:AA364"/>
    <mergeCell ref="AB362:AB364"/>
    <mergeCell ref="AB342:AB344"/>
    <mergeCell ref="A345:A347"/>
    <mergeCell ref="B345:B347"/>
    <mergeCell ref="C345:C347"/>
    <mergeCell ref="D345:D347"/>
    <mergeCell ref="E345:E347"/>
    <mergeCell ref="F345:F347"/>
    <mergeCell ref="G345:G347"/>
    <mergeCell ref="H345:H347"/>
    <mergeCell ref="I345:I347"/>
    <mergeCell ref="V342:V344"/>
    <mergeCell ref="W342:W344"/>
    <mergeCell ref="X342:X344"/>
    <mergeCell ref="Y342:Y344"/>
    <mergeCell ref="Z342:Z344"/>
    <mergeCell ref="AA342:AA344"/>
    <mergeCell ref="P342:P344"/>
    <mergeCell ref="Q342:Q344"/>
    <mergeCell ref="R342:R344"/>
    <mergeCell ref="S342:S344"/>
    <mergeCell ref="T342:T344"/>
    <mergeCell ref="U342:U344"/>
    <mergeCell ref="J342:J344"/>
    <mergeCell ref="K342:K344"/>
    <mergeCell ref="L342:L344"/>
    <mergeCell ref="M342:M344"/>
    <mergeCell ref="N342:N344"/>
    <mergeCell ref="O342:O344"/>
    <mergeCell ref="AB345:AB347"/>
    <mergeCell ref="A342:A344"/>
    <mergeCell ref="B342:B344"/>
    <mergeCell ref="C342:C344"/>
    <mergeCell ref="D342:D344"/>
    <mergeCell ref="E342:E344"/>
    <mergeCell ref="F342:F344"/>
    <mergeCell ref="G342:G344"/>
    <mergeCell ref="H342:H344"/>
    <mergeCell ref="I342:I344"/>
    <mergeCell ref="V339:V341"/>
    <mergeCell ref="W339:W341"/>
    <mergeCell ref="X339:X341"/>
    <mergeCell ref="Y339:Y341"/>
    <mergeCell ref="Z339:Z341"/>
    <mergeCell ref="AA339:AA341"/>
    <mergeCell ref="P339:P341"/>
    <mergeCell ref="Q339:Q341"/>
    <mergeCell ref="R339:R341"/>
    <mergeCell ref="S339:S341"/>
    <mergeCell ref="T339:T341"/>
    <mergeCell ref="U339:U341"/>
    <mergeCell ref="J339:J341"/>
    <mergeCell ref="K339:K341"/>
    <mergeCell ref="L339:L341"/>
    <mergeCell ref="M339:M341"/>
    <mergeCell ref="N339:N341"/>
    <mergeCell ref="O339:O341"/>
    <mergeCell ref="AB336:AB338"/>
    <mergeCell ref="A339:A341"/>
    <mergeCell ref="B339:B341"/>
    <mergeCell ref="C339:C341"/>
    <mergeCell ref="D339:D341"/>
    <mergeCell ref="E339:E341"/>
    <mergeCell ref="F339:F341"/>
    <mergeCell ref="G339:G341"/>
    <mergeCell ref="H339:H341"/>
    <mergeCell ref="I339:I341"/>
    <mergeCell ref="V336:V338"/>
    <mergeCell ref="W336:W338"/>
    <mergeCell ref="X336:X338"/>
    <mergeCell ref="Y336:Y338"/>
    <mergeCell ref="Z336:Z338"/>
    <mergeCell ref="AA336:AA338"/>
    <mergeCell ref="P336:P338"/>
    <mergeCell ref="Q336:Q338"/>
    <mergeCell ref="R336:R338"/>
    <mergeCell ref="S336:S338"/>
    <mergeCell ref="T336:T338"/>
    <mergeCell ref="U336:U338"/>
    <mergeCell ref="J336:J338"/>
    <mergeCell ref="K336:K338"/>
    <mergeCell ref="L336:L338"/>
    <mergeCell ref="M336:M338"/>
    <mergeCell ref="N336:N338"/>
    <mergeCell ref="O336:O338"/>
    <mergeCell ref="AB339:AB341"/>
    <mergeCell ref="A336:A338"/>
    <mergeCell ref="B336:B338"/>
    <mergeCell ref="C336:C338"/>
    <mergeCell ref="D336:D338"/>
    <mergeCell ref="E336:E338"/>
    <mergeCell ref="F336:F338"/>
    <mergeCell ref="G336:G338"/>
    <mergeCell ref="H336:H338"/>
    <mergeCell ref="I336:I338"/>
    <mergeCell ref="V333:V335"/>
    <mergeCell ref="W333:W335"/>
    <mergeCell ref="X333:X335"/>
    <mergeCell ref="Y333:Y335"/>
    <mergeCell ref="Z333:Z335"/>
    <mergeCell ref="AA333:AA335"/>
    <mergeCell ref="P333:P335"/>
    <mergeCell ref="Q333:Q335"/>
    <mergeCell ref="R333:R335"/>
    <mergeCell ref="S333:S335"/>
    <mergeCell ref="T333:T335"/>
    <mergeCell ref="U333:U335"/>
    <mergeCell ref="J333:J335"/>
    <mergeCell ref="K333:K335"/>
    <mergeCell ref="L333:L335"/>
    <mergeCell ref="M333:M335"/>
    <mergeCell ref="N333:N335"/>
    <mergeCell ref="O333:O335"/>
    <mergeCell ref="AB330:AB332"/>
    <mergeCell ref="A333:A335"/>
    <mergeCell ref="B333:B335"/>
    <mergeCell ref="C333:C335"/>
    <mergeCell ref="D333:D335"/>
    <mergeCell ref="E333:E335"/>
    <mergeCell ref="F333:F335"/>
    <mergeCell ref="G333:G335"/>
    <mergeCell ref="H333:H335"/>
    <mergeCell ref="I333:I335"/>
    <mergeCell ref="V330:V332"/>
    <mergeCell ref="W330:W332"/>
    <mergeCell ref="X330:X332"/>
    <mergeCell ref="Y330:Y332"/>
    <mergeCell ref="Z330:Z332"/>
    <mergeCell ref="AA330:AA332"/>
    <mergeCell ref="P330:P332"/>
    <mergeCell ref="Q330:Q332"/>
    <mergeCell ref="R330:R332"/>
    <mergeCell ref="S330:S332"/>
    <mergeCell ref="T330:T332"/>
    <mergeCell ref="U330:U332"/>
    <mergeCell ref="J330:J332"/>
    <mergeCell ref="K330:K332"/>
    <mergeCell ref="L330:L332"/>
    <mergeCell ref="M330:M332"/>
    <mergeCell ref="N330:N332"/>
    <mergeCell ref="O330:O332"/>
    <mergeCell ref="AB333:AB335"/>
    <mergeCell ref="A325:AF325"/>
    <mergeCell ref="A330:A332"/>
    <mergeCell ref="B330:B332"/>
    <mergeCell ref="C330:C332"/>
    <mergeCell ref="D330:D332"/>
    <mergeCell ref="E330:E332"/>
    <mergeCell ref="F330:F332"/>
    <mergeCell ref="G330:G332"/>
    <mergeCell ref="H330:H332"/>
    <mergeCell ref="I330:I332"/>
    <mergeCell ref="Y313:Y315"/>
    <mergeCell ref="Z313:Z315"/>
    <mergeCell ref="AA313:AA315"/>
    <mergeCell ref="AB313:AB315"/>
    <mergeCell ref="A322:AF322"/>
    <mergeCell ref="A324:AF324"/>
    <mergeCell ref="S313:S315"/>
    <mergeCell ref="T313:T315"/>
    <mergeCell ref="U313:U315"/>
    <mergeCell ref="V313:V315"/>
    <mergeCell ref="W313:W315"/>
    <mergeCell ref="X313:X315"/>
    <mergeCell ref="M313:M315"/>
    <mergeCell ref="N313:N315"/>
    <mergeCell ref="O313:O315"/>
    <mergeCell ref="P313:P315"/>
    <mergeCell ref="Q313:Q315"/>
    <mergeCell ref="R313:R315"/>
    <mergeCell ref="G313:G315"/>
    <mergeCell ref="H313:H315"/>
    <mergeCell ref="I313:I315"/>
    <mergeCell ref="J313:J315"/>
    <mergeCell ref="K313:K315"/>
    <mergeCell ref="L313:L315"/>
    <mergeCell ref="Y310:Y312"/>
    <mergeCell ref="Z310:Z312"/>
    <mergeCell ref="AA310:AA312"/>
    <mergeCell ref="AB310:AB312"/>
    <mergeCell ref="A313:A315"/>
    <mergeCell ref="B313:B315"/>
    <mergeCell ref="C313:C315"/>
    <mergeCell ref="D313:D315"/>
    <mergeCell ref="E313:E315"/>
    <mergeCell ref="F313:F315"/>
    <mergeCell ref="S310:S312"/>
    <mergeCell ref="T310:T312"/>
    <mergeCell ref="U310:U312"/>
    <mergeCell ref="V310:V312"/>
    <mergeCell ref="W310:W312"/>
    <mergeCell ref="X310:X312"/>
    <mergeCell ref="M310:M312"/>
    <mergeCell ref="N310:N312"/>
    <mergeCell ref="O310:O312"/>
    <mergeCell ref="P310:P312"/>
    <mergeCell ref="Q310:Q312"/>
    <mergeCell ref="R310:R312"/>
    <mergeCell ref="G310:G312"/>
    <mergeCell ref="H310:H312"/>
    <mergeCell ref="I310:I312"/>
    <mergeCell ref="J310:J312"/>
    <mergeCell ref="K310:K312"/>
    <mergeCell ref="L310:L312"/>
    <mergeCell ref="Y307:Y309"/>
    <mergeCell ref="Z307:Z309"/>
    <mergeCell ref="AA307:AA309"/>
    <mergeCell ref="AB307:AB309"/>
    <mergeCell ref="A310:A312"/>
    <mergeCell ref="B310:B312"/>
    <mergeCell ref="C310:C312"/>
    <mergeCell ref="D310:D312"/>
    <mergeCell ref="E310:E312"/>
    <mergeCell ref="F310:F312"/>
    <mergeCell ref="S307:S309"/>
    <mergeCell ref="T307:T309"/>
    <mergeCell ref="U307:U309"/>
    <mergeCell ref="V307:V309"/>
    <mergeCell ref="W307:W309"/>
    <mergeCell ref="X307:X309"/>
    <mergeCell ref="M307:M309"/>
    <mergeCell ref="N307:N309"/>
    <mergeCell ref="O307:O309"/>
    <mergeCell ref="P307:P309"/>
    <mergeCell ref="Q307:Q309"/>
    <mergeCell ref="R307:R309"/>
    <mergeCell ref="G307:G309"/>
    <mergeCell ref="H307:H309"/>
    <mergeCell ref="I307:I309"/>
    <mergeCell ref="J307:J309"/>
    <mergeCell ref="K307:K309"/>
    <mergeCell ref="L307:L309"/>
    <mergeCell ref="A307:A309"/>
    <mergeCell ref="B307:B309"/>
    <mergeCell ref="C307:C309"/>
    <mergeCell ref="D307:D309"/>
    <mergeCell ref="E307:E309"/>
    <mergeCell ref="F307:F309"/>
    <mergeCell ref="S304:S306"/>
    <mergeCell ref="T304:T306"/>
    <mergeCell ref="U304:U306"/>
    <mergeCell ref="V304:V306"/>
    <mergeCell ref="W304:W306"/>
    <mergeCell ref="X304:X306"/>
    <mergeCell ref="M304:M306"/>
    <mergeCell ref="N304:N306"/>
    <mergeCell ref="O304:O306"/>
    <mergeCell ref="P304:P306"/>
    <mergeCell ref="Q304:Q306"/>
    <mergeCell ref="R304:R306"/>
    <mergeCell ref="G304:G306"/>
    <mergeCell ref="H304:H306"/>
    <mergeCell ref="I304:I306"/>
    <mergeCell ref="J304:J306"/>
    <mergeCell ref="K304:K306"/>
    <mergeCell ref="L304:L306"/>
    <mergeCell ref="Y301:Y303"/>
    <mergeCell ref="Z301:Z303"/>
    <mergeCell ref="AA301:AA303"/>
    <mergeCell ref="AB301:AB303"/>
    <mergeCell ref="A304:A306"/>
    <mergeCell ref="B304:B306"/>
    <mergeCell ref="C304:C306"/>
    <mergeCell ref="D304:D306"/>
    <mergeCell ref="E304:E306"/>
    <mergeCell ref="F304:F306"/>
    <mergeCell ref="S301:S303"/>
    <mergeCell ref="T301:T303"/>
    <mergeCell ref="U301:U303"/>
    <mergeCell ref="V301:V303"/>
    <mergeCell ref="W301:W303"/>
    <mergeCell ref="X301:X303"/>
    <mergeCell ref="M301:M303"/>
    <mergeCell ref="N301:N303"/>
    <mergeCell ref="O301:O303"/>
    <mergeCell ref="P301:P303"/>
    <mergeCell ref="Q301:Q303"/>
    <mergeCell ref="R301:R303"/>
    <mergeCell ref="G301:G303"/>
    <mergeCell ref="H301:H303"/>
    <mergeCell ref="I301:I303"/>
    <mergeCell ref="J301:J303"/>
    <mergeCell ref="K301:K303"/>
    <mergeCell ref="L301:L303"/>
    <mergeCell ref="Y304:Y306"/>
    <mergeCell ref="Z304:Z306"/>
    <mergeCell ref="AA304:AA306"/>
    <mergeCell ref="AB304:AB306"/>
    <mergeCell ref="A301:A303"/>
    <mergeCell ref="B301:B303"/>
    <mergeCell ref="C301:C303"/>
    <mergeCell ref="D301:D303"/>
    <mergeCell ref="E301:E303"/>
    <mergeCell ref="F301:F303"/>
    <mergeCell ref="S298:S300"/>
    <mergeCell ref="T298:T300"/>
    <mergeCell ref="U298:U300"/>
    <mergeCell ref="V298:V300"/>
    <mergeCell ref="W298:W300"/>
    <mergeCell ref="X298:X300"/>
    <mergeCell ref="M298:M300"/>
    <mergeCell ref="N298:N300"/>
    <mergeCell ref="O298:O300"/>
    <mergeCell ref="P298:P300"/>
    <mergeCell ref="Q298:Q300"/>
    <mergeCell ref="R298:R300"/>
    <mergeCell ref="G298:G300"/>
    <mergeCell ref="H298:H300"/>
    <mergeCell ref="I298:I300"/>
    <mergeCell ref="J298:J300"/>
    <mergeCell ref="K298:K300"/>
    <mergeCell ref="L298:L300"/>
    <mergeCell ref="A290:AF290"/>
    <mergeCell ref="A292:AF292"/>
    <mergeCell ref="A293:AF293"/>
    <mergeCell ref="A298:A300"/>
    <mergeCell ref="B298:B300"/>
    <mergeCell ref="C298:C300"/>
    <mergeCell ref="D298:D300"/>
    <mergeCell ref="E298:E300"/>
    <mergeCell ref="F298:F300"/>
    <mergeCell ref="V281:V283"/>
    <mergeCell ref="W281:W283"/>
    <mergeCell ref="X281:X283"/>
    <mergeCell ref="Y281:Y283"/>
    <mergeCell ref="Z281:Z283"/>
    <mergeCell ref="AA281:AA283"/>
    <mergeCell ref="P281:P283"/>
    <mergeCell ref="Q281:Q283"/>
    <mergeCell ref="R281:R283"/>
    <mergeCell ref="S281:S283"/>
    <mergeCell ref="T281:T283"/>
    <mergeCell ref="U281:U283"/>
    <mergeCell ref="J281:J283"/>
    <mergeCell ref="K281:K283"/>
    <mergeCell ref="L281:L283"/>
    <mergeCell ref="M281:M283"/>
    <mergeCell ref="N281:N283"/>
    <mergeCell ref="O281:O283"/>
    <mergeCell ref="Y298:Y300"/>
    <mergeCell ref="Z298:Z300"/>
    <mergeCell ref="AA298:AA300"/>
    <mergeCell ref="AB298:AB300"/>
    <mergeCell ref="AB278:AB280"/>
    <mergeCell ref="A281:A283"/>
    <mergeCell ref="B281:B283"/>
    <mergeCell ref="C281:C283"/>
    <mergeCell ref="D281:D283"/>
    <mergeCell ref="E281:E283"/>
    <mergeCell ref="F281:F283"/>
    <mergeCell ref="G281:G283"/>
    <mergeCell ref="H281:H283"/>
    <mergeCell ref="I281:I283"/>
    <mergeCell ref="V278:V280"/>
    <mergeCell ref="W278:W280"/>
    <mergeCell ref="X278:X280"/>
    <mergeCell ref="Y278:Y280"/>
    <mergeCell ref="Z278:Z280"/>
    <mergeCell ref="AA278:AA280"/>
    <mergeCell ref="P278:P280"/>
    <mergeCell ref="Q278:Q280"/>
    <mergeCell ref="R278:R280"/>
    <mergeCell ref="S278:S280"/>
    <mergeCell ref="T278:T280"/>
    <mergeCell ref="U278:U280"/>
    <mergeCell ref="J278:J280"/>
    <mergeCell ref="K278:K280"/>
    <mergeCell ref="L278:L280"/>
    <mergeCell ref="M278:M280"/>
    <mergeCell ref="N278:N280"/>
    <mergeCell ref="O278:O280"/>
    <mergeCell ref="AB281:AB283"/>
    <mergeCell ref="A278:A280"/>
    <mergeCell ref="B278:B280"/>
    <mergeCell ref="C278:C280"/>
    <mergeCell ref="D278:D280"/>
    <mergeCell ref="E278:E280"/>
    <mergeCell ref="F278:F280"/>
    <mergeCell ref="G278:G280"/>
    <mergeCell ref="H278:H280"/>
    <mergeCell ref="I278:I280"/>
    <mergeCell ref="V275:V277"/>
    <mergeCell ref="W275:W277"/>
    <mergeCell ref="X275:X277"/>
    <mergeCell ref="Y275:Y277"/>
    <mergeCell ref="Z275:Z277"/>
    <mergeCell ref="AA275:AA277"/>
    <mergeCell ref="P275:P277"/>
    <mergeCell ref="Q275:Q277"/>
    <mergeCell ref="R275:R277"/>
    <mergeCell ref="S275:S277"/>
    <mergeCell ref="T275:T277"/>
    <mergeCell ref="U275:U277"/>
    <mergeCell ref="J275:J277"/>
    <mergeCell ref="K275:K277"/>
    <mergeCell ref="L275:L277"/>
    <mergeCell ref="M275:M277"/>
    <mergeCell ref="N275:N277"/>
    <mergeCell ref="O275:O277"/>
    <mergeCell ref="AB272:AB274"/>
    <mergeCell ref="A275:A277"/>
    <mergeCell ref="B275:B277"/>
    <mergeCell ref="C275:C277"/>
    <mergeCell ref="D275:D277"/>
    <mergeCell ref="E275:E277"/>
    <mergeCell ref="F275:F277"/>
    <mergeCell ref="G275:G277"/>
    <mergeCell ref="H275:H277"/>
    <mergeCell ref="I275:I277"/>
    <mergeCell ref="V272:V274"/>
    <mergeCell ref="W272:W274"/>
    <mergeCell ref="X272:X274"/>
    <mergeCell ref="Y272:Y274"/>
    <mergeCell ref="Z272:Z274"/>
    <mergeCell ref="AA272:AA274"/>
    <mergeCell ref="P272:P274"/>
    <mergeCell ref="Q272:Q274"/>
    <mergeCell ref="R272:R274"/>
    <mergeCell ref="S272:S274"/>
    <mergeCell ref="T272:T274"/>
    <mergeCell ref="U272:U274"/>
    <mergeCell ref="J272:J274"/>
    <mergeCell ref="K272:K274"/>
    <mergeCell ref="L272:L274"/>
    <mergeCell ref="M272:M274"/>
    <mergeCell ref="N272:N274"/>
    <mergeCell ref="O272:O274"/>
    <mergeCell ref="AB275:AB277"/>
    <mergeCell ref="A272:A274"/>
    <mergeCell ref="B272:B274"/>
    <mergeCell ref="C272:C274"/>
    <mergeCell ref="D272:D274"/>
    <mergeCell ref="E272:E274"/>
    <mergeCell ref="F272:F274"/>
    <mergeCell ref="G272:G274"/>
    <mergeCell ref="H272:H274"/>
    <mergeCell ref="I272:I274"/>
    <mergeCell ref="V269:V271"/>
    <mergeCell ref="W269:W271"/>
    <mergeCell ref="X269:X271"/>
    <mergeCell ref="Y269:Y271"/>
    <mergeCell ref="Z269:Z271"/>
    <mergeCell ref="AA269:AA271"/>
    <mergeCell ref="P269:P271"/>
    <mergeCell ref="Q269:Q271"/>
    <mergeCell ref="R269:R271"/>
    <mergeCell ref="S269:S271"/>
    <mergeCell ref="T269:T271"/>
    <mergeCell ref="U269:U271"/>
    <mergeCell ref="J269:J271"/>
    <mergeCell ref="K269:K271"/>
    <mergeCell ref="L269:L271"/>
    <mergeCell ref="M269:M271"/>
    <mergeCell ref="N269:N271"/>
    <mergeCell ref="O269:O271"/>
    <mergeCell ref="AB266:AB268"/>
    <mergeCell ref="A269:A271"/>
    <mergeCell ref="B269:B271"/>
    <mergeCell ref="C269:C271"/>
    <mergeCell ref="D269:D271"/>
    <mergeCell ref="E269:E271"/>
    <mergeCell ref="F269:F271"/>
    <mergeCell ref="G269:G271"/>
    <mergeCell ref="H269:H271"/>
    <mergeCell ref="I269:I271"/>
    <mergeCell ref="V266:V268"/>
    <mergeCell ref="W266:W268"/>
    <mergeCell ref="X266:X268"/>
    <mergeCell ref="Y266:Y268"/>
    <mergeCell ref="Z266:Z268"/>
    <mergeCell ref="AA266:AA268"/>
    <mergeCell ref="P266:P268"/>
    <mergeCell ref="Q266:Q268"/>
    <mergeCell ref="R266:R268"/>
    <mergeCell ref="S266:S268"/>
    <mergeCell ref="T266:T268"/>
    <mergeCell ref="U266:U268"/>
    <mergeCell ref="J266:J268"/>
    <mergeCell ref="K266:K268"/>
    <mergeCell ref="L266:L268"/>
    <mergeCell ref="M266:M268"/>
    <mergeCell ref="N266:N268"/>
    <mergeCell ref="O266:O268"/>
    <mergeCell ref="AB269:AB271"/>
    <mergeCell ref="A261:AF261"/>
    <mergeCell ref="A266:A268"/>
    <mergeCell ref="B266:B268"/>
    <mergeCell ref="C266:C268"/>
    <mergeCell ref="D266:D268"/>
    <mergeCell ref="E266:E268"/>
    <mergeCell ref="F266:F268"/>
    <mergeCell ref="G266:G268"/>
    <mergeCell ref="H266:H268"/>
    <mergeCell ref="I266:I268"/>
    <mergeCell ref="Y249:Y251"/>
    <mergeCell ref="Z249:Z251"/>
    <mergeCell ref="AA249:AA251"/>
    <mergeCell ref="AB249:AB251"/>
    <mergeCell ref="A258:AF258"/>
    <mergeCell ref="A260:AF260"/>
    <mergeCell ref="S249:S251"/>
    <mergeCell ref="T249:T251"/>
    <mergeCell ref="U249:U251"/>
    <mergeCell ref="V249:V251"/>
    <mergeCell ref="W249:W251"/>
    <mergeCell ref="X249:X251"/>
    <mergeCell ref="M249:M251"/>
    <mergeCell ref="N249:N251"/>
    <mergeCell ref="O249:O251"/>
    <mergeCell ref="P249:P251"/>
    <mergeCell ref="Q249:Q251"/>
    <mergeCell ref="R249:R251"/>
    <mergeCell ref="G249:G251"/>
    <mergeCell ref="H249:H251"/>
    <mergeCell ref="I249:I251"/>
    <mergeCell ref="J249:J251"/>
    <mergeCell ref="K249:K251"/>
    <mergeCell ref="L249:L251"/>
    <mergeCell ref="Y246:Y248"/>
    <mergeCell ref="Z246:Z248"/>
    <mergeCell ref="AA246:AA248"/>
    <mergeCell ref="AB246:AB248"/>
    <mergeCell ref="A249:A251"/>
    <mergeCell ref="B249:B251"/>
    <mergeCell ref="C249:C251"/>
    <mergeCell ref="D249:D251"/>
    <mergeCell ref="E249:E251"/>
    <mergeCell ref="F249:F251"/>
    <mergeCell ref="S246:S248"/>
    <mergeCell ref="T246:T248"/>
    <mergeCell ref="U246:U248"/>
    <mergeCell ref="V246:V248"/>
    <mergeCell ref="W246:W248"/>
    <mergeCell ref="X246:X248"/>
    <mergeCell ref="M246:M248"/>
    <mergeCell ref="N246:N248"/>
    <mergeCell ref="O246:O248"/>
    <mergeCell ref="P246:P248"/>
    <mergeCell ref="Q246:Q248"/>
    <mergeCell ref="R246:R248"/>
    <mergeCell ref="G246:G248"/>
    <mergeCell ref="H246:H248"/>
    <mergeCell ref="I246:I248"/>
    <mergeCell ref="J246:J248"/>
    <mergeCell ref="K246:K248"/>
    <mergeCell ref="L246:L248"/>
    <mergeCell ref="Y243:Y245"/>
    <mergeCell ref="Z243:Z245"/>
    <mergeCell ref="AA243:AA245"/>
    <mergeCell ref="AB243:AB245"/>
    <mergeCell ref="A246:A248"/>
    <mergeCell ref="B246:B248"/>
    <mergeCell ref="C246:C248"/>
    <mergeCell ref="D246:D248"/>
    <mergeCell ref="E246:E248"/>
    <mergeCell ref="F246:F248"/>
    <mergeCell ref="S243:S245"/>
    <mergeCell ref="T243:T245"/>
    <mergeCell ref="U243:U245"/>
    <mergeCell ref="V243:V245"/>
    <mergeCell ref="W243:W245"/>
    <mergeCell ref="X243:X245"/>
    <mergeCell ref="M243:M245"/>
    <mergeCell ref="N243:N245"/>
    <mergeCell ref="O243:O245"/>
    <mergeCell ref="P243:P245"/>
    <mergeCell ref="Q243:Q245"/>
    <mergeCell ref="R243:R245"/>
    <mergeCell ref="G243:G245"/>
    <mergeCell ref="H243:H245"/>
    <mergeCell ref="I243:I245"/>
    <mergeCell ref="J243:J245"/>
    <mergeCell ref="K243:K245"/>
    <mergeCell ref="L243:L245"/>
    <mergeCell ref="A243:A245"/>
    <mergeCell ref="B243:B245"/>
    <mergeCell ref="C243:C245"/>
    <mergeCell ref="D243:D245"/>
    <mergeCell ref="E243:E245"/>
    <mergeCell ref="F243:F245"/>
    <mergeCell ref="S240:S242"/>
    <mergeCell ref="T240:T242"/>
    <mergeCell ref="U240:U242"/>
    <mergeCell ref="V240:V242"/>
    <mergeCell ref="W240:W242"/>
    <mergeCell ref="X240:X242"/>
    <mergeCell ref="M240:M242"/>
    <mergeCell ref="N240:N242"/>
    <mergeCell ref="O240:O242"/>
    <mergeCell ref="P240:P242"/>
    <mergeCell ref="Q240:Q242"/>
    <mergeCell ref="R240:R242"/>
    <mergeCell ref="G240:G242"/>
    <mergeCell ref="H240:H242"/>
    <mergeCell ref="I240:I242"/>
    <mergeCell ref="J240:J242"/>
    <mergeCell ref="K240:K242"/>
    <mergeCell ref="L240:L242"/>
    <mergeCell ref="Y237:Y239"/>
    <mergeCell ref="Z237:Z239"/>
    <mergeCell ref="AA237:AA239"/>
    <mergeCell ref="AB237:AB239"/>
    <mergeCell ref="A240:A242"/>
    <mergeCell ref="B240:B242"/>
    <mergeCell ref="C240:C242"/>
    <mergeCell ref="D240:D242"/>
    <mergeCell ref="E240:E242"/>
    <mergeCell ref="F240:F242"/>
    <mergeCell ref="S237:S239"/>
    <mergeCell ref="T237:T239"/>
    <mergeCell ref="U237:U239"/>
    <mergeCell ref="V237:V239"/>
    <mergeCell ref="W237:W239"/>
    <mergeCell ref="X237:X239"/>
    <mergeCell ref="M237:M239"/>
    <mergeCell ref="N237:N239"/>
    <mergeCell ref="O237:O239"/>
    <mergeCell ref="P237:P239"/>
    <mergeCell ref="Q237:Q239"/>
    <mergeCell ref="R237:R239"/>
    <mergeCell ref="G237:G239"/>
    <mergeCell ref="H237:H239"/>
    <mergeCell ref="I237:I239"/>
    <mergeCell ref="J237:J239"/>
    <mergeCell ref="K237:K239"/>
    <mergeCell ref="L237:L239"/>
    <mergeCell ref="Y240:Y242"/>
    <mergeCell ref="Z240:Z242"/>
    <mergeCell ref="AA240:AA242"/>
    <mergeCell ref="AB240:AB242"/>
    <mergeCell ref="A237:A239"/>
    <mergeCell ref="B237:B239"/>
    <mergeCell ref="C237:C239"/>
    <mergeCell ref="D237:D239"/>
    <mergeCell ref="E237:E239"/>
    <mergeCell ref="F237:F239"/>
    <mergeCell ref="S234:S236"/>
    <mergeCell ref="T234:T236"/>
    <mergeCell ref="U234:U236"/>
    <mergeCell ref="V234:V236"/>
    <mergeCell ref="W234:W236"/>
    <mergeCell ref="X234:X236"/>
    <mergeCell ref="M234:M236"/>
    <mergeCell ref="N234:N236"/>
    <mergeCell ref="O234:O236"/>
    <mergeCell ref="P234:P236"/>
    <mergeCell ref="Q234:Q236"/>
    <mergeCell ref="R234:R236"/>
    <mergeCell ref="G234:G236"/>
    <mergeCell ref="H234:H236"/>
    <mergeCell ref="I234:I236"/>
    <mergeCell ref="J234:J236"/>
    <mergeCell ref="K234:K236"/>
    <mergeCell ref="L234:L236"/>
    <mergeCell ref="A226:AF226"/>
    <mergeCell ref="A228:AF228"/>
    <mergeCell ref="A229:AF229"/>
    <mergeCell ref="A234:A236"/>
    <mergeCell ref="B234:B236"/>
    <mergeCell ref="C234:C236"/>
    <mergeCell ref="D234:D236"/>
    <mergeCell ref="E234:E236"/>
    <mergeCell ref="F234:F236"/>
    <mergeCell ref="V217:V219"/>
    <mergeCell ref="W217:W219"/>
    <mergeCell ref="X217:X219"/>
    <mergeCell ref="Y217:Y219"/>
    <mergeCell ref="Z217:Z219"/>
    <mergeCell ref="AA217:AA219"/>
    <mergeCell ref="P217:P219"/>
    <mergeCell ref="Q217:Q219"/>
    <mergeCell ref="R217:R219"/>
    <mergeCell ref="S217:S219"/>
    <mergeCell ref="T217:T219"/>
    <mergeCell ref="U217:U219"/>
    <mergeCell ref="J217:J219"/>
    <mergeCell ref="K217:K219"/>
    <mergeCell ref="L217:L219"/>
    <mergeCell ref="M217:M219"/>
    <mergeCell ref="N217:N219"/>
    <mergeCell ref="O217:O219"/>
    <mergeCell ref="Y234:Y236"/>
    <mergeCell ref="Z234:Z236"/>
    <mergeCell ref="AA234:AA236"/>
    <mergeCell ref="AB234:AB236"/>
    <mergeCell ref="AB214:AB216"/>
    <mergeCell ref="A217:A219"/>
    <mergeCell ref="B217:B219"/>
    <mergeCell ref="C217:C219"/>
    <mergeCell ref="D217:D219"/>
    <mergeCell ref="E217:E219"/>
    <mergeCell ref="F217:F219"/>
    <mergeCell ref="G217:G219"/>
    <mergeCell ref="H217:H219"/>
    <mergeCell ref="I217:I219"/>
    <mergeCell ref="V214:V216"/>
    <mergeCell ref="W214:W216"/>
    <mergeCell ref="X214:X216"/>
    <mergeCell ref="Y214:Y216"/>
    <mergeCell ref="Z214:Z216"/>
    <mergeCell ref="AA214:AA216"/>
    <mergeCell ref="P214:P216"/>
    <mergeCell ref="Q214:Q216"/>
    <mergeCell ref="R214:R216"/>
    <mergeCell ref="S214:S216"/>
    <mergeCell ref="T214:T216"/>
    <mergeCell ref="U214:U216"/>
    <mergeCell ref="J214:J216"/>
    <mergeCell ref="K214:K216"/>
    <mergeCell ref="L214:L216"/>
    <mergeCell ref="M214:M216"/>
    <mergeCell ref="N214:N216"/>
    <mergeCell ref="O214:O216"/>
    <mergeCell ref="AB217:AB219"/>
    <mergeCell ref="A214:A216"/>
    <mergeCell ref="B214:B216"/>
    <mergeCell ref="C214:C216"/>
    <mergeCell ref="D214:D216"/>
    <mergeCell ref="E214:E216"/>
    <mergeCell ref="F214:F216"/>
    <mergeCell ref="G214:G216"/>
    <mergeCell ref="H214:H216"/>
    <mergeCell ref="I214:I216"/>
    <mergeCell ref="V211:V213"/>
    <mergeCell ref="W211:W213"/>
    <mergeCell ref="X211:X213"/>
    <mergeCell ref="Y211:Y213"/>
    <mergeCell ref="Z211:Z213"/>
    <mergeCell ref="AA211:AA213"/>
    <mergeCell ref="P211:P213"/>
    <mergeCell ref="Q211:Q213"/>
    <mergeCell ref="R211:R213"/>
    <mergeCell ref="S211:S213"/>
    <mergeCell ref="T211:T213"/>
    <mergeCell ref="U211:U213"/>
    <mergeCell ref="J211:J213"/>
    <mergeCell ref="K211:K213"/>
    <mergeCell ref="L211:L213"/>
    <mergeCell ref="M211:M213"/>
    <mergeCell ref="N211:N213"/>
    <mergeCell ref="O211:O213"/>
    <mergeCell ref="AB208:AB210"/>
    <mergeCell ref="A211:A213"/>
    <mergeCell ref="B211:B213"/>
    <mergeCell ref="C211:C213"/>
    <mergeCell ref="D211:D213"/>
    <mergeCell ref="E211:E213"/>
    <mergeCell ref="F211:F213"/>
    <mergeCell ref="G211:G213"/>
    <mergeCell ref="H211:H213"/>
    <mergeCell ref="I211:I213"/>
    <mergeCell ref="V208:V210"/>
    <mergeCell ref="W208:W210"/>
    <mergeCell ref="X208:X210"/>
    <mergeCell ref="Y208:Y210"/>
    <mergeCell ref="Z208:Z210"/>
    <mergeCell ref="AA208:AA210"/>
    <mergeCell ref="P208:P210"/>
    <mergeCell ref="Q208:Q210"/>
    <mergeCell ref="R208:R210"/>
    <mergeCell ref="S208:S210"/>
    <mergeCell ref="T208:T210"/>
    <mergeCell ref="U208:U210"/>
    <mergeCell ref="J208:J210"/>
    <mergeCell ref="K208:K210"/>
    <mergeCell ref="L208:L210"/>
    <mergeCell ref="M208:M210"/>
    <mergeCell ref="N208:N210"/>
    <mergeCell ref="O208:O210"/>
    <mergeCell ref="AB211:AB213"/>
    <mergeCell ref="A208:A210"/>
    <mergeCell ref="B208:B210"/>
    <mergeCell ref="C208:C210"/>
    <mergeCell ref="D208:D210"/>
    <mergeCell ref="E208:E210"/>
    <mergeCell ref="F208:F210"/>
    <mergeCell ref="G208:G210"/>
    <mergeCell ref="H208:H210"/>
    <mergeCell ref="I208:I210"/>
    <mergeCell ref="V205:V207"/>
    <mergeCell ref="W205:W207"/>
    <mergeCell ref="X205:X207"/>
    <mergeCell ref="Y205:Y207"/>
    <mergeCell ref="Z205:Z207"/>
    <mergeCell ref="AA205:AA207"/>
    <mergeCell ref="P205:P207"/>
    <mergeCell ref="Q205:Q207"/>
    <mergeCell ref="R205:R207"/>
    <mergeCell ref="S205:S207"/>
    <mergeCell ref="T205:T207"/>
    <mergeCell ref="U205:U207"/>
    <mergeCell ref="J205:J207"/>
    <mergeCell ref="K205:K207"/>
    <mergeCell ref="L205:L207"/>
    <mergeCell ref="M205:M207"/>
    <mergeCell ref="N205:N207"/>
    <mergeCell ref="O205:O207"/>
    <mergeCell ref="AB202:AB204"/>
    <mergeCell ref="A205:A207"/>
    <mergeCell ref="B205:B207"/>
    <mergeCell ref="C205:C207"/>
    <mergeCell ref="D205:D207"/>
    <mergeCell ref="E205:E207"/>
    <mergeCell ref="F205:F207"/>
    <mergeCell ref="G205:G207"/>
    <mergeCell ref="H205:H207"/>
    <mergeCell ref="I205:I207"/>
    <mergeCell ref="V202:V204"/>
    <mergeCell ref="W202:W204"/>
    <mergeCell ref="X202:X204"/>
    <mergeCell ref="Y202:Y204"/>
    <mergeCell ref="Z202:Z204"/>
    <mergeCell ref="AA202:AA204"/>
    <mergeCell ref="P202:P204"/>
    <mergeCell ref="Q202:Q204"/>
    <mergeCell ref="R202:R204"/>
    <mergeCell ref="S202:S204"/>
    <mergeCell ref="T202:T204"/>
    <mergeCell ref="U202:U204"/>
    <mergeCell ref="J202:J204"/>
    <mergeCell ref="K202:K204"/>
    <mergeCell ref="L202:L204"/>
    <mergeCell ref="M202:M204"/>
    <mergeCell ref="N202:N204"/>
    <mergeCell ref="O202:O204"/>
    <mergeCell ref="AB205:AB207"/>
    <mergeCell ref="A197:AF197"/>
    <mergeCell ref="A202:A204"/>
    <mergeCell ref="B202:B204"/>
    <mergeCell ref="C202:C204"/>
    <mergeCell ref="D202:D204"/>
    <mergeCell ref="E202:E204"/>
    <mergeCell ref="F202:F204"/>
    <mergeCell ref="G202:G204"/>
    <mergeCell ref="H202:H204"/>
    <mergeCell ref="I202:I204"/>
    <mergeCell ref="Y185:Y187"/>
    <mergeCell ref="Z185:Z187"/>
    <mergeCell ref="AA185:AA187"/>
    <mergeCell ref="AB185:AB187"/>
    <mergeCell ref="A194:AF194"/>
    <mergeCell ref="A196:AF196"/>
    <mergeCell ref="S185:S187"/>
    <mergeCell ref="T185:T187"/>
    <mergeCell ref="U185:U187"/>
    <mergeCell ref="V185:V187"/>
    <mergeCell ref="W185:W187"/>
    <mergeCell ref="X185:X187"/>
    <mergeCell ref="M185:M187"/>
    <mergeCell ref="N185:N187"/>
    <mergeCell ref="O185:O187"/>
    <mergeCell ref="P185:P187"/>
    <mergeCell ref="Q185:Q187"/>
    <mergeCell ref="R185:R187"/>
    <mergeCell ref="G185:G187"/>
    <mergeCell ref="H185:H187"/>
    <mergeCell ref="I185:I187"/>
    <mergeCell ref="J185:J187"/>
    <mergeCell ref="K185:K187"/>
    <mergeCell ref="L185:L187"/>
    <mergeCell ref="Y182:Y184"/>
    <mergeCell ref="Z182:Z184"/>
    <mergeCell ref="AA182:AA184"/>
    <mergeCell ref="AB182:AB184"/>
    <mergeCell ref="A185:A187"/>
    <mergeCell ref="B185:B187"/>
    <mergeCell ref="C185:C187"/>
    <mergeCell ref="D185:D187"/>
    <mergeCell ref="E185:E187"/>
    <mergeCell ref="F185:F187"/>
    <mergeCell ref="S182:S184"/>
    <mergeCell ref="T182:T184"/>
    <mergeCell ref="U182:U184"/>
    <mergeCell ref="V182:V184"/>
    <mergeCell ref="W182:W184"/>
    <mergeCell ref="X182:X184"/>
    <mergeCell ref="M182:M184"/>
    <mergeCell ref="N182:N184"/>
    <mergeCell ref="O182:O184"/>
    <mergeCell ref="P182:P184"/>
    <mergeCell ref="Q182:Q184"/>
    <mergeCell ref="R182:R184"/>
    <mergeCell ref="G182:G184"/>
    <mergeCell ref="H182:H184"/>
    <mergeCell ref="I182:I184"/>
    <mergeCell ref="J182:J184"/>
    <mergeCell ref="K182:K184"/>
    <mergeCell ref="L182:L184"/>
    <mergeCell ref="Y179:Y181"/>
    <mergeCell ref="Z179:Z181"/>
    <mergeCell ref="AA179:AA181"/>
    <mergeCell ref="AB179:AB181"/>
    <mergeCell ref="A182:A184"/>
    <mergeCell ref="B182:B184"/>
    <mergeCell ref="C182:C184"/>
    <mergeCell ref="D182:D184"/>
    <mergeCell ref="E182:E184"/>
    <mergeCell ref="F182:F184"/>
    <mergeCell ref="S179:S181"/>
    <mergeCell ref="T179:T181"/>
    <mergeCell ref="U179:U181"/>
    <mergeCell ref="V179:V181"/>
    <mergeCell ref="W179:W181"/>
    <mergeCell ref="X179:X181"/>
    <mergeCell ref="M179:M181"/>
    <mergeCell ref="N179:N181"/>
    <mergeCell ref="O179:O181"/>
    <mergeCell ref="P179:P181"/>
    <mergeCell ref="Q179:Q181"/>
    <mergeCell ref="R179:R181"/>
    <mergeCell ref="G179:G181"/>
    <mergeCell ref="H179:H181"/>
    <mergeCell ref="I179:I181"/>
    <mergeCell ref="J179:J181"/>
    <mergeCell ref="K179:K181"/>
    <mergeCell ref="L179:L181"/>
    <mergeCell ref="A179:A181"/>
    <mergeCell ref="B179:B181"/>
    <mergeCell ref="C179:C181"/>
    <mergeCell ref="D179:D181"/>
    <mergeCell ref="E179:E181"/>
    <mergeCell ref="F179:F181"/>
    <mergeCell ref="S176:S178"/>
    <mergeCell ref="T176:T178"/>
    <mergeCell ref="U176:U178"/>
    <mergeCell ref="V176:V178"/>
    <mergeCell ref="W176:W178"/>
    <mergeCell ref="X176:X178"/>
    <mergeCell ref="M176:M178"/>
    <mergeCell ref="N176:N178"/>
    <mergeCell ref="O176:O178"/>
    <mergeCell ref="P176:P178"/>
    <mergeCell ref="Q176:Q178"/>
    <mergeCell ref="R176:R178"/>
    <mergeCell ref="G176:G178"/>
    <mergeCell ref="H176:H178"/>
    <mergeCell ref="I176:I178"/>
    <mergeCell ref="J176:J178"/>
    <mergeCell ref="K176:K178"/>
    <mergeCell ref="L176:L178"/>
    <mergeCell ref="Y173:Y175"/>
    <mergeCell ref="Z173:Z175"/>
    <mergeCell ref="AA173:AA175"/>
    <mergeCell ref="AB173:AB175"/>
    <mergeCell ref="A176:A178"/>
    <mergeCell ref="B176:B178"/>
    <mergeCell ref="C176:C178"/>
    <mergeCell ref="D176:D178"/>
    <mergeCell ref="E176:E178"/>
    <mergeCell ref="F176:F178"/>
    <mergeCell ref="S173:S175"/>
    <mergeCell ref="T173:T175"/>
    <mergeCell ref="U173:U175"/>
    <mergeCell ref="V173:V175"/>
    <mergeCell ref="W173:W175"/>
    <mergeCell ref="X173:X175"/>
    <mergeCell ref="M173:M175"/>
    <mergeCell ref="N173:N175"/>
    <mergeCell ref="O173:O175"/>
    <mergeCell ref="P173:P175"/>
    <mergeCell ref="Q173:Q175"/>
    <mergeCell ref="R173:R175"/>
    <mergeCell ref="G173:G175"/>
    <mergeCell ref="H173:H175"/>
    <mergeCell ref="I173:I175"/>
    <mergeCell ref="J173:J175"/>
    <mergeCell ref="K173:K175"/>
    <mergeCell ref="L173:L175"/>
    <mergeCell ref="Y176:Y178"/>
    <mergeCell ref="Z176:Z178"/>
    <mergeCell ref="AA176:AA178"/>
    <mergeCell ref="AB176:AB178"/>
    <mergeCell ref="A173:A175"/>
    <mergeCell ref="B173:B175"/>
    <mergeCell ref="C173:C175"/>
    <mergeCell ref="D173:D175"/>
    <mergeCell ref="E173:E175"/>
    <mergeCell ref="F173:F175"/>
    <mergeCell ref="S170:S172"/>
    <mergeCell ref="T170:T172"/>
    <mergeCell ref="U170:U172"/>
    <mergeCell ref="V170:V172"/>
    <mergeCell ref="W170:W172"/>
    <mergeCell ref="X170:X172"/>
    <mergeCell ref="M170:M172"/>
    <mergeCell ref="N170:N172"/>
    <mergeCell ref="O170:O172"/>
    <mergeCell ref="P170:P172"/>
    <mergeCell ref="Q170:Q172"/>
    <mergeCell ref="R170:R172"/>
    <mergeCell ref="G170:G172"/>
    <mergeCell ref="H170:H172"/>
    <mergeCell ref="I170:I172"/>
    <mergeCell ref="J170:J172"/>
    <mergeCell ref="K170:K172"/>
    <mergeCell ref="L170:L172"/>
    <mergeCell ref="A162:AF162"/>
    <mergeCell ref="A164:AF164"/>
    <mergeCell ref="A165:AF165"/>
    <mergeCell ref="A170:A172"/>
    <mergeCell ref="B170:B172"/>
    <mergeCell ref="C170:C172"/>
    <mergeCell ref="D170:D172"/>
    <mergeCell ref="E170:E172"/>
    <mergeCell ref="F170:F172"/>
    <mergeCell ref="V153:V155"/>
    <mergeCell ref="W153:W155"/>
    <mergeCell ref="X153:X155"/>
    <mergeCell ref="Y153:Y155"/>
    <mergeCell ref="Z153:Z155"/>
    <mergeCell ref="AA153:AA155"/>
    <mergeCell ref="P153:P155"/>
    <mergeCell ref="Q153:Q155"/>
    <mergeCell ref="R153:R155"/>
    <mergeCell ref="S153:S155"/>
    <mergeCell ref="T153:T155"/>
    <mergeCell ref="U153:U155"/>
    <mergeCell ref="J153:J155"/>
    <mergeCell ref="K153:K155"/>
    <mergeCell ref="L153:L155"/>
    <mergeCell ref="M153:M155"/>
    <mergeCell ref="N153:N155"/>
    <mergeCell ref="O153:O155"/>
    <mergeCell ref="Y170:Y172"/>
    <mergeCell ref="Z170:Z172"/>
    <mergeCell ref="AA170:AA172"/>
    <mergeCell ref="AB170:AB172"/>
    <mergeCell ref="AB150:AB152"/>
    <mergeCell ref="A153:A155"/>
    <mergeCell ref="B153:B155"/>
    <mergeCell ref="C153:C155"/>
    <mergeCell ref="D153:D155"/>
    <mergeCell ref="E153:E155"/>
    <mergeCell ref="F153:F155"/>
    <mergeCell ref="G153:G155"/>
    <mergeCell ref="H153:H155"/>
    <mergeCell ref="I153:I155"/>
    <mergeCell ref="V150:V152"/>
    <mergeCell ref="W150:W152"/>
    <mergeCell ref="X150:X152"/>
    <mergeCell ref="Y150:Y152"/>
    <mergeCell ref="Z150:Z152"/>
    <mergeCell ref="AA150:AA152"/>
    <mergeCell ref="P150:P152"/>
    <mergeCell ref="Q150:Q152"/>
    <mergeCell ref="R150:R152"/>
    <mergeCell ref="S150:S152"/>
    <mergeCell ref="T150:T152"/>
    <mergeCell ref="U150:U152"/>
    <mergeCell ref="J150:J152"/>
    <mergeCell ref="K150:K152"/>
    <mergeCell ref="L150:L152"/>
    <mergeCell ref="M150:M152"/>
    <mergeCell ref="N150:N152"/>
    <mergeCell ref="O150:O152"/>
    <mergeCell ref="AB153:AB155"/>
    <mergeCell ref="A150:A152"/>
    <mergeCell ref="B150:B152"/>
    <mergeCell ref="C150:C152"/>
    <mergeCell ref="D150:D152"/>
    <mergeCell ref="E150:E152"/>
    <mergeCell ref="F150:F152"/>
    <mergeCell ref="G150:G152"/>
    <mergeCell ref="H150:H152"/>
    <mergeCell ref="I150:I152"/>
    <mergeCell ref="V147:V149"/>
    <mergeCell ref="W147:W149"/>
    <mergeCell ref="X147:X149"/>
    <mergeCell ref="Y147:Y149"/>
    <mergeCell ref="Z147:Z149"/>
    <mergeCell ref="AA147:AA149"/>
    <mergeCell ref="P147:P149"/>
    <mergeCell ref="Q147:Q149"/>
    <mergeCell ref="R147:R149"/>
    <mergeCell ref="S147:S149"/>
    <mergeCell ref="T147:T149"/>
    <mergeCell ref="U147:U149"/>
    <mergeCell ref="J147:J149"/>
    <mergeCell ref="K147:K149"/>
    <mergeCell ref="L147:L149"/>
    <mergeCell ref="M147:M149"/>
    <mergeCell ref="N147:N149"/>
    <mergeCell ref="O147:O149"/>
    <mergeCell ref="AB144:AB146"/>
    <mergeCell ref="A147:A149"/>
    <mergeCell ref="B147:B149"/>
    <mergeCell ref="C147:C149"/>
    <mergeCell ref="D147:D149"/>
    <mergeCell ref="E147:E149"/>
    <mergeCell ref="F147:F149"/>
    <mergeCell ref="G147:G149"/>
    <mergeCell ref="H147:H149"/>
    <mergeCell ref="I147:I149"/>
    <mergeCell ref="V144:V146"/>
    <mergeCell ref="W144:W146"/>
    <mergeCell ref="X144:X146"/>
    <mergeCell ref="Y144:Y146"/>
    <mergeCell ref="Z144:Z146"/>
    <mergeCell ref="AA144:AA146"/>
    <mergeCell ref="P144:P146"/>
    <mergeCell ref="Q144:Q146"/>
    <mergeCell ref="R144:R146"/>
    <mergeCell ref="S144:S146"/>
    <mergeCell ref="T144:T146"/>
    <mergeCell ref="U144:U146"/>
    <mergeCell ref="J144:J146"/>
    <mergeCell ref="K144:K146"/>
    <mergeCell ref="L144:L146"/>
    <mergeCell ref="M144:M146"/>
    <mergeCell ref="N144:N146"/>
    <mergeCell ref="O144:O146"/>
    <mergeCell ref="AB147:AB149"/>
    <mergeCell ref="A144:A146"/>
    <mergeCell ref="B144:B146"/>
    <mergeCell ref="C144:C146"/>
    <mergeCell ref="D144:D146"/>
    <mergeCell ref="E144:E146"/>
    <mergeCell ref="F144:F146"/>
    <mergeCell ref="G144:G146"/>
    <mergeCell ref="H144:H146"/>
    <mergeCell ref="I144:I146"/>
    <mergeCell ref="V141:V143"/>
    <mergeCell ref="W141:W143"/>
    <mergeCell ref="X141:X143"/>
    <mergeCell ref="Y141:Y143"/>
    <mergeCell ref="Z141:Z143"/>
    <mergeCell ref="AA141:AA143"/>
    <mergeCell ref="P141:P143"/>
    <mergeCell ref="Q141:Q143"/>
    <mergeCell ref="R141:R143"/>
    <mergeCell ref="S141:S143"/>
    <mergeCell ref="T141:T143"/>
    <mergeCell ref="U141:U143"/>
    <mergeCell ref="J141:J143"/>
    <mergeCell ref="K141:K143"/>
    <mergeCell ref="L141:L143"/>
    <mergeCell ref="M141:M143"/>
    <mergeCell ref="N141:N143"/>
    <mergeCell ref="O141:O143"/>
    <mergeCell ref="AB138:AB140"/>
    <mergeCell ref="A141:A143"/>
    <mergeCell ref="B141:B143"/>
    <mergeCell ref="C141:C143"/>
    <mergeCell ref="D141:D143"/>
    <mergeCell ref="E141:E143"/>
    <mergeCell ref="F141:F143"/>
    <mergeCell ref="G141:G143"/>
    <mergeCell ref="H141:H143"/>
    <mergeCell ref="I141:I143"/>
    <mergeCell ref="V138:V140"/>
    <mergeCell ref="W138:W140"/>
    <mergeCell ref="X138:X140"/>
    <mergeCell ref="Y138:Y140"/>
    <mergeCell ref="Z138:Z140"/>
    <mergeCell ref="AA138:AA140"/>
    <mergeCell ref="P138:P140"/>
    <mergeCell ref="Q138:Q140"/>
    <mergeCell ref="R138:R140"/>
    <mergeCell ref="S138:S140"/>
    <mergeCell ref="T138:T140"/>
    <mergeCell ref="U138:U140"/>
    <mergeCell ref="J138:J140"/>
    <mergeCell ref="K138:K140"/>
    <mergeCell ref="L138:L140"/>
    <mergeCell ref="M138:M140"/>
    <mergeCell ref="N138:N140"/>
    <mergeCell ref="O138:O140"/>
    <mergeCell ref="AB141:AB143"/>
    <mergeCell ref="A133:AF133"/>
    <mergeCell ref="A138:A140"/>
    <mergeCell ref="B138:B140"/>
    <mergeCell ref="C138:C140"/>
    <mergeCell ref="D138:D140"/>
    <mergeCell ref="E138:E140"/>
    <mergeCell ref="F138:F140"/>
    <mergeCell ref="G138:G140"/>
    <mergeCell ref="H138:H140"/>
    <mergeCell ref="I138:I140"/>
    <mergeCell ref="Y121:Y123"/>
    <mergeCell ref="Z121:Z123"/>
    <mergeCell ref="AA121:AA123"/>
    <mergeCell ref="AB121:AB123"/>
    <mergeCell ref="A130:AF130"/>
    <mergeCell ref="A132:AF132"/>
    <mergeCell ref="S121:S123"/>
    <mergeCell ref="T121:T123"/>
    <mergeCell ref="U121:U123"/>
    <mergeCell ref="V121:V123"/>
    <mergeCell ref="W121:W123"/>
    <mergeCell ref="X121:X123"/>
    <mergeCell ref="M121:M123"/>
    <mergeCell ref="N121:N123"/>
    <mergeCell ref="O121:O123"/>
    <mergeCell ref="P121:P123"/>
    <mergeCell ref="Q121:Q123"/>
    <mergeCell ref="R121:R123"/>
    <mergeCell ref="G121:G123"/>
    <mergeCell ref="H121:H123"/>
    <mergeCell ref="I121:I123"/>
    <mergeCell ref="J121:J123"/>
    <mergeCell ref="K121:K123"/>
    <mergeCell ref="L121:L123"/>
    <mergeCell ref="Y118:Y120"/>
    <mergeCell ref="Z118:Z120"/>
    <mergeCell ref="AA118:AA120"/>
    <mergeCell ref="AB118:AB120"/>
    <mergeCell ref="A121:A123"/>
    <mergeCell ref="B121:B123"/>
    <mergeCell ref="C121:C123"/>
    <mergeCell ref="D121:D123"/>
    <mergeCell ref="E121:E123"/>
    <mergeCell ref="F121:F123"/>
    <mergeCell ref="S118:S120"/>
    <mergeCell ref="T118:T120"/>
    <mergeCell ref="U118:U120"/>
    <mergeCell ref="V118:V120"/>
    <mergeCell ref="W118:W120"/>
    <mergeCell ref="X118:X120"/>
    <mergeCell ref="M118:M120"/>
    <mergeCell ref="N118:N120"/>
    <mergeCell ref="O118:O120"/>
    <mergeCell ref="P118:P120"/>
    <mergeCell ref="Q118:Q120"/>
    <mergeCell ref="R118:R120"/>
    <mergeCell ref="G118:G120"/>
    <mergeCell ref="H118:H120"/>
    <mergeCell ref="I118:I120"/>
    <mergeCell ref="J118:J120"/>
    <mergeCell ref="K118:K120"/>
    <mergeCell ref="L118:L120"/>
    <mergeCell ref="Y115:Y117"/>
    <mergeCell ref="Z115:Z117"/>
    <mergeCell ref="AA115:AA117"/>
    <mergeCell ref="AB115:AB117"/>
    <mergeCell ref="A118:A120"/>
    <mergeCell ref="B118:B120"/>
    <mergeCell ref="C118:C120"/>
    <mergeCell ref="D118:D120"/>
    <mergeCell ref="E118:E120"/>
    <mergeCell ref="F118:F120"/>
    <mergeCell ref="S115:S117"/>
    <mergeCell ref="T115:T117"/>
    <mergeCell ref="U115:U117"/>
    <mergeCell ref="V115:V117"/>
    <mergeCell ref="W115:W117"/>
    <mergeCell ref="X115:X117"/>
    <mergeCell ref="M115:M117"/>
    <mergeCell ref="N115:N117"/>
    <mergeCell ref="O115:O117"/>
    <mergeCell ref="P115:P117"/>
    <mergeCell ref="Q115:Q117"/>
    <mergeCell ref="R115:R117"/>
    <mergeCell ref="G115:G117"/>
    <mergeCell ref="H115:H117"/>
    <mergeCell ref="I115:I117"/>
    <mergeCell ref="J115:J117"/>
    <mergeCell ref="K115:K117"/>
    <mergeCell ref="L115:L117"/>
    <mergeCell ref="A115:A117"/>
    <mergeCell ref="B115:B117"/>
    <mergeCell ref="C115:C117"/>
    <mergeCell ref="D115:D117"/>
    <mergeCell ref="E115:E117"/>
    <mergeCell ref="F115:F117"/>
    <mergeCell ref="S112:S114"/>
    <mergeCell ref="T112:T114"/>
    <mergeCell ref="U112:U114"/>
    <mergeCell ref="V112:V114"/>
    <mergeCell ref="W112:W114"/>
    <mergeCell ref="X112:X114"/>
    <mergeCell ref="M112:M114"/>
    <mergeCell ref="N112:N114"/>
    <mergeCell ref="O112:O114"/>
    <mergeCell ref="P112:P114"/>
    <mergeCell ref="Q112:Q114"/>
    <mergeCell ref="R112:R114"/>
    <mergeCell ref="G112:G114"/>
    <mergeCell ref="H112:H114"/>
    <mergeCell ref="I112:I114"/>
    <mergeCell ref="J112:J114"/>
    <mergeCell ref="K112:K114"/>
    <mergeCell ref="L112:L114"/>
    <mergeCell ref="Y109:Y111"/>
    <mergeCell ref="Z109:Z111"/>
    <mergeCell ref="AA109:AA111"/>
    <mergeCell ref="AB109:AB111"/>
    <mergeCell ref="A112:A114"/>
    <mergeCell ref="B112:B114"/>
    <mergeCell ref="C112:C114"/>
    <mergeCell ref="D112:D114"/>
    <mergeCell ref="E112:E114"/>
    <mergeCell ref="F112:F114"/>
    <mergeCell ref="S109:S111"/>
    <mergeCell ref="T109:T111"/>
    <mergeCell ref="U109:U111"/>
    <mergeCell ref="V109:V111"/>
    <mergeCell ref="W109:W111"/>
    <mergeCell ref="X109:X111"/>
    <mergeCell ref="M109:M111"/>
    <mergeCell ref="N109:N111"/>
    <mergeCell ref="O109:O111"/>
    <mergeCell ref="P109:P111"/>
    <mergeCell ref="Q109:Q111"/>
    <mergeCell ref="R109:R111"/>
    <mergeCell ref="G109:G111"/>
    <mergeCell ref="H109:H111"/>
    <mergeCell ref="I109:I111"/>
    <mergeCell ref="J109:J111"/>
    <mergeCell ref="K109:K111"/>
    <mergeCell ref="L109:L111"/>
    <mergeCell ref="Y112:Y114"/>
    <mergeCell ref="Z112:Z114"/>
    <mergeCell ref="AA112:AA114"/>
    <mergeCell ref="AB112:AB114"/>
    <mergeCell ref="A109:A111"/>
    <mergeCell ref="B109:B111"/>
    <mergeCell ref="C109:C111"/>
    <mergeCell ref="D109:D111"/>
    <mergeCell ref="E109:E111"/>
    <mergeCell ref="F109:F111"/>
    <mergeCell ref="S106:S108"/>
    <mergeCell ref="T106:T108"/>
    <mergeCell ref="U106:U108"/>
    <mergeCell ref="V106:V108"/>
    <mergeCell ref="W106:W108"/>
    <mergeCell ref="X106:X108"/>
    <mergeCell ref="M106:M108"/>
    <mergeCell ref="N106:N108"/>
    <mergeCell ref="O106:O108"/>
    <mergeCell ref="P106:P108"/>
    <mergeCell ref="Q106:Q108"/>
    <mergeCell ref="R106:R108"/>
    <mergeCell ref="G106:G108"/>
    <mergeCell ref="H106:H108"/>
    <mergeCell ref="I106:I108"/>
    <mergeCell ref="J106:J108"/>
    <mergeCell ref="K106:K108"/>
    <mergeCell ref="L106:L108"/>
    <mergeCell ref="A98:AF98"/>
    <mergeCell ref="A100:AF100"/>
    <mergeCell ref="A101:AF101"/>
    <mergeCell ref="A106:A108"/>
    <mergeCell ref="B106:B108"/>
    <mergeCell ref="C106:C108"/>
    <mergeCell ref="D106:D108"/>
    <mergeCell ref="E106:E108"/>
    <mergeCell ref="F106:F108"/>
    <mergeCell ref="V89:V91"/>
    <mergeCell ref="W89:W91"/>
    <mergeCell ref="X89:X91"/>
    <mergeCell ref="Y89:Y91"/>
    <mergeCell ref="Z89:Z91"/>
    <mergeCell ref="AA89:AA91"/>
    <mergeCell ref="P89:P91"/>
    <mergeCell ref="Q89:Q91"/>
    <mergeCell ref="R89:R91"/>
    <mergeCell ref="S89:S91"/>
    <mergeCell ref="T89:T91"/>
    <mergeCell ref="U89:U91"/>
    <mergeCell ref="J89:J91"/>
    <mergeCell ref="K89:K91"/>
    <mergeCell ref="L89:L91"/>
    <mergeCell ref="M89:M91"/>
    <mergeCell ref="N89:N91"/>
    <mergeCell ref="O89:O91"/>
    <mergeCell ref="Y106:Y108"/>
    <mergeCell ref="Z106:Z108"/>
    <mergeCell ref="AA106:AA108"/>
    <mergeCell ref="AB106:AB108"/>
    <mergeCell ref="AB86:AB88"/>
    <mergeCell ref="A89:A91"/>
    <mergeCell ref="B89:B91"/>
    <mergeCell ref="C89:C91"/>
    <mergeCell ref="D89:D91"/>
    <mergeCell ref="E89:E91"/>
    <mergeCell ref="F89:F91"/>
    <mergeCell ref="G89:G91"/>
    <mergeCell ref="H89:H91"/>
    <mergeCell ref="I89:I91"/>
    <mergeCell ref="V86:V88"/>
    <mergeCell ref="W86:W88"/>
    <mergeCell ref="X86:X88"/>
    <mergeCell ref="Y86:Y88"/>
    <mergeCell ref="Z86:Z88"/>
    <mergeCell ref="AA86:AA88"/>
    <mergeCell ref="P86:P88"/>
    <mergeCell ref="Q86:Q88"/>
    <mergeCell ref="R86:R88"/>
    <mergeCell ref="S86:S88"/>
    <mergeCell ref="T86:T88"/>
    <mergeCell ref="U86:U88"/>
    <mergeCell ref="J86:J88"/>
    <mergeCell ref="K86:K88"/>
    <mergeCell ref="L86:L88"/>
    <mergeCell ref="M86:M88"/>
    <mergeCell ref="N86:N88"/>
    <mergeCell ref="O86:O88"/>
    <mergeCell ref="AB89:AB91"/>
    <mergeCell ref="A86:A88"/>
    <mergeCell ref="B86:B88"/>
    <mergeCell ref="C86:C88"/>
    <mergeCell ref="D86:D88"/>
    <mergeCell ref="E86:E88"/>
    <mergeCell ref="F86:F88"/>
    <mergeCell ref="G86:G88"/>
    <mergeCell ref="H86:H88"/>
    <mergeCell ref="I86:I88"/>
    <mergeCell ref="V83:V85"/>
    <mergeCell ref="W83:W85"/>
    <mergeCell ref="X83:X85"/>
    <mergeCell ref="Y83:Y85"/>
    <mergeCell ref="Z83:Z85"/>
    <mergeCell ref="AA83:AA85"/>
    <mergeCell ref="P83:P85"/>
    <mergeCell ref="Q83:Q85"/>
    <mergeCell ref="R83:R85"/>
    <mergeCell ref="S83:S85"/>
    <mergeCell ref="T83:T85"/>
    <mergeCell ref="U83:U85"/>
    <mergeCell ref="J83:J85"/>
    <mergeCell ref="K83:K85"/>
    <mergeCell ref="L83:L85"/>
    <mergeCell ref="M83:M85"/>
    <mergeCell ref="N83:N85"/>
    <mergeCell ref="O83:O85"/>
    <mergeCell ref="AB80:AB82"/>
    <mergeCell ref="A83:A85"/>
    <mergeCell ref="B83:B85"/>
    <mergeCell ref="C83:C85"/>
    <mergeCell ref="D83:D85"/>
    <mergeCell ref="E83:E85"/>
    <mergeCell ref="F83:F85"/>
    <mergeCell ref="G83:G85"/>
    <mergeCell ref="H83:H85"/>
    <mergeCell ref="I83:I85"/>
    <mergeCell ref="V80:V82"/>
    <mergeCell ref="W80:W82"/>
    <mergeCell ref="X80:X82"/>
    <mergeCell ref="Y80:Y82"/>
    <mergeCell ref="Z80:Z82"/>
    <mergeCell ref="AA80:AA82"/>
    <mergeCell ref="P80:P82"/>
    <mergeCell ref="Q80:Q82"/>
    <mergeCell ref="R80:R82"/>
    <mergeCell ref="S80:S82"/>
    <mergeCell ref="T80:T82"/>
    <mergeCell ref="U80:U82"/>
    <mergeCell ref="J80:J82"/>
    <mergeCell ref="K80:K82"/>
    <mergeCell ref="L80:L82"/>
    <mergeCell ref="M80:M82"/>
    <mergeCell ref="N80:N82"/>
    <mergeCell ref="O80:O82"/>
    <mergeCell ref="AB83:AB85"/>
    <mergeCell ref="A80:A82"/>
    <mergeCell ref="B80:B82"/>
    <mergeCell ref="C80:C82"/>
    <mergeCell ref="D80:D82"/>
    <mergeCell ref="E80:E82"/>
    <mergeCell ref="F80:F82"/>
    <mergeCell ref="G80:G82"/>
    <mergeCell ref="H80:H82"/>
    <mergeCell ref="I80:I82"/>
    <mergeCell ref="V77:V79"/>
    <mergeCell ref="W77:W79"/>
    <mergeCell ref="X77:X79"/>
    <mergeCell ref="Y77:Y79"/>
    <mergeCell ref="Z77:Z79"/>
    <mergeCell ref="AA77:AA79"/>
    <mergeCell ref="P77:P79"/>
    <mergeCell ref="Q77:Q79"/>
    <mergeCell ref="R77:R79"/>
    <mergeCell ref="S77:S79"/>
    <mergeCell ref="T77:T79"/>
    <mergeCell ref="U77:U79"/>
    <mergeCell ref="J77:J79"/>
    <mergeCell ref="K77:K79"/>
    <mergeCell ref="L77:L79"/>
    <mergeCell ref="M77:M79"/>
    <mergeCell ref="N77:N79"/>
    <mergeCell ref="O77:O79"/>
    <mergeCell ref="AB74:AB76"/>
    <mergeCell ref="A77:A79"/>
    <mergeCell ref="B77:B79"/>
    <mergeCell ref="C77:C79"/>
    <mergeCell ref="D77:D79"/>
    <mergeCell ref="E77:E79"/>
    <mergeCell ref="F77:F79"/>
    <mergeCell ref="G77:G79"/>
    <mergeCell ref="H77:H79"/>
    <mergeCell ref="I77:I79"/>
    <mergeCell ref="V74:V76"/>
    <mergeCell ref="W74:W76"/>
    <mergeCell ref="X74:X76"/>
    <mergeCell ref="Y74:Y76"/>
    <mergeCell ref="Z74:Z76"/>
    <mergeCell ref="AA74:AA76"/>
    <mergeCell ref="P74:P76"/>
    <mergeCell ref="Q74:Q76"/>
    <mergeCell ref="R74:R76"/>
    <mergeCell ref="S74:S76"/>
    <mergeCell ref="T74:T76"/>
    <mergeCell ref="U74:U76"/>
    <mergeCell ref="J74:J76"/>
    <mergeCell ref="K74:K76"/>
    <mergeCell ref="L74:L76"/>
    <mergeCell ref="M74:M76"/>
    <mergeCell ref="N74:N76"/>
    <mergeCell ref="O74:O76"/>
    <mergeCell ref="AB77:AB79"/>
    <mergeCell ref="A69:AF69"/>
    <mergeCell ref="A74:A76"/>
    <mergeCell ref="B74:B76"/>
    <mergeCell ref="C74:C76"/>
    <mergeCell ref="D74:D76"/>
    <mergeCell ref="E74:E76"/>
    <mergeCell ref="F74:F76"/>
    <mergeCell ref="G74:G76"/>
    <mergeCell ref="H74:H76"/>
    <mergeCell ref="I74:I76"/>
    <mergeCell ref="Y57:Y59"/>
    <mergeCell ref="Z57:Z59"/>
    <mergeCell ref="AA57:AA59"/>
    <mergeCell ref="AB57:AB59"/>
    <mergeCell ref="A66:AF66"/>
    <mergeCell ref="A68:AF68"/>
    <mergeCell ref="S57:S59"/>
    <mergeCell ref="T57:T59"/>
    <mergeCell ref="U57:U59"/>
    <mergeCell ref="V57:V59"/>
    <mergeCell ref="W57:W59"/>
    <mergeCell ref="X57:X59"/>
    <mergeCell ref="M57:M59"/>
    <mergeCell ref="N57:N59"/>
    <mergeCell ref="O57:O59"/>
    <mergeCell ref="P57:P59"/>
    <mergeCell ref="Q57:Q59"/>
    <mergeCell ref="R57:R59"/>
    <mergeCell ref="G57:G59"/>
    <mergeCell ref="H57:H59"/>
    <mergeCell ref="I57:I59"/>
    <mergeCell ref="J57:J59"/>
    <mergeCell ref="K57:K59"/>
    <mergeCell ref="L57:L59"/>
    <mergeCell ref="Y54:Y56"/>
    <mergeCell ref="Z54:Z56"/>
    <mergeCell ref="AA54:AA56"/>
    <mergeCell ref="AB54:AB56"/>
    <mergeCell ref="A57:A59"/>
    <mergeCell ref="B57:B59"/>
    <mergeCell ref="C57:C59"/>
    <mergeCell ref="D57:D59"/>
    <mergeCell ref="E57:E59"/>
    <mergeCell ref="F57:F59"/>
    <mergeCell ref="S54:S56"/>
    <mergeCell ref="T54:T56"/>
    <mergeCell ref="U54:U56"/>
    <mergeCell ref="V54:V56"/>
    <mergeCell ref="W54:W56"/>
    <mergeCell ref="X54:X56"/>
    <mergeCell ref="M54:M56"/>
    <mergeCell ref="N54:N56"/>
    <mergeCell ref="O54:O56"/>
    <mergeCell ref="P54:P56"/>
    <mergeCell ref="Q54:Q56"/>
    <mergeCell ref="R54:R56"/>
    <mergeCell ref="G54:G56"/>
    <mergeCell ref="H54:H56"/>
    <mergeCell ref="I54:I56"/>
    <mergeCell ref="J54:J56"/>
    <mergeCell ref="K54:K56"/>
    <mergeCell ref="L54:L56"/>
    <mergeCell ref="Y51:Y53"/>
    <mergeCell ref="Z51:Z53"/>
    <mergeCell ref="AA51:AA53"/>
    <mergeCell ref="AB51:AB53"/>
    <mergeCell ref="A54:A56"/>
    <mergeCell ref="B54:B56"/>
    <mergeCell ref="C54:C56"/>
    <mergeCell ref="D54:D56"/>
    <mergeCell ref="E54:E56"/>
    <mergeCell ref="F54:F56"/>
    <mergeCell ref="S51:S53"/>
    <mergeCell ref="T51:T53"/>
    <mergeCell ref="U51:U53"/>
    <mergeCell ref="V51:V53"/>
    <mergeCell ref="W51:W53"/>
    <mergeCell ref="X51:X53"/>
    <mergeCell ref="M51:M53"/>
    <mergeCell ref="N51:N53"/>
    <mergeCell ref="O51:O53"/>
    <mergeCell ref="P51:P53"/>
    <mergeCell ref="Q51:Q53"/>
    <mergeCell ref="R51:R53"/>
    <mergeCell ref="G51:G53"/>
    <mergeCell ref="H51:H53"/>
    <mergeCell ref="I51:I53"/>
    <mergeCell ref="J51:J53"/>
    <mergeCell ref="K51:K53"/>
    <mergeCell ref="L51:L53"/>
    <mergeCell ref="A51:A53"/>
    <mergeCell ref="B51:B53"/>
    <mergeCell ref="C51:C53"/>
    <mergeCell ref="D51:D53"/>
    <mergeCell ref="E51:E53"/>
    <mergeCell ref="F51:F53"/>
    <mergeCell ref="S48:S50"/>
    <mergeCell ref="T48:T50"/>
    <mergeCell ref="U48:U50"/>
    <mergeCell ref="V48:V50"/>
    <mergeCell ref="W48:W50"/>
    <mergeCell ref="X48:X50"/>
    <mergeCell ref="M48:M50"/>
    <mergeCell ref="N48:N50"/>
    <mergeCell ref="O48:O50"/>
    <mergeCell ref="P48:P50"/>
    <mergeCell ref="Q48:Q50"/>
    <mergeCell ref="R48:R50"/>
    <mergeCell ref="G48:G50"/>
    <mergeCell ref="H48:H50"/>
    <mergeCell ref="I48:I50"/>
    <mergeCell ref="J48:J50"/>
    <mergeCell ref="K48:K50"/>
    <mergeCell ref="L48:L50"/>
    <mergeCell ref="Y45:Y47"/>
    <mergeCell ref="Z45:Z47"/>
    <mergeCell ref="AA45:AA47"/>
    <mergeCell ref="AB45:AB47"/>
    <mergeCell ref="A48:A50"/>
    <mergeCell ref="B48:B50"/>
    <mergeCell ref="C48:C50"/>
    <mergeCell ref="D48:D50"/>
    <mergeCell ref="E48:E50"/>
    <mergeCell ref="F48:F50"/>
    <mergeCell ref="S45:S47"/>
    <mergeCell ref="T45:T47"/>
    <mergeCell ref="U45:U47"/>
    <mergeCell ref="V45:V47"/>
    <mergeCell ref="W45:W47"/>
    <mergeCell ref="X45:X47"/>
    <mergeCell ref="M45:M47"/>
    <mergeCell ref="N45:N47"/>
    <mergeCell ref="O45:O47"/>
    <mergeCell ref="P45:P47"/>
    <mergeCell ref="Q45:Q47"/>
    <mergeCell ref="R45:R47"/>
    <mergeCell ref="G45:G47"/>
    <mergeCell ref="H45:H47"/>
    <mergeCell ref="I45:I47"/>
    <mergeCell ref="J45:J47"/>
    <mergeCell ref="K45:K47"/>
    <mergeCell ref="L45:L47"/>
    <mergeCell ref="Y48:Y50"/>
    <mergeCell ref="Z48:Z50"/>
    <mergeCell ref="AA48:AA50"/>
    <mergeCell ref="AB48:AB50"/>
    <mergeCell ref="A45:A47"/>
    <mergeCell ref="B45:B47"/>
    <mergeCell ref="C45:C47"/>
    <mergeCell ref="D45:D47"/>
    <mergeCell ref="E45:E47"/>
    <mergeCell ref="F45:F47"/>
    <mergeCell ref="S42:S44"/>
    <mergeCell ref="T42:T44"/>
    <mergeCell ref="U42:U44"/>
    <mergeCell ref="V42:V44"/>
    <mergeCell ref="W42:W44"/>
    <mergeCell ref="X42:X44"/>
    <mergeCell ref="M42:M44"/>
    <mergeCell ref="N42:N44"/>
    <mergeCell ref="O42:O44"/>
    <mergeCell ref="P42:P44"/>
    <mergeCell ref="Q42:Q44"/>
    <mergeCell ref="R42:R44"/>
    <mergeCell ref="G42:G44"/>
    <mergeCell ref="H42:H44"/>
    <mergeCell ref="I42:I44"/>
    <mergeCell ref="J42:J44"/>
    <mergeCell ref="K42:K44"/>
    <mergeCell ref="L42:L44"/>
    <mergeCell ref="A42:A44"/>
    <mergeCell ref="B42:B44"/>
    <mergeCell ref="C42:C44"/>
    <mergeCell ref="D42:D44"/>
    <mergeCell ref="E42:E44"/>
    <mergeCell ref="F42:F44"/>
    <mergeCell ref="A34:AF34"/>
    <mergeCell ref="A36:AF36"/>
    <mergeCell ref="A37:AF37"/>
    <mergeCell ref="T26:T28"/>
    <mergeCell ref="U26:U28"/>
    <mergeCell ref="V26:V28"/>
    <mergeCell ref="W26:W28"/>
    <mergeCell ref="X26:X28"/>
    <mergeCell ref="Y26:Y28"/>
    <mergeCell ref="N26:N28"/>
    <mergeCell ref="O26:O28"/>
    <mergeCell ref="P26:P28"/>
    <mergeCell ref="Q26:Q28"/>
    <mergeCell ref="R26:R28"/>
    <mergeCell ref="S26:S28"/>
    <mergeCell ref="H26:H28"/>
    <mergeCell ref="I26:I28"/>
    <mergeCell ref="J26:J28"/>
    <mergeCell ref="K26:K28"/>
    <mergeCell ref="L26:L28"/>
    <mergeCell ref="M26:M28"/>
    <mergeCell ref="Y42:Y44"/>
    <mergeCell ref="Z42:Z44"/>
    <mergeCell ref="AA42:AA44"/>
    <mergeCell ref="AB42:AB44"/>
    <mergeCell ref="A26:A28"/>
    <mergeCell ref="B26:B28"/>
    <mergeCell ref="C26:C28"/>
    <mergeCell ref="D26:D28"/>
    <mergeCell ref="E26:E28"/>
    <mergeCell ref="F26:F28"/>
    <mergeCell ref="G26:G28"/>
    <mergeCell ref="T23:T25"/>
    <mergeCell ref="U23:U25"/>
    <mergeCell ref="V23:V25"/>
    <mergeCell ref="W23:W25"/>
    <mergeCell ref="X23:X25"/>
    <mergeCell ref="Y23:Y25"/>
    <mergeCell ref="N23:N25"/>
    <mergeCell ref="O23:O25"/>
    <mergeCell ref="P23:P25"/>
    <mergeCell ref="Q23:Q25"/>
    <mergeCell ref="R23:R25"/>
    <mergeCell ref="S23:S25"/>
    <mergeCell ref="H23:H25"/>
    <mergeCell ref="I23:I25"/>
    <mergeCell ref="J23:J25"/>
    <mergeCell ref="K23:K25"/>
    <mergeCell ref="L23:L25"/>
    <mergeCell ref="M23:M25"/>
    <mergeCell ref="Z26:Z28"/>
    <mergeCell ref="AA26:AA28"/>
    <mergeCell ref="AB26:AB28"/>
    <mergeCell ref="AB20:AB22"/>
    <mergeCell ref="A23:A25"/>
    <mergeCell ref="B23:B25"/>
    <mergeCell ref="C23:C25"/>
    <mergeCell ref="D23:D25"/>
    <mergeCell ref="E23:E25"/>
    <mergeCell ref="F23:F25"/>
    <mergeCell ref="G23:G25"/>
    <mergeCell ref="T20:T22"/>
    <mergeCell ref="U20:U22"/>
    <mergeCell ref="V20:V22"/>
    <mergeCell ref="W20:W22"/>
    <mergeCell ref="X20:X22"/>
    <mergeCell ref="Y20:Y22"/>
    <mergeCell ref="N20:N22"/>
    <mergeCell ref="O20:O22"/>
    <mergeCell ref="P20:P22"/>
    <mergeCell ref="Q20:Q22"/>
    <mergeCell ref="R20:R22"/>
    <mergeCell ref="S20:S22"/>
    <mergeCell ref="H20:H22"/>
    <mergeCell ref="I20:I22"/>
    <mergeCell ref="J20:J22"/>
    <mergeCell ref="K20:K22"/>
    <mergeCell ref="L20:L22"/>
    <mergeCell ref="M20:M22"/>
    <mergeCell ref="Z23:Z25"/>
    <mergeCell ref="AA23:AA25"/>
    <mergeCell ref="AB23:AB25"/>
    <mergeCell ref="L14:L16"/>
    <mergeCell ref="M14:M16"/>
    <mergeCell ref="Z17:Z19"/>
    <mergeCell ref="AA17:AA19"/>
    <mergeCell ref="AB17:AB19"/>
    <mergeCell ref="A20:A22"/>
    <mergeCell ref="B20:B22"/>
    <mergeCell ref="C20:C22"/>
    <mergeCell ref="D20:D22"/>
    <mergeCell ref="E20:E22"/>
    <mergeCell ref="F20:F22"/>
    <mergeCell ref="G20:G22"/>
    <mergeCell ref="T17:T19"/>
    <mergeCell ref="U17:U19"/>
    <mergeCell ref="V17:V19"/>
    <mergeCell ref="W17:W19"/>
    <mergeCell ref="X17:X19"/>
    <mergeCell ref="Y17:Y19"/>
    <mergeCell ref="N17:N19"/>
    <mergeCell ref="O17:O19"/>
    <mergeCell ref="P17:P19"/>
    <mergeCell ref="Q17:Q19"/>
    <mergeCell ref="R17:R19"/>
    <mergeCell ref="S17:S19"/>
    <mergeCell ref="H17:H19"/>
    <mergeCell ref="I17:I19"/>
    <mergeCell ref="J17:J19"/>
    <mergeCell ref="K17:K19"/>
    <mergeCell ref="L17:L19"/>
    <mergeCell ref="M17:M19"/>
    <mergeCell ref="Z20:Z22"/>
    <mergeCell ref="AA20:AA22"/>
    <mergeCell ref="H11:H13"/>
    <mergeCell ref="I11:I13"/>
    <mergeCell ref="J11:J13"/>
    <mergeCell ref="K11:K13"/>
    <mergeCell ref="L11:L13"/>
    <mergeCell ref="M11:M13"/>
    <mergeCell ref="Z14:Z16"/>
    <mergeCell ref="AA14:AA16"/>
    <mergeCell ref="AB14:AB16"/>
    <mergeCell ref="A17:A19"/>
    <mergeCell ref="B17:B19"/>
    <mergeCell ref="C17:C19"/>
    <mergeCell ref="D17:D19"/>
    <mergeCell ref="E17:E19"/>
    <mergeCell ref="F17:F19"/>
    <mergeCell ref="G17:G19"/>
    <mergeCell ref="T14:T16"/>
    <mergeCell ref="U14:U16"/>
    <mergeCell ref="V14:V16"/>
    <mergeCell ref="W14:W16"/>
    <mergeCell ref="X14:X16"/>
    <mergeCell ref="Y14:Y16"/>
    <mergeCell ref="N14:N16"/>
    <mergeCell ref="O14:O16"/>
    <mergeCell ref="P14:P16"/>
    <mergeCell ref="Q14:Q16"/>
    <mergeCell ref="R14:R16"/>
    <mergeCell ref="S14:S16"/>
    <mergeCell ref="H14:H16"/>
    <mergeCell ref="I14:I16"/>
    <mergeCell ref="J14:J16"/>
    <mergeCell ref="K14:K16"/>
    <mergeCell ref="A3:AF3"/>
    <mergeCell ref="A5:AF5"/>
    <mergeCell ref="A6:AF6"/>
    <mergeCell ref="A11:A13"/>
    <mergeCell ref="B11:B13"/>
    <mergeCell ref="C11:C13"/>
    <mergeCell ref="D11:D13"/>
    <mergeCell ref="E11:E13"/>
    <mergeCell ref="F11:F13"/>
    <mergeCell ref="G11:G13"/>
    <mergeCell ref="Z11:Z13"/>
    <mergeCell ref="AA11:AA13"/>
    <mergeCell ref="AB11:AB13"/>
    <mergeCell ref="A14:A16"/>
    <mergeCell ref="B14:B16"/>
    <mergeCell ref="C14:C16"/>
    <mergeCell ref="D14:D16"/>
    <mergeCell ref="E14:E16"/>
    <mergeCell ref="F14:F16"/>
    <mergeCell ref="G14:G16"/>
    <mergeCell ref="T11:T13"/>
    <mergeCell ref="U11:U13"/>
    <mergeCell ref="V11:V13"/>
    <mergeCell ref="W11:W13"/>
    <mergeCell ref="X11:X13"/>
    <mergeCell ref="Y11:Y13"/>
    <mergeCell ref="N11:N13"/>
    <mergeCell ref="O11:O13"/>
    <mergeCell ref="P11:P13"/>
    <mergeCell ref="Q11:Q13"/>
    <mergeCell ref="R11:R13"/>
    <mergeCell ref="S11:S13"/>
  </mergeCells>
  <pageMargins left="0.19685039370078741" right="0.19685039370078741" top="0.39370078740157483" bottom="0.59055118110236227" header="0" footer="0"/>
  <pageSetup paperSize="9" scale="96" orientation="landscape" horizontalDpi="300" verticalDpi="300" r:id="rId1"/>
  <headerFooter alignWithMargins="0"/>
  <rowBreaks count="33" manualBreakCount="33">
    <brk id="32" max="16383" man="1"/>
    <brk id="64" max="16383" man="1"/>
    <brk id="96" max="16383" man="1"/>
    <brk id="128" max="16383" man="1"/>
    <brk id="160" max="16383" man="1"/>
    <brk id="192" max="16383" man="1"/>
    <brk id="224" max="16383" man="1"/>
    <brk id="256" max="16383" man="1"/>
    <brk id="288" max="16383" man="1"/>
    <brk id="320" max="16383" man="1"/>
    <brk id="352" max="16383" man="1"/>
    <brk id="384" max="16383" man="1"/>
    <brk id="416" max="16383" man="1"/>
    <brk id="448" max="16383" man="1"/>
    <brk id="480" max="16383" man="1"/>
    <brk id="513" max="16383" man="1"/>
    <brk id="547" max="16383" man="1"/>
    <brk id="581" max="16383" man="1"/>
    <brk id="614" max="16383" man="1"/>
    <brk id="649" max="16383" man="1"/>
    <brk id="683" max="16383" man="1"/>
    <brk id="717" max="16383" man="1"/>
    <brk id="751" max="16383" man="1"/>
    <brk id="785" max="16383" man="1"/>
    <brk id="819" max="16383" man="1"/>
    <brk id="853" max="16383" man="1"/>
    <brk id="887" max="16383" man="1"/>
    <brk id="921" max="16383" man="1"/>
    <brk id="955" max="16383" man="1"/>
    <brk id="989" max="31" man="1"/>
    <brk id="1024" max="31" man="1"/>
    <brk id="1056" max="31" man="1"/>
    <brk id="1089" max="31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41660-A0DC-4007-B1F4-2AB987F1DFC2}">
  <sheetPr codeName="Hoja10">
    <tabColor rgb="FF00B050"/>
  </sheetPr>
  <dimension ref="A1:Y796"/>
  <sheetViews>
    <sheetView zoomScale="120" zoomScaleNormal="120" workbookViewId="0">
      <selection activeCell="G14" sqref="G14"/>
    </sheetView>
  </sheetViews>
  <sheetFormatPr baseColWidth="10" defaultRowHeight="13.2" x14ac:dyDescent="0.25"/>
  <cols>
    <col min="1" max="1" width="8.88671875" customWidth="1"/>
    <col min="2" max="2" width="30.6640625" customWidth="1"/>
    <col min="3" max="3" width="5.5546875" style="55" customWidth="1"/>
    <col min="4" max="4" width="5.44140625" style="55" customWidth="1"/>
    <col min="5" max="5" width="5.88671875" style="55" customWidth="1"/>
    <col min="6" max="6" width="5.109375" style="55" customWidth="1"/>
    <col min="7" max="7" width="8.88671875" style="55" customWidth="1"/>
    <col min="10" max="10" width="9.5546875" customWidth="1"/>
    <col min="11" max="11" width="40.6640625" customWidth="1"/>
    <col min="12" max="12" width="5.5546875" customWidth="1"/>
    <col min="13" max="13" width="5.44140625" customWidth="1"/>
    <col min="14" max="14" width="5.109375" customWidth="1"/>
    <col min="15" max="15" width="5.33203125" customWidth="1"/>
    <col min="16" max="16" width="7.88671875" customWidth="1"/>
    <col min="19" max="19" width="9.109375" customWidth="1"/>
    <col min="20" max="20" width="41.44140625" customWidth="1"/>
    <col min="21" max="21" width="5" customWidth="1"/>
    <col min="22" max="22" width="5.109375" customWidth="1"/>
    <col min="23" max="23" width="4.88671875" customWidth="1"/>
    <col min="24" max="24" width="5.33203125" customWidth="1"/>
    <col min="25" max="25" width="8.44140625" customWidth="1"/>
  </cols>
  <sheetData>
    <row r="1" spans="1:25" ht="15.75" customHeight="1" x14ac:dyDescent="0.25"/>
    <row r="2" spans="1:25" ht="20.25" customHeight="1" x14ac:dyDescent="0.4">
      <c r="A2" s="188" t="s">
        <v>62</v>
      </c>
      <c r="B2" s="188"/>
      <c r="C2" s="188"/>
      <c r="D2" s="188"/>
      <c r="E2" s="188"/>
      <c r="F2" s="188"/>
      <c r="G2" s="188"/>
      <c r="J2" s="188" t="s">
        <v>64</v>
      </c>
      <c r="K2" s="188"/>
      <c r="L2" s="188"/>
      <c r="M2" s="188"/>
      <c r="N2" s="188"/>
      <c r="O2" s="188"/>
      <c r="P2" s="188"/>
      <c r="S2" s="188" t="s">
        <v>65</v>
      </c>
      <c r="T2" s="188"/>
      <c r="U2" s="188"/>
      <c r="V2" s="188"/>
      <c r="W2" s="188"/>
      <c r="X2" s="188"/>
      <c r="Y2" s="188"/>
    </row>
    <row r="3" spans="1:25" ht="15.75" customHeight="1" x14ac:dyDescent="0.25">
      <c r="L3" s="55"/>
      <c r="M3" s="55"/>
      <c r="N3" s="55"/>
      <c r="O3" s="55"/>
      <c r="P3" s="55"/>
      <c r="U3" s="55"/>
      <c r="V3" s="55"/>
      <c r="W3" s="55"/>
      <c r="X3" s="55"/>
      <c r="Y3" s="55"/>
    </row>
    <row r="4" spans="1:25" ht="15.75" customHeight="1" x14ac:dyDescent="0.25">
      <c r="A4" s="189" t="s">
        <v>63</v>
      </c>
      <c r="B4" s="189"/>
      <c r="C4" s="189"/>
      <c r="D4" s="189"/>
      <c r="E4" s="189"/>
      <c r="F4" s="189"/>
      <c r="G4" s="189"/>
      <c r="J4" s="189" t="s">
        <v>63</v>
      </c>
      <c r="K4" s="189"/>
      <c r="L4" s="189"/>
      <c r="M4" s="189"/>
      <c r="N4" s="189"/>
      <c r="O4" s="189"/>
      <c r="P4" s="189"/>
      <c r="S4" s="189" t="s">
        <v>63</v>
      </c>
      <c r="T4" s="189"/>
      <c r="U4" s="189"/>
      <c r="V4" s="189"/>
      <c r="W4" s="189"/>
      <c r="X4" s="189"/>
      <c r="Y4" s="189"/>
    </row>
    <row r="5" spans="1:25" ht="15.75" customHeight="1" x14ac:dyDescent="0.25">
      <c r="A5" s="57" t="s">
        <v>5</v>
      </c>
      <c r="B5" s="57" t="s">
        <v>8</v>
      </c>
      <c r="C5" s="57" t="s">
        <v>58</v>
      </c>
      <c r="D5" s="57" t="s">
        <v>59</v>
      </c>
      <c r="E5" s="57" t="s">
        <v>60</v>
      </c>
      <c r="F5" s="57" t="s">
        <v>61</v>
      </c>
      <c r="G5" s="57" t="s">
        <v>1</v>
      </c>
      <c r="J5" s="57" t="s">
        <v>5</v>
      </c>
      <c r="K5" s="57" t="s">
        <v>8</v>
      </c>
      <c r="L5" s="57" t="s">
        <v>58</v>
      </c>
      <c r="M5" s="57" t="s">
        <v>59</v>
      </c>
      <c r="N5" s="57" t="s">
        <v>60</v>
      </c>
      <c r="O5" s="57" t="s">
        <v>61</v>
      </c>
      <c r="P5" s="57" t="s">
        <v>1</v>
      </c>
      <c r="S5" s="57" t="s">
        <v>5</v>
      </c>
      <c r="T5" s="57" t="s">
        <v>8</v>
      </c>
      <c r="U5" s="57" t="s">
        <v>58</v>
      </c>
      <c r="V5" s="57" t="s">
        <v>59</v>
      </c>
      <c r="W5" s="57" t="s">
        <v>60</v>
      </c>
      <c r="X5" s="57" t="s">
        <v>61</v>
      </c>
      <c r="Y5" s="57" t="s">
        <v>1</v>
      </c>
    </row>
    <row r="6" spans="1:25" ht="15.75" customHeight="1" x14ac:dyDescent="0.25">
      <c r="A6" s="1"/>
      <c r="B6" s="1" t="e">
        <f>VLOOKUP(A6,Tabla2[],2,FALSE)</f>
        <v>#N/A</v>
      </c>
      <c r="C6" s="57" t="e">
        <f>VLOOKUP(A6,Tabla2[],4,FALSE)</f>
        <v>#N/A</v>
      </c>
      <c r="D6" s="57" t="e">
        <f>VLOOKUP(A6,Tabla2[],5,FALSE)</f>
        <v>#N/A</v>
      </c>
      <c r="E6" s="57" t="e">
        <f>VLOOKUP(A6,Tabla2[],6,FALSE)</f>
        <v>#N/A</v>
      </c>
      <c r="F6" s="57" t="e">
        <f>VLOOKUP(A6,Tabla2[],7,FALSE)</f>
        <v>#N/A</v>
      </c>
      <c r="G6" s="57" t="e">
        <f>SUM(C6:F6)</f>
        <v>#N/A</v>
      </c>
      <c r="J6" s="1"/>
      <c r="K6" s="1" t="e">
        <f>VLOOKUP(J6,Tabla2[],2,FALSE)</f>
        <v>#N/A</v>
      </c>
      <c r="L6" s="57" t="e">
        <f>VLOOKUP(J6,Tabla2[],4,FALSE)</f>
        <v>#N/A</v>
      </c>
      <c r="M6" s="57" t="e">
        <f>VLOOKUP(J6,Tabla2[],5,FALSE)</f>
        <v>#N/A</v>
      </c>
      <c r="N6" s="57" t="e">
        <f>VLOOKUP(J6,Tabla2[],6,FALSE)</f>
        <v>#N/A</v>
      </c>
      <c r="O6" s="57" t="e">
        <f>VLOOKUP(J6,Tabla2[],7,FALSE)</f>
        <v>#N/A</v>
      </c>
      <c r="P6" s="57" t="e">
        <f>SUM(L6:O6)</f>
        <v>#N/A</v>
      </c>
      <c r="S6" s="1"/>
      <c r="T6" s="1" t="e">
        <f>VLOOKUP(S6,Tabla2[],2,FALSE)</f>
        <v>#N/A</v>
      </c>
      <c r="U6" s="57" t="e">
        <f>VLOOKUP(S6,Tabla2[],4,FALSE)</f>
        <v>#N/A</v>
      </c>
      <c r="V6" s="57" t="e">
        <f>VLOOKUP(S6,Tabla2[],5,FALSE)</f>
        <v>#N/A</v>
      </c>
      <c r="W6" s="57" t="e">
        <f>VLOOKUP(S6,Tabla2[],6,FALSE)</f>
        <v>#N/A</v>
      </c>
      <c r="X6" s="57" t="e">
        <f>VLOOKUP(S6,Tabla2[],7,FALSE)</f>
        <v>#N/A</v>
      </c>
      <c r="Y6" s="57" t="e">
        <f>SUM(U6:X6)</f>
        <v>#N/A</v>
      </c>
    </row>
    <row r="7" spans="1:25" ht="15.75" customHeight="1" x14ac:dyDescent="0.25">
      <c r="A7" s="1"/>
      <c r="B7" s="1" t="e">
        <f>VLOOKUP(A7,Tabla2[],2,FALSE)</f>
        <v>#N/A</v>
      </c>
      <c r="C7" s="57" t="e">
        <f>VLOOKUP(A7,Tabla2[],4,FALSE)</f>
        <v>#N/A</v>
      </c>
      <c r="D7" s="57" t="e">
        <f>VLOOKUP(A7,Tabla2[],5,FALSE)</f>
        <v>#N/A</v>
      </c>
      <c r="E7" s="57" t="e">
        <f>VLOOKUP(A7,Tabla2[],6,FALSE)</f>
        <v>#N/A</v>
      </c>
      <c r="F7" s="57" t="e">
        <f>VLOOKUP(A7,Tabla2[],7,FALSE)</f>
        <v>#N/A</v>
      </c>
      <c r="G7" s="57" t="e">
        <f>SUM(C7:F7)</f>
        <v>#N/A</v>
      </c>
      <c r="J7" s="1"/>
      <c r="K7" s="1" t="e">
        <f>VLOOKUP(J7,Tabla2[],2,FALSE)</f>
        <v>#N/A</v>
      </c>
      <c r="L7" s="57" t="e">
        <f>VLOOKUP(J7,Tabla2[],4,FALSE)</f>
        <v>#N/A</v>
      </c>
      <c r="M7" s="57" t="e">
        <f>VLOOKUP(J7,Tabla2[],5,FALSE)</f>
        <v>#N/A</v>
      </c>
      <c r="N7" s="57" t="e">
        <f>VLOOKUP(J7,Tabla2[],6,FALSE)</f>
        <v>#N/A</v>
      </c>
      <c r="O7" s="57" t="e">
        <f>VLOOKUP(J7,Tabla2[],7,FALSE)</f>
        <v>#N/A</v>
      </c>
      <c r="P7" s="57" t="e">
        <f>SUM(L7:O7)</f>
        <v>#N/A</v>
      </c>
      <c r="S7" s="1"/>
      <c r="T7" s="1" t="e">
        <f>VLOOKUP(S7,Tabla2[],2,FALSE)</f>
        <v>#N/A</v>
      </c>
      <c r="U7" s="57" t="e">
        <f>VLOOKUP(S7,Tabla2[],4,FALSE)</f>
        <v>#N/A</v>
      </c>
      <c r="V7" s="57" t="e">
        <f>VLOOKUP(S7,Tabla2[],5,FALSE)</f>
        <v>#N/A</v>
      </c>
      <c r="W7" s="57" t="e">
        <f>VLOOKUP(S7,Tabla2[],6,FALSE)</f>
        <v>#N/A</v>
      </c>
      <c r="X7" s="57" t="e">
        <f>VLOOKUP(S7,Tabla2[],7,FALSE)</f>
        <v>#N/A</v>
      </c>
      <c r="Y7" s="57" t="e">
        <f>SUM(U7:X7)</f>
        <v>#N/A</v>
      </c>
    </row>
    <row r="8" spans="1:25" ht="15.75" customHeight="1" x14ac:dyDescent="0.25">
      <c r="A8" s="1"/>
      <c r="B8" s="1" t="e">
        <f>VLOOKUP(A8,Tabla2[],2,FALSE)</f>
        <v>#N/A</v>
      </c>
      <c r="C8" s="57" t="e">
        <f>VLOOKUP(A8,Tabla2[],4,FALSE)</f>
        <v>#N/A</v>
      </c>
      <c r="D8" s="57" t="e">
        <f>VLOOKUP(A8,Tabla2[],5,FALSE)</f>
        <v>#N/A</v>
      </c>
      <c r="E8" s="57" t="e">
        <f>VLOOKUP(A8,Tabla2[],6,FALSE)</f>
        <v>#N/A</v>
      </c>
      <c r="F8" s="57" t="e">
        <f>VLOOKUP(A8,Tabla2[],7,FALSE)</f>
        <v>#N/A</v>
      </c>
      <c r="G8" s="57" t="e">
        <f>SUM(C8:F8)</f>
        <v>#N/A</v>
      </c>
      <c r="J8" s="1"/>
      <c r="K8" s="1" t="e">
        <f>VLOOKUP(J8,Tabla2[],2,FALSE)</f>
        <v>#N/A</v>
      </c>
      <c r="L8" s="57" t="e">
        <f>VLOOKUP(J8,Tabla2[],4,FALSE)</f>
        <v>#N/A</v>
      </c>
      <c r="M8" s="57" t="e">
        <f>VLOOKUP(J8,Tabla2[],5,FALSE)</f>
        <v>#N/A</v>
      </c>
      <c r="N8" s="57" t="e">
        <f>VLOOKUP(J8,Tabla2[],6,FALSE)</f>
        <v>#N/A</v>
      </c>
      <c r="O8" s="57" t="e">
        <f>VLOOKUP(J8,Tabla2[],7,FALSE)</f>
        <v>#N/A</v>
      </c>
      <c r="P8" s="57" t="e">
        <f>SUM(L8:O8)</f>
        <v>#N/A</v>
      </c>
      <c r="S8" s="1"/>
      <c r="T8" s="1" t="e">
        <f>VLOOKUP(S8,Tabla2[],2,FALSE)</f>
        <v>#N/A</v>
      </c>
      <c r="U8" s="57" t="e">
        <f>VLOOKUP(S8,Tabla2[],4,FALSE)</f>
        <v>#N/A</v>
      </c>
      <c r="V8" s="57" t="e">
        <f>VLOOKUP(S8,Tabla2[],5,FALSE)</f>
        <v>#N/A</v>
      </c>
      <c r="W8" s="57" t="e">
        <f>VLOOKUP(S8,Tabla2[],6,FALSE)</f>
        <v>#N/A</v>
      </c>
      <c r="X8" s="57" t="e">
        <f>VLOOKUP(S8,Tabla2[],7,FALSE)</f>
        <v>#N/A</v>
      </c>
      <c r="Y8" s="57" t="e">
        <f>SUM(U8:X8)</f>
        <v>#N/A</v>
      </c>
    </row>
    <row r="9" spans="1:25" ht="15.75" customHeight="1" x14ac:dyDescent="0.3">
      <c r="G9" s="56" t="e">
        <f>SUM(G6:G8)</f>
        <v>#N/A</v>
      </c>
      <c r="L9" s="55"/>
      <c r="M9" s="55"/>
      <c r="N9" s="55"/>
      <c r="O9" s="55"/>
      <c r="P9" s="56" t="e">
        <f>SUM(P6:P8)</f>
        <v>#N/A</v>
      </c>
      <c r="U9" s="55"/>
      <c r="V9" s="55"/>
      <c r="W9" s="55"/>
      <c r="X9" s="55"/>
      <c r="Y9" s="56" t="e">
        <f>SUM(Y6:Y8)</f>
        <v>#N/A</v>
      </c>
    </row>
    <row r="10" spans="1:25" ht="15.75" customHeight="1" x14ac:dyDescent="0.25"/>
    <row r="11" spans="1:25" ht="15.75" customHeight="1" x14ac:dyDescent="0.25"/>
    <row r="12" spans="1:25" ht="15.75" customHeight="1" x14ac:dyDescent="0.25"/>
    <row r="13" spans="1:25" ht="15.75" customHeight="1" x14ac:dyDescent="0.25"/>
    <row r="14" spans="1:25" ht="15.75" customHeight="1" x14ac:dyDescent="0.25"/>
    <row r="15" spans="1:25" ht="15.75" customHeight="1" x14ac:dyDescent="0.25"/>
    <row r="16" spans="1:25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</sheetData>
  <mergeCells count="6">
    <mergeCell ref="A2:G2"/>
    <mergeCell ref="A4:G4"/>
    <mergeCell ref="J2:P2"/>
    <mergeCell ref="J4:P4"/>
    <mergeCell ref="S2:Y2"/>
    <mergeCell ref="S4:Y4"/>
  </mergeCells>
  <pageMargins left="0.39370078740157483" right="0.19685039370078741" top="0.39370078740157483" bottom="0.59055118110236227" header="0" footer="0"/>
  <pageSetup paperSize="9" orientation="landscape" r:id="rId1"/>
  <headerFooter alignWithMargins="0"/>
  <rowBreaks count="3" manualBreakCount="3">
    <brk id="33" max="16383" man="1"/>
    <brk id="66" max="16383" man="1"/>
    <brk id="99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>
    <tabColor rgb="FF00B050"/>
  </sheetPr>
  <dimension ref="B1:AH796"/>
  <sheetViews>
    <sheetView topLeftCell="A67" zoomScale="120" zoomScaleNormal="120" workbookViewId="0">
      <selection activeCell="B71" sqref="B71:AC94"/>
    </sheetView>
  </sheetViews>
  <sheetFormatPr baseColWidth="10" defaultRowHeight="13.2" x14ac:dyDescent="0.25"/>
  <cols>
    <col min="1" max="1" width="3" customWidth="1"/>
    <col min="2" max="2" width="30" style="31" customWidth="1"/>
    <col min="3" max="3" width="9.5546875" style="31" customWidth="1"/>
    <col min="4" max="28" width="3.5546875" customWidth="1"/>
    <col min="29" max="29" width="10.6640625" customWidth="1"/>
    <col min="30" max="33" width="2.44140625" customWidth="1"/>
    <col min="34" max="34" width="6.5546875" customWidth="1"/>
  </cols>
  <sheetData>
    <row r="1" spans="2:34" ht="15.75" customHeight="1" x14ac:dyDescent="0.25">
      <c r="B1" s="40"/>
      <c r="C1" s="40"/>
    </row>
    <row r="2" spans="2:34" ht="15.75" customHeight="1" x14ac:dyDescent="0.25">
      <c r="B2" s="40"/>
      <c r="C2" s="40"/>
    </row>
    <row r="3" spans="2:34" ht="15.75" customHeight="1" x14ac:dyDescent="0.25"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</row>
    <row r="4" spans="2:34" ht="15.75" customHeight="1" x14ac:dyDescent="0.25">
      <c r="B4" s="41"/>
      <c r="C4" s="41"/>
    </row>
    <row r="5" spans="2:34" ht="15.75" customHeight="1" x14ac:dyDescent="0.25">
      <c r="B5" s="132" t="s">
        <v>50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54"/>
      <c r="AE5" s="54"/>
      <c r="AF5" s="54"/>
      <c r="AG5" s="54"/>
      <c r="AH5" s="54"/>
    </row>
    <row r="6" spans="2:34" ht="15.75" customHeight="1" x14ac:dyDescent="0.25"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</row>
    <row r="7" spans="2:34" ht="15.75" customHeight="1" x14ac:dyDescent="0.25">
      <c r="B7" s="50"/>
      <c r="C7" s="50"/>
    </row>
    <row r="8" spans="2:34" ht="15.75" customHeight="1" x14ac:dyDescent="0.3">
      <c r="B8" s="42"/>
      <c r="C8" s="42"/>
      <c r="K8" s="8"/>
      <c r="L8" s="8"/>
      <c r="M8" s="8"/>
      <c r="N8" s="8"/>
      <c r="O8" s="8"/>
      <c r="P8" s="36"/>
      <c r="Q8" s="36"/>
      <c r="R8" s="8"/>
      <c r="S8" s="8"/>
      <c r="T8" s="7"/>
      <c r="U8" s="8"/>
      <c r="V8" s="8"/>
      <c r="W8" s="8"/>
      <c r="X8" s="8"/>
      <c r="Y8" s="8"/>
      <c r="Z8" s="8"/>
      <c r="AA8" s="36"/>
      <c r="AB8" s="36"/>
    </row>
    <row r="9" spans="2:34" ht="15.75" customHeight="1" thickBot="1" x14ac:dyDescent="0.3">
      <c r="B9" s="43"/>
      <c r="C9" s="43"/>
      <c r="L9" s="37"/>
    </row>
    <row r="10" spans="2:34" ht="15.75" customHeight="1" thickBot="1" x14ac:dyDescent="0.3">
      <c r="B10" s="38" t="s">
        <v>48</v>
      </c>
      <c r="C10" s="38" t="s">
        <v>57</v>
      </c>
      <c r="D10" s="47">
        <v>1</v>
      </c>
      <c r="E10" s="48">
        <v>2</v>
      </c>
      <c r="F10" s="48">
        <v>3</v>
      </c>
      <c r="G10" s="48">
        <v>4</v>
      </c>
      <c r="H10" s="49">
        <v>5</v>
      </c>
      <c r="I10" s="47">
        <v>6</v>
      </c>
      <c r="J10" s="48">
        <v>7</v>
      </c>
      <c r="K10" s="48">
        <v>8</v>
      </c>
      <c r="L10" s="48">
        <v>9</v>
      </c>
      <c r="M10" s="49">
        <v>10</v>
      </c>
      <c r="N10" s="47">
        <v>11</v>
      </c>
      <c r="O10" s="48">
        <v>12</v>
      </c>
      <c r="P10" s="48">
        <v>13</v>
      </c>
      <c r="Q10" s="48">
        <v>14</v>
      </c>
      <c r="R10" s="49">
        <v>15</v>
      </c>
      <c r="S10" s="47">
        <v>16</v>
      </c>
      <c r="T10" s="48">
        <v>17</v>
      </c>
      <c r="U10" s="48">
        <v>18</v>
      </c>
      <c r="V10" s="48">
        <v>19</v>
      </c>
      <c r="W10" s="49">
        <v>20</v>
      </c>
      <c r="X10" s="47">
        <v>21</v>
      </c>
      <c r="Y10" s="48">
        <v>22</v>
      </c>
      <c r="Z10" s="48">
        <v>23</v>
      </c>
      <c r="AA10" s="48">
        <v>24</v>
      </c>
      <c r="AB10" s="49">
        <v>25</v>
      </c>
      <c r="AC10" s="30" t="s">
        <v>1</v>
      </c>
    </row>
    <row r="11" spans="2:34" ht="15.75" customHeight="1" x14ac:dyDescent="0.25">
      <c r="B11" s="190" t="e">
        <f>VLOOKUP(C11,Tabla2[],2,FALSE)</f>
        <v>#N/A</v>
      </c>
      <c r="C11" s="185"/>
      <c r="D11" s="129"/>
      <c r="E11" s="114"/>
      <c r="F11" s="114"/>
      <c r="G11" s="114"/>
      <c r="H11" s="117"/>
      <c r="I11" s="111"/>
      <c r="J11" s="105"/>
      <c r="K11" s="105"/>
      <c r="L11" s="105"/>
      <c r="M11" s="108"/>
      <c r="N11" s="111"/>
      <c r="O11" s="105"/>
      <c r="P11" s="105"/>
      <c r="Q11" s="105"/>
      <c r="R11" s="108"/>
      <c r="S11" s="111"/>
      <c r="T11" s="105"/>
      <c r="U11" s="105"/>
      <c r="V11" s="105"/>
      <c r="W11" s="108"/>
      <c r="X11" s="111"/>
      <c r="Y11" s="105"/>
      <c r="Z11" s="105"/>
      <c r="AA11" s="105"/>
      <c r="AB11" s="108"/>
      <c r="AC11" s="133"/>
    </row>
    <row r="12" spans="2:34" ht="15.75" customHeight="1" x14ac:dyDescent="0.25">
      <c r="B12" s="191"/>
      <c r="C12" s="186"/>
      <c r="D12" s="130"/>
      <c r="E12" s="115"/>
      <c r="F12" s="115"/>
      <c r="G12" s="115"/>
      <c r="H12" s="118"/>
      <c r="I12" s="112"/>
      <c r="J12" s="106"/>
      <c r="K12" s="106"/>
      <c r="L12" s="106"/>
      <c r="M12" s="109"/>
      <c r="N12" s="112"/>
      <c r="O12" s="106"/>
      <c r="P12" s="106"/>
      <c r="Q12" s="106"/>
      <c r="R12" s="109"/>
      <c r="S12" s="112"/>
      <c r="T12" s="106"/>
      <c r="U12" s="106"/>
      <c r="V12" s="106"/>
      <c r="W12" s="109"/>
      <c r="X12" s="112"/>
      <c r="Y12" s="106"/>
      <c r="Z12" s="106"/>
      <c r="AA12" s="106"/>
      <c r="AB12" s="109"/>
      <c r="AC12" s="134"/>
    </row>
    <row r="13" spans="2:34" ht="15.75" customHeight="1" thickBot="1" x14ac:dyDescent="0.3">
      <c r="B13" s="192"/>
      <c r="C13" s="187"/>
      <c r="D13" s="131"/>
      <c r="E13" s="116"/>
      <c r="F13" s="116"/>
      <c r="G13" s="116"/>
      <c r="H13" s="119"/>
      <c r="I13" s="113"/>
      <c r="J13" s="107"/>
      <c r="K13" s="107"/>
      <c r="L13" s="107"/>
      <c r="M13" s="110"/>
      <c r="N13" s="113"/>
      <c r="O13" s="107"/>
      <c r="P13" s="107"/>
      <c r="Q13" s="107"/>
      <c r="R13" s="110"/>
      <c r="S13" s="113"/>
      <c r="T13" s="107"/>
      <c r="U13" s="107"/>
      <c r="V13" s="107"/>
      <c r="W13" s="110"/>
      <c r="X13" s="113"/>
      <c r="Y13" s="107"/>
      <c r="Z13" s="107"/>
      <c r="AA13" s="107"/>
      <c r="AB13" s="110"/>
      <c r="AC13" s="135"/>
    </row>
    <row r="14" spans="2:34" ht="15.75" customHeight="1" x14ac:dyDescent="0.25">
      <c r="B14" s="190" t="e">
        <f>VLOOKUP(C14,Tabla2[],2,FALSE)</f>
        <v>#N/A</v>
      </c>
      <c r="C14" s="185"/>
      <c r="D14" s="93"/>
      <c r="E14" s="123"/>
      <c r="F14" s="123"/>
      <c r="G14" s="123"/>
      <c r="H14" s="126"/>
      <c r="I14" s="102"/>
      <c r="J14" s="96"/>
      <c r="K14" s="96"/>
      <c r="L14" s="96"/>
      <c r="M14" s="99"/>
      <c r="N14" s="102"/>
      <c r="O14" s="96"/>
      <c r="P14" s="96"/>
      <c r="Q14" s="96"/>
      <c r="R14" s="99"/>
      <c r="S14" s="102"/>
      <c r="T14" s="96"/>
      <c r="U14" s="96"/>
      <c r="V14" s="96"/>
      <c r="W14" s="99"/>
      <c r="X14" s="111"/>
      <c r="Y14" s="105"/>
      <c r="Z14" s="105"/>
      <c r="AA14" s="105"/>
      <c r="AB14" s="108"/>
      <c r="AC14" s="133"/>
    </row>
    <row r="15" spans="2:34" ht="15.75" customHeight="1" x14ac:dyDescent="0.25">
      <c r="B15" s="191"/>
      <c r="C15" s="186"/>
      <c r="D15" s="94"/>
      <c r="E15" s="124"/>
      <c r="F15" s="124"/>
      <c r="G15" s="124"/>
      <c r="H15" s="127"/>
      <c r="I15" s="103"/>
      <c r="J15" s="97"/>
      <c r="K15" s="97"/>
      <c r="L15" s="97"/>
      <c r="M15" s="100"/>
      <c r="N15" s="103"/>
      <c r="O15" s="97"/>
      <c r="P15" s="97"/>
      <c r="Q15" s="97"/>
      <c r="R15" s="100"/>
      <c r="S15" s="103"/>
      <c r="T15" s="97"/>
      <c r="U15" s="97"/>
      <c r="V15" s="97"/>
      <c r="W15" s="100"/>
      <c r="X15" s="112"/>
      <c r="Y15" s="106"/>
      <c r="Z15" s="106"/>
      <c r="AA15" s="106"/>
      <c r="AB15" s="109"/>
      <c r="AC15" s="134"/>
    </row>
    <row r="16" spans="2:34" ht="15.75" customHeight="1" thickBot="1" x14ac:dyDescent="0.3">
      <c r="B16" s="192"/>
      <c r="C16" s="187"/>
      <c r="D16" s="95"/>
      <c r="E16" s="125"/>
      <c r="F16" s="125"/>
      <c r="G16" s="125"/>
      <c r="H16" s="128"/>
      <c r="I16" s="104"/>
      <c r="J16" s="98"/>
      <c r="K16" s="98"/>
      <c r="L16" s="98"/>
      <c r="M16" s="101"/>
      <c r="N16" s="104"/>
      <c r="O16" s="98"/>
      <c r="P16" s="98"/>
      <c r="Q16" s="98"/>
      <c r="R16" s="101"/>
      <c r="S16" s="104"/>
      <c r="T16" s="98"/>
      <c r="U16" s="98"/>
      <c r="V16" s="98"/>
      <c r="W16" s="101"/>
      <c r="X16" s="113"/>
      <c r="Y16" s="107"/>
      <c r="Z16" s="107"/>
      <c r="AA16" s="107"/>
      <c r="AB16" s="110"/>
      <c r="AC16" s="135"/>
    </row>
    <row r="17" spans="2:29" ht="15.75" customHeight="1" x14ac:dyDescent="0.25">
      <c r="B17" s="190" t="e">
        <f>VLOOKUP(C17,Tabla2[],2,FALSE)</f>
        <v>#N/A</v>
      </c>
      <c r="C17" s="185"/>
      <c r="D17" s="93"/>
      <c r="E17" s="123"/>
      <c r="F17" s="123"/>
      <c r="G17" s="123"/>
      <c r="H17" s="126"/>
      <c r="I17" s="102"/>
      <c r="J17" s="96"/>
      <c r="K17" s="96"/>
      <c r="L17" s="96"/>
      <c r="M17" s="99"/>
      <c r="N17" s="102"/>
      <c r="O17" s="96"/>
      <c r="P17" s="96"/>
      <c r="Q17" s="96"/>
      <c r="R17" s="99"/>
      <c r="S17" s="111"/>
      <c r="T17" s="105"/>
      <c r="U17" s="105"/>
      <c r="V17" s="105"/>
      <c r="W17" s="108"/>
      <c r="X17" s="102"/>
      <c r="Y17" s="96"/>
      <c r="Z17" s="96"/>
      <c r="AA17" s="96"/>
      <c r="AB17" s="99"/>
      <c r="AC17" s="133"/>
    </row>
    <row r="18" spans="2:29" ht="15.75" customHeight="1" x14ac:dyDescent="0.25">
      <c r="B18" s="191"/>
      <c r="C18" s="186"/>
      <c r="D18" s="94"/>
      <c r="E18" s="124"/>
      <c r="F18" s="124"/>
      <c r="G18" s="124"/>
      <c r="H18" s="127"/>
      <c r="I18" s="103"/>
      <c r="J18" s="97"/>
      <c r="K18" s="97"/>
      <c r="L18" s="97"/>
      <c r="M18" s="100"/>
      <c r="N18" s="103"/>
      <c r="O18" s="97"/>
      <c r="P18" s="97"/>
      <c r="Q18" s="97"/>
      <c r="R18" s="100"/>
      <c r="S18" s="112"/>
      <c r="T18" s="106"/>
      <c r="U18" s="106"/>
      <c r="V18" s="106"/>
      <c r="W18" s="109"/>
      <c r="X18" s="103"/>
      <c r="Y18" s="97"/>
      <c r="Z18" s="97"/>
      <c r="AA18" s="97"/>
      <c r="AB18" s="100"/>
      <c r="AC18" s="134"/>
    </row>
    <row r="19" spans="2:29" ht="15.75" customHeight="1" thickBot="1" x14ac:dyDescent="0.3">
      <c r="B19" s="192"/>
      <c r="C19" s="187"/>
      <c r="D19" s="95"/>
      <c r="E19" s="125"/>
      <c r="F19" s="125"/>
      <c r="G19" s="125"/>
      <c r="H19" s="128"/>
      <c r="I19" s="104"/>
      <c r="J19" s="98"/>
      <c r="K19" s="98"/>
      <c r="L19" s="98"/>
      <c r="M19" s="101"/>
      <c r="N19" s="104"/>
      <c r="O19" s="98"/>
      <c r="P19" s="98"/>
      <c r="Q19" s="98"/>
      <c r="R19" s="101"/>
      <c r="S19" s="113"/>
      <c r="T19" s="107"/>
      <c r="U19" s="107"/>
      <c r="V19" s="107"/>
      <c r="W19" s="110"/>
      <c r="X19" s="104"/>
      <c r="Y19" s="98"/>
      <c r="Z19" s="98"/>
      <c r="AA19" s="98"/>
      <c r="AB19" s="101"/>
      <c r="AC19" s="135"/>
    </row>
    <row r="20" spans="2:29" ht="15.75" customHeight="1" x14ac:dyDescent="0.25">
      <c r="B20" s="190" t="e">
        <f>VLOOKUP(C20,Tabla2[],2,FALSE)</f>
        <v>#N/A</v>
      </c>
      <c r="C20" s="185"/>
      <c r="D20" s="93"/>
      <c r="E20" s="123"/>
      <c r="F20" s="123"/>
      <c r="G20" s="123"/>
      <c r="H20" s="126"/>
      <c r="I20" s="102"/>
      <c r="J20" s="96"/>
      <c r="K20" s="96"/>
      <c r="L20" s="96"/>
      <c r="M20" s="99"/>
      <c r="N20" s="111"/>
      <c r="O20" s="105"/>
      <c r="P20" s="105"/>
      <c r="Q20" s="105"/>
      <c r="R20" s="108"/>
      <c r="S20" s="102"/>
      <c r="T20" s="96"/>
      <c r="U20" s="96"/>
      <c r="V20" s="96"/>
      <c r="W20" s="99"/>
      <c r="X20" s="102"/>
      <c r="Y20" s="96"/>
      <c r="Z20" s="96"/>
      <c r="AA20" s="96"/>
      <c r="AB20" s="99"/>
      <c r="AC20" s="133"/>
    </row>
    <row r="21" spans="2:29" ht="15.75" customHeight="1" x14ac:dyDescent="0.25">
      <c r="B21" s="191"/>
      <c r="C21" s="186"/>
      <c r="D21" s="94"/>
      <c r="E21" s="124"/>
      <c r="F21" s="124"/>
      <c r="G21" s="124"/>
      <c r="H21" s="127"/>
      <c r="I21" s="103"/>
      <c r="J21" s="97"/>
      <c r="K21" s="97"/>
      <c r="L21" s="97"/>
      <c r="M21" s="100"/>
      <c r="N21" s="112"/>
      <c r="O21" s="106"/>
      <c r="P21" s="106"/>
      <c r="Q21" s="106"/>
      <c r="R21" s="109"/>
      <c r="S21" s="103"/>
      <c r="T21" s="97"/>
      <c r="U21" s="97"/>
      <c r="V21" s="97"/>
      <c r="W21" s="100"/>
      <c r="X21" s="103"/>
      <c r="Y21" s="97"/>
      <c r="Z21" s="97"/>
      <c r="AA21" s="97"/>
      <c r="AB21" s="100"/>
      <c r="AC21" s="134"/>
    </row>
    <row r="22" spans="2:29" ht="15.75" customHeight="1" thickBot="1" x14ac:dyDescent="0.3">
      <c r="B22" s="192"/>
      <c r="C22" s="187"/>
      <c r="D22" s="95"/>
      <c r="E22" s="125"/>
      <c r="F22" s="125"/>
      <c r="G22" s="125"/>
      <c r="H22" s="128"/>
      <c r="I22" s="104"/>
      <c r="J22" s="98"/>
      <c r="K22" s="98"/>
      <c r="L22" s="98"/>
      <c r="M22" s="101"/>
      <c r="N22" s="113"/>
      <c r="O22" s="107"/>
      <c r="P22" s="107"/>
      <c r="Q22" s="107"/>
      <c r="R22" s="110"/>
      <c r="S22" s="104"/>
      <c r="T22" s="98"/>
      <c r="U22" s="98"/>
      <c r="V22" s="98"/>
      <c r="W22" s="101"/>
      <c r="X22" s="104"/>
      <c r="Y22" s="98"/>
      <c r="Z22" s="98"/>
      <c r="AA22" s="98"/>
      <c r="AB22" s="101"/>
      <c r="AC22" s="135"/>
    </row>
    <row r="23" spans="2:29" ht="15.75" customHeight="1" x14ac:dyDescent="0.25">
      <c r="B23" s="190" t="e">
        <f>VLOOKUP(C23,Tabla2[],2,FALSE)</f>
        <v>#N/A</v>
      </c>
      <c r="C23" s="185"/>
      <c r="D23" s="93"/>
      <c r="E23" s="123"/>
      <c r="F23" s="123"/>
      <c r="G23" s="123"/>
      <c r="H23" s="126"/>
      <c r="I23" s="111"/>
      <c r="J23" s="105"/>
      <c r="K23" s="105"/>
      <c r="L23" s="105"/>
      <c r="M23" s="108"/>
      <c r="N23" s="102"/>
      <c r="O23" s="96"/>
      <c r="P23" s="96"/>
      <c r="Q23" s="96"/>
      <c r="R23" s="99"/>
      <c r="S23" s="102"/>
      <c r="T23" s="96"/>
      <c r="U23" s="96"/>
      <c r="V23" s="96"/>
      <c r="W23" s="99"/>
      <c r="X23" s="102"/>
      <c r="Y23" s="96"/>
      <c r="Z23" s="96"/>
      <c r="AA23" s="96"/>
      <c r="AB23" s="99"/>
      <c r="AC23" s="133"/>
    </row>
    <row r="24" spans="2:29" ht="15.75" customHeight="1" x14ac:dyDescent="0.25">
      <c r="B24" s="191"/>
      <c r="C24" s="186"/>
      <c r="D24" s="94"/>
      <c r="E24" s="124"/>
      <c r="F24" s="124"/>
      <c r="G24" s="124"/>
      <c r="H24" s="127"/>
      <c r="I24" s="112"/>
      <c r="J24" s="106"/>
      <c r="K24" s="106"/>
      <c r="L24" s="106"/>
      <c r="M24" s="109"/>
      <c r="N24" s="103"/>
      <c r="O24" s="97"/>
      <c r="P24" s="97"/>
      <c r="Q24" s="97"/>
      <c r="R24" s="100"/>
      <c r="S24" s="103"/>
      <c r="T24" s="97"/>
      <c r="U24" s="97"/>
      <c r="V24" s="97"/>
      <c r="W24" s="100"/>
      <c r="X24" s="103"/>
      <c r="Y24" s="97"/>
      <c r="Z24" s="97"/>
      <c r="AA24" s="97"/>
      <c r="AB24" s="100"/>
      <c r="AC24" s="134"/>
    </row>
    <row r="25" spans="2:29" ht="15.75" customHeight="1" thickBot="1" x14ac:dyDescent="0.3">
      <c r="B25" s="192"/>
      <c r="C25" s="187"/>
      <c r="D25" s="95"/>
      <c r="E25" s="125"/>
      <c r="F25" s="125"/>
      <c r="G25" s="125"/>
      <c r="H25" s="128"/>
      <c r="I25" s="113"/>
      <c r="J25" s="107"/>
      <c r="K25" s="107"/>
      <c r="L25" s="107"/>
      <c r="M25" s="110"/>
      <c r="N25" s="104"/>
      <c r="O25" s="98"/>
      <c r="P25" s="98"/>
      <c r="Q25" s="98"/>
      <c r="R25" s="101"/>
      <c r="S25" s="104"/>
      <c r="T25" s="98"/>
      <c r="U25" s="98"/>
      <c r="V25" s="98"/>
      <c r="W25" s="101"/>
      <c r="X25" s="104"/>
      <c r="Y25" s="98"/>
      <c r="Z25" s="98"/>
      <c r="AA25" s="98"/>
      <c r="AB25" s="101"/>
      <c r="AC25" s="135"/>
    </row>
    <row r="26" spans="2:29" ht="15.75" customHeight="1" x14ac:dyDescent="0.25">
      <c r="B26" s="190" t="e">
        <f>VLOOKUP(C26,Tabla2[],2,FALSE)</f>
        <v>#N/A</v>
      </c>
      <c r="C26" s="185"/>
      <c r="D26" s="111"/>
      <c r="E26" s="105"/>
      <c r="F26" s="105"/>
      <c r="G26" s="105"/>
      <c r="H26" s="108"/>
      <c r="I26" s="122"/>
      <c r="J26" s="120"/>
      <c r="K26" s="120"/>
      <c r="L26" s="120"/>
      <c r="M26" s="121"/>
      <c r="N26" s="122"/>
      <c r="O26" s="120"/>
      <c r="P26" s="120"/>
      <c r="Q26" s="120"/>
      <c r="R26" s="121"/>
      <c r="S26" s="122"/>
      <c r="T26" s="120"/>
      <c r="U26" s="120"/>
      <c r="V26" s="120"/>
      <c r="W26" s="121"/>
      <c r="X26" s="122"/>
      <c r="Y26" s="120"/>
      <c r="Z26" s="120"/>
      <c r="AA26" s="120"/>
      <c r="AB26" s="121"/>
      <c r="AC26" s="133"/>
    </row>
    <row r="27" spans="2:29" ht="15.75" customHeight="1" x14ac:dyDescent="0.25">
      <c r="B27" s="191"/>
      <c r="C27" s="186"/>
      <c r="D27" s="112"/>
      <c r="E27" s="106"/>
      <c r="F27" s="106"/>
      <c r="G27" s="106"/>
      <c r="H27" s="109"/>
      <c r="I27" s="103"/>
      <c r="J27" s="97"/>
      <c r="K27" s="97"/>
      <c r="L27" s="97"/>
      <c r="M27" s="100"/>
      <c r="N27" s="103"/>
      <c r="O27" s="97"/>
      <c r="P27" s="97"/>
      <c r="Q27" s="97"/>
      <c r="R27" s="100"/>
      <c r="S27" s="103"/>
      <c r="T27" s="97"/>
      <c r="U27" s="97"/>
      <c r="V27" s="97"/>
      <c r="W27" s="100"/>
      <c r="X27" s="103"/>
      <c r="Y27" s="97"/>
      <c r="Z27" s="97"/>
      <c r="AA27" s="97"/>
      <c r="AB27" s="100"/>
      <c r="AC27" s="134"/>
    </row>
    <row r="28" spans="2:29" ht="15.75" customHeight="1" thickBot="1" x14ac:dyDescent="0.3">
      <c r="B28" s="192"/>
      <c r="C28" s="187"/>
      <c r="D28" s="113"/>
      <c r="E28" s="107"/>
      <c r="F28" s="107"/>
      <c r="G28" s="107"/>
      <c r="H28" s="110"/>
      <c r="I28" s="104"/>
      <c r="J28" s="98"/>
      <c r="K28" s="98"/>
      <c r="L28" s="98"/>
      <c r="M28" s="101"/>
      <c r="N28" s="104"/>
      <c r="O28" s="98"/>
      <c r="P28" s="98"/>
      <c r="Q28" s="98"/>
      <c r="R28" s="101"/>
      <c r="S28" s="104"/>
      <c r="T28" s="98"/>
      <c r="U28" s="98"/>
      <c r="V28" s="98"/>
      <c r="W28" s="101"/>
      <c r="X28" s="104"/>
      <c r="Y28" s="98"/>
      <c r="Z28" s="98"/>
      <c r="AA28" s="98"/>
      <c r="AB28" s="101"/>
      <c r="AC28" s="135"/>
    </row>
    <row r="29" spans="2:29" ht="15.75" customHeight="1" x14ac:dyDescent="0.25">
      <c r="B29" s="39"/>
      <c r="C29" s="40"/>
    </row>
    <row r="30" spans="2:29" ht="15.75" customHeight="1" x14ac:dyDescent="0.25">
      <c r="B30" s="39"/>
      <c r="C30" s="40"/>
      <c r="F30" s="21"/>
      <c r="J30" s="21"/>
      <c r="N30" s="21"/>
      <c r="R30" s="21"/>
      <c r="V30" s="21"/>
      <c r="Z30" s="21"/>
    </row>
    <row r="31" spans="2:29" ht="15.75" customHeight="1" x14ac:dyDescent="0.25">
      <c r="B31" s="39"/>
      <c r="C31" s="40"/>
    </row>
    <row r="32" spans="2:29" ht="15.75" customHeight="1" x14ac:dyDescent="0.25">
      <c r="B32" s="39"/>
      <c r="C32" s="40"/>
    </row>
    <row r="33" spans="2:34" ht="15.75" customHeight="1" x14ac:dyDescent="0.25">
      <c r="B33" s="40"/>
      <c r="C33" s="40"/>
    </row>
    <row r="34" spans="2:34" ht="15.75" customHeight="1" x14ac:dyDescent="0.25">
      <c r="B34" s="40"/>
      <c r="C34" s="40"/>
    </row>
    <row r="35" spans="2:34" ht="15.75" customHeight="1" x14ac:dyDescent="0.25">
      <c r="B35" s="40"/>
      <c r="C35" s="40"/>
    </row>
    <row r="36" spans="2:34" ht="15.75" customHeight="1" x14ac:dyDescent="0.25"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</row>
    <row r="37" spans="2:34" ht="15.75" customHeight="1" x14ac:dyDescent="0.25">
      <c r="B37" s="41"/>
      <c r="C37" s="41"/>
    </row>
    <row r="38" spans="2:34" ht="15.75" customHeight="1" x14ac:dyDescent="0.25">
      <c r="B38" s="132" t="s">
        <v>54</v>
      </c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54"/>
      <c r="AE38" s="54"/>
      <c r="AF38" s="54"/>
      <c r="AG38" s="54"/>
      <c r="AH38" s="54"/>
    </row>
    <row r="39" spans="2:34" ht="15.75" customHeight="1" x14ac:dyDescent="0.25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</row>
    <row r="40" spans="2:34" ht="15.75" customHeight="1" x14ac:dyDescent="0.25">
      <c r="B40" s="50"/>
      <c r="C40" s="50"/>
    </row>
    <row r="41" spans="2:34" ht="15.75" customHeight="1" x14ac:dyDescent="0.3">
      <c r="B41" s="42"/>
      <c r="C41" s="42"/>
      <c r="K41" s="8"/>
      <c r="L41" s="8"/>
      <c r="M41" s="8"/>
      <c r="N41" s="8"/>
      <c r="O41" s="8"/>
      <c r="P41" s="36"/>
      <c r="Q41" s="36"/>
      <c r="R41" s="8"/>
      <c r="S41" s="8"/>
      <c r="T41" s="7"/>
      <c r="U41" s="8"/>
      <c r="V41" s="8"/>
      <c r="W41" s="8"/>
      <c r="X41" s="8"/>
      <c r="Y41" s="8"/>
      <c r="Z41" s="8"/>
      <c r="AA41" s="36"/>
      <c r="AB41" s="36"/>
    </row>
    <row r="42" spans="2:34" ht="15.75" customHeight="1" thickBot="1" x14ac:dyDescent="0.3">
      <c r="B42" s="43"/>
      <c r="C42" s="43"/>
      <c r="L42" s="37"/>
    </row>
    <row r="43" spans="2:34" ht="15.75" customHeight="1" thickBot="1" x14ac:dyDescent="0.3">
      <c r="B43" s="38" t="s">
        <v>48</v>
      </c>
      <c r="C43" s="38" t="s">
        <v>57</v>
      </c>
      <c r="D43" s="47">
        <v>1</v>
      </c>
      <c r="E43" s="48">
        <v>2</v>
      </c>
      <c r="F43" s="48">
        <v>3</v>
      </c>
      <c r="G43" s="48">
        <v>4</v>
      </c>
      <c r="H43" s="49">
        <v>5</v>
      </c>
      <c r="I43" s="47">
        <v>6</v>
      </c>
      <c r="J43" s="48">
        <v>7</v>
      </c>
      <c r="K43" s="48">
        <v>8</v>
      </c>
      <c r="L43" s="48">
        <v>9</v>
      </c>
      <c r="M43" s="49">
        <v>10</v>
      </c>
      <c r="N43" s="47">
        <v>11</v>
      </c>
      <c r="O43" s="48">
        <v>12</v>
      </c>
      <c r="P43" s="48">
        <v>13</v>
      </c>
      <c r="Q43" s="48">
        <v>14</v>
      </c>
      <c r="R43" s="49">
        <v>15</v>
      </c>
      <c r="S43" s="47">
        <v>16</v>
      </c>
      <c r="T43" s="48">
        <v>17</v>
      </c>
      <c r="U43" s="48">
        <v>18</v>
      </c>
      <c r="V43" s="48">
        <v>19</v>
      </c>
      <c r="W43" s="49">
        <v>20</v>
      </c>
      <c r="X43" s="47">
        <v>21</v>
      </c>
      <c r="Y43" s="48">
        <v>22</v>
      </c>
      <c r="Z43" s="48">
        <v>23</v>
      </c>
      <c r="AA43" s="48">
        <v>24</v>
      </c>
      <c r="AB43" s="49">
        <v>25</v>
      </c>
      <c r="AC43" s="30" t="s">
        <v>1</v>
      </c>
    </row>
    <row r="44" spans="2:34" ht="15.75" customHeight="1" x14ac:dyDescent="0.25">
      <c r="B44" s="190" t="e">
        <f>VLOOKUP(C44,Tabla2[],2,FALSE)</f>
        <v>#N/A</v>
      </c>
      <c r="C44" s="185"/>
      <c r="D44" s="129"/>
      <c r="E44" s="114"/>
      <c r="F44" s="114"/>
      <c r="G44" s="114"/>
      <c r="H44" s="117"/>
      <c r="I44" s="111"/>
      <c r="J44" s="105"/>
      <c r="K44" s="105"/>
      <c r="L44" s="105"/>
      <c r="M44" s="108"/>
      <c r="N44" s="111"/>
      <c r="O44" s="105"/>
      <c r="P44" s="105"/>
      <c r="Q44" s="105"/>
      <c r="R44" s="108"/>
      <c r="S44" s="111"/>
      <c r="T44" s="105"/>
      <c r="U44" s="105"/>
      <c r="V44" s="105"/>
      <c r="W44" s="108"/>
      <c r="X44" s="111"/>
      <c r="Y44" s="105"/>
      <c r="Z44" s="105"/>
      <c r="AA44" s="105"/>
      <c r="AB44" s="108"/>
      <c r="AC44" s="133"/>
    </row>
    <row r="45" spans="2:34" ht="15.75" customHeight="1" x14ac:dyDescent="0.25">
      <c r="B45" s="191"/>
      <c r="C45" s="186"/>
      <c r="D45" s="130"/>
      <c r="E45" s="115"/>
      <c r="F45" s="115"/>
      <c r="G45" s="115"/>
      <c r="H45" s="118"/>
      <c r="I45" s="112"/>
      <c r="J45" s="106"/>
      <c r="K45" s="106"/>
      <c r="L45" s="106"/>
      <c r="M45" s="109"/>
      <c r="N45" s="112"/>
      <c r="O45" s="106"/>
      <c r="P45" s="106"/>
      <c r="Q45" s="106"/>
      <c r="R45" s="109"/>
      <c r="S45" s="112"/>
      <c r="T45" s="106"/>
      <c r="U45" s="106"/>
      <c r="V45" s="106"/>
      <c r="W45" s="109"/>
      <c r="X45" s="112"/>
      <c r="Y45" s="106"/>
      <c r="Z45" s="106"/>
      <c r="AA45" s="106"/>
      <c r="AB45" s="109"/>
      <c r="AC45" s="134"/>
    </row>
    <row r="46" spans="2:34" ht="15.75" customHeight="1" thickBot="1" x14ac:dyDescent="0.3">
      <c r="B46" s="192"/>
      <c r="C46" s="187"/>
      <c r="D46" s="131"/>
      <c r="E46" s="116"/>
      <c r="F46" s="116"/>
      <c r="G46" s="116"/>
      <c r="H46" s="119"/>
      <c r="I46" s="113"/>
      <c r="J46" s="107"/>
      <c r="K46" s="107"/>
      <c r="L46" s="107"/>
      <c r="M46" s="110"/>
      <c r="N46" s="113"/>
      <c r="O46" s="107"/>
      <c r="P46" s="107"/>
      <c r="Q46" s="107"/>
      <c r="R46" s="110"/>
      <c r="S46" s="113"/>
      <c r="T46" s="107"/>
      <c r="U46" s="107"/>
      <c r="V46" s="107"/>
      <c r="W46" s="110"/>
      <c r="X46" s="113"/>
      <c r="Y46" s="107"/>
      <c r="Z46" s="107"/>
      <c r="AA46" s="107"/>
      <c r="AB46" s="110"/>
      <c r="AC46" s="135"/>
    </row>
    <row r="47" spans="2:34" ht="15.75" customHeight="1" x14ac:dyDescent="0.25">
      <c r="B47" s="190" t="e">
        <f>VLOOKUP(C47,Tabla2[],2,FALSE)</f>
        <v>#N/A</v>
      </c>
      <c r="C47" s="185"/>
      <c r="D47" s="93"/>
      <c r="E47" s="123"/>
      <c r="F47" s="123"/>
      <c r="G47" s="123"/>
      <c r="H47" s="126"/>
      <c r="I47" s="102"/>
      <c r="J47" s="96"/>
      <c r="K47" s="96"/>
      <c r="L47" s="96"/>
      <c r="M47" s="99"/>
      <c r="N47" s="102"/>
      <c r="O47" s="96"/>
      <c r="P47" s="96"/>
      <c r="Q47" s="96"/>
      <c r="R47" s="99"/>
      <c r="S47" s="102"/>
      <c r="T47" s="96"/>
      <c r="U47" s="96"/>
      <c r="V47" s="96"/>
      <c r="W47" s="99"/>
      <c r="X47" s="111"/>
      <c r="Y47" s="105"/>
      <c r="Z47" s="105"/>
      <c r="AA47" s="105"/>
      <c r="AB47" s="108"/>
      <c r="AC47" s="133"/>
    </row>
    <row r="48" spans="2:34" ht="15.75" customHeight="1" x14ac:dyDescent="0.25">
      <c r="B48" s="191"/>
      <c r="C48" s="186"/>
      <c r="D48" s="94"/>
      <c r="E48" s="124"/>
      <c r="F48" s="124"/>
      <c r="G48" s="124"/>
      <c r="H48" s="127"/>
      <c r="I48" s="103"/>
      <c r="J48" s="97"/>
      <c r="K48" s="97"/>
      <c r="L48" s="97"/>
      <c r="M48" s="100"/>
      <c r="N48" s="103"/>
      <c r="O48" s="97"/>
      <c r="P48" s="97"/>
      <c r="Q48" s="97"/>
      <c r="R48" s="100"/>
      <c r="S48" s="103"/>
      <c r="T48" s="97"/>
      <c r="U48" s="97"/>
      <c r="V48" s="97"/>
      <c r="W48" s="100"/>
      <c r="X48" s="112"/>
      <c r="Y48" s="106"/>
      <c r="Z48" s="106"/>
      <c r="AA48" s="106"/>
      <c r="AB48" s="109"/>
      <c r="AC48" s="134"/>
    </row>
    <row r="49" spans="2:29" ht="15.75" customHeight="1" thickBot="1" x14ac:dyDescent="0.3">
      <c r="B49" s="192"/>
      <c r="C49" s="187"/>
      <c r="D49" s="95"/>
      <c r="E49" s="125"/>
      <c r="F49" s="125"/>
      <c r="G49" s="125"/>
      <c r="H49" s="128"/>
      <c r="I49" s="104"/>
      <c r="J49" s="98"/>
      <c r="K49" s="98"/>
      <c r="L49" s="98"/>
      <c r="M49" s="101"/>
      <c r="N49" s="104"/>
      <c r="O49" s="98"/>
      <c r="P49" s="98"/>
      <c r="Q49" s="98"/>
      <c r="R49" s="101"/>
      <c r="S49" s="104"/>
      <c r="T49" s="98"/>
      <c r="U49" s="98"/>
      <c r="V49" s="98"/>
      <c r="W49" s="101"/>
      <c r="X49" s="113"/>
      <c r="Y49" s="107"/>
      <c r="Z49" s="107"/>
      <c r="AA49" s="107"/>
      <c r="AB49" s="110"/>
      <c r="AC49" s="135"/>
    </row>
    <row r="50" spans="2:29" ht="15.75" customHeight="1" x14ac:dyDescent="0.25">
      <c r="B50" s="190" t="e">
        <f>VLOOKUP(C50,Tabla2[],2,FALSE)</f>
        <v>#N/A</v>
      </c>
      <c r="C50" s="185"/>
      <c r="D50" s="93"/>
      <c r="E50" s="123"/>
      <c r="F50" s="123"/>
      <c r="G50" s="123"/>
      <c r="H50" s="126"/>
      <c r="I50" s="102"/>
      <c r="J50" s="96"/>
      <c r="K50" s="96"/>
      <c r="L50" s="96"/>
      <c r="M50" s="99"/>
      <c r="N50" s="102"/>
      <c r="O50" s="96"/>
      <c r="P50" s="96"/>
      <c r="Q50" s="96"/>
      <c r="R50" s="99"/>
      <c r="S50" s="111"/>
      <c r="T50" s="105"/>
      <c r="U50" s="105"/>
      <c r="V50" s="105"/>
      <c r="W50" s="108"/>
      <c r="X50" s="102"/>
      <c r="Y50" s="96"/>
      <c r="Z50" s="96"/>
      <c r="AA50" s="96"/>
      <c r="AB50" s="99"/>
      <c r="AC50" s="133"/>
    </row>
    <row r="51" spans="2:29" ht="15.75" customHeight="1" x14ac:dyDescent="0.25">
      <c r="B51" s="191"/>
      <c r="C51" s="186"/>
      <c r="D51" s="94"/>
      <c r="E51" s="124"/>
      <c r="F51" s="124"/>
      <c r="G51" s="124"/>
      <c r="H51" s="127"/>
      <c r="I51" s="103"/>
      <c r="J51" s="97"/>
      <c r="K51" s="97"/>
      <c r="L51" s="97"/>
      <c r="M51" s="100"/>
      <c r="N51" s="103"/>
      <c r="O51" s="97"/>
      <c r="P51" s="97"/>
      <c r="Q51" s="97"/>
      <c r="R51" s="100"/>
      <c r="S51" s="112"/>
      <c r="T51" s="106"/>
      <c r="U51" s="106"/>
      <c r="V51" s="106"/>
      <c r="W51" s="109"/>
      <c r="X51" s="103"/>
      <c r="Y51" s="97"/>
      <c r="Z51" s="97"/>
      <c r="AA51" s="97"/>
      <c r="AB51" s="100"/>
      <c r="AC51" s="134"/>
    </row>
    <row r="52" spans="2:29" ht="15.75" customHeight="1" thickBot="1" x14ac:dyDescent="0.3">
      <c r="B52" s="192"/>
      <c r="C52" s="187"/>
      <c r="D52" s="95"/>
      <c r="E52" s="125"/>
      <c r="F52" s="125"/>
      <c r="G52" s="125"/>
      <c r="H52" s="128"/>
      <c r="I52" s="104"/>
      <c r="J52" s="98"/>
      <c r="K52" s="98"/>
      <c r="L52" s="98"/>
      <c r="M52" s="101"/>
      <c r="N52" s="104"/>
      <c r="O52" s="98"/>
      <c r="P52" s="98"/>
      <c r="Q52" s="98"/>
      <c r="R52" s="101"/>
      <c r="S52" s="113"/>
      <c r="T52" s="107"/>
      <c r="U52" s="107"/>
      <c r="V52" s="107"/>
      <c r="W52" s="110"/>
      <c r="X52" s="104"/>
      <c r="Y52" s="98"/>
      <c r="Z52" s="98"/>
      <c r="AA52" s="98"/>
      <c r="AB52" s="101"/>
      <c r="AC52" s="135"/>
    </row>
    <row r="53" spans="2:29" ht="15.75" customHeight="1" x14ac:dyDescent="0.25">
      <c r="B53" s="190" t="e">
        <f>VLOOKUP(C53,Tabla2[],2,FALSE)</f>
        <v>#N/A</v>
      </c>
      <c r="C53" s="185"/>
      <c r="D53" s="93"/>
      <c r="E53" s="123"/>
      <c r="F53" s="123"/>
      <c r="G53" s="123"/>
      <c r="H53" s="126"/>
      <c r="I53" s="102"/>
      <c r="J53" s="96"/>
      <c r="K53" s="96"/>
      <c r="L53" s="96"/>
      <c r="M53" s="99"/>
      <c r="N53" s="111"/>
      <c r="O53" s="105"/>
      <c r="P53" s="105"/>
      <c r="Q53" s="105"/>
      <c r="R53" s="108"/>
      <c r="S53" s="102"/>
      <c r="T53" s="96"/>
      <c r="U53" s="96"/>
      <c r="V53" s="96"/>
      <c r="W53" s="99"/>
      <c r="X53" s="102"/>
      <c r="Y53" s="96"/>
      <c r="Z53" s="96"/>
      <c r="AA53" s="96"/>
      <c r="AB53" s="99"/>
      <c r="AC53" s="133"/>
    </row>
    <row r="54" spans="2:29" ht="15.75" customHeight="1" x14ac:dyDescent="0.25">
      <c r="B54" s="191"/>
      <c r="C54" s="186"/>
      <c r="D54" s="94"/>
      <c r="E54" s="124"/>
      <c r="F54" s="124"/>
      <c r="G54" s="124"/>
      <c r="H54" s="127"/>
      <c r="I54" s="103"/>
      <c r="J54" s="97"/>
      <c r="K54" s="97"/>
      <c r="L54" s="97"/>
      <c r="M54" s="100"/>
      <c r="N54" s="112"/>
      <c r="O54" s="106"/>
      <c r="P54" s="106"/>
      <c r="Q54" s="106"/>
      <c r="R54" s="109"/>
      <c r="S54" s="103"/>
      <c r="T54" s="97"/>
      <c r="U54" s="97"/>
      <c r="V54" s="97"/>
      <c r="W54" s="100"/>
      <c r="X54" s="103"/>
      <c r="Y54" s="97"/>
      <c r="Z54" s="97"/>
      <c r="AA54" s="97"/>
      <c r="AB54" s="100"/>
      <c r="AC54" s="134"/>
    </row>
    <row r="55" spans="2:29" ht="15.75" customHeight="1" thickBot="1" x14ac:dyDescent="0.3">
      <c r="B55" s="192"/>
      <c r="C55" s="187"/>
      <c r="D55" s="95"/>
      <c r="E55" s="125"/>
      <c r="F55" s="125"/>
      <c r="G55" s="125"/>
      <c r="H55" s="128"/>
      <c r="I55" s="104"/>
      <c r="J55" s="98"/>
      <c r="K55" s="98"/>
      <c r="L55" s="98"/>
      <c r="M55" s="101"/>
      <c r="N55" s="113"/>
      <c r="O55" s="107"/>
      <c r="P55" s="107"/>
      <c r="Q55" s="107"/>
      <c r="R55" s="110"/>
      <c r="S55" s="104"/>
      <c r="T55" s="98"/>
      <c r="U55" s="98"/>
      <c r="V55" s="98"/>
      <c r="W55" s="101"/>
      <c r="X55" s="104"/>
      <c r="Y55" s="98"/>
      <c r="Z55" s="98"/>
      <c r="AA55" s="98"/>
      <c r="AB55" s="101"/>
      <c r="AC55" s="135"/>
    </row>
    <row r="56" spans="2:29" ht="15.75" customHeight="1" x14ac:dyDescent="0.25">
      <c r="B56" s="190" t="e">
        <f>VLOOKUP(C56,Tabla2[],2,FALSE)</f>
        <v>#N/A</v>
      </c>
      <c r="C56" s="185"/>
      <c r="D56" s="93"/>
      <c r="E56" s="123"/>
      <c r="F56" s="123"/>
      <c r="G56" s="123"/>
      <c r="H56" s="126"/>
      <c r="I56" s="111"/>
      <c r="J56" s="105"/>
      <c r="K56" s="105"/>
      <c r="L56" s="105"/>
      <c r="M56" s="108"/>
      <c r="N56" s="102"/>
      <c r="O56" s="96"/>
      <c r="P56" s="96"/>
      <c r="Q56" s="96"/>
      <c r="R56" s="99"/>
      <c r="S56" s="102"/>
      <c r="T56" s="96"/>
      <c r="U56" s="96"/>
      <c r="V56" s="96"/>
      <c r="W56" s="99"/>
      <c r="X56" s="102"/>
      <c r="Y56" s="96"/>
      <c r="Z56" s="96"/>
      <c r="AA56" s="96"/>
      <c r="AB56" s="99"/>
      <c r="AC56" s="133"/>
    </row>
    <row r="57" spans="2:29" ht="15.75" customHeight="1" x14ac:dyDescent="0.25">
      <c r="B57" s="191"/>
      <c r="C57" s="186"/>
      <c r="D57" s="94"/>
      <c r="E57" s="124"/>
      <c r="F57" s="124"/>
      <c r="G57" s="124"/>
      <c r="H57" s="127"/>
      <c r="I57" s="112"/>
      <c r="J57" s="106"/>
      <c r="K57" s="106"/>
      <c r="L57" s="106"/>
      <c r="M57" s="109"/>
      <c r="N57" s="103"/>
      <c r="O57" s="97"/>
      <c r="P57" s="97"/>
      <c r="Q57" s="97"/>
      <c r="R57" s="100"/>
      <c r="S57" s="103"/>
      <c r="T57" s="97"/>
      <c r="U57" s="97"/>
      <c r="V57" s="97"/>
      <c r="W57" s="100"/>
      <c r="X57" s="103"/>
      <c r="Y57" s="97"/>
      <c r="Z57" s="97"/>
      <c r="AA57" s="97"/>
      <c r="AB57" s="100"/>
      <c r="AC57" s="134"/>
    </row>
    <row r="58" spans="2:29" ht="15.75" customHeight="1" thickBot="1" x14ac:dyDescent="0.3">
      <c r="B58" s="192"/>
      <c r="C58" s="187"/>
      <c r="D58" s="95"/>
      <c r="E58" s="125"/>
      <c r="F58" s="125"/>
      <c r="G58" s="125"/>
      <c r="H58" s="128"/>
      <c r="I58" s="113"/>
      <c r="J58" s="107"/>
      <c r="K58" s="107"/>
      <c r="L58" s="107"/>
      <c r="M58" s="110"/>
      <c r="N58" s="104"/>
      <c r="O58" s="98"/>
      <c r="P58" s="98"/>
      <c r="Q58" s="98"/>
      <c r="R58" s="101"/>
      <c r="S58" s="104"/>
      <c r="T58" s="98"/>
      <c r="U58" s="98"/>
      <c r="V58" s="98"/>
      <c r="W58" s="101"/>
      <c r="X58" s="104"/>
      <c r="Y58" s="98"/>
      <c r="Z58" s="98"/>
      <c r="AA58" s="98"/>
      <c r="AB58" s="101"/>
      <c r="AC58" s="135"/>
    </row>
    <row r="59" spans="2:29" ht="15.75" customHeight="1" x14ac:dyDescent="0.25">
      <c r="B59" s="190" t="e">
        <f>VLOOKUP(C59,Tabla2[],2,FALSE)</f>
        <v>#N/A</v>
      </c>
      <c r="C59" s="185"/>
      <c r="D59" s="111"/>
      <c r="E59" s="105"/>
      <c r="F59" s="105"/>
      <c r="G59" s="105"/>
      <c r="H59" s="108"/>
      <c r="I59" s="122"/>
      <c r="J59" s="120"/>
      <c r="K59" s="120"/>
      <c r="L59" s="120"/>
      <c r="M59" s="121"/>
      <c r="N59" s="122"/>
      <c r="O59" s="120"/>
      <c r="P59" s="120"/>
      <c r="Q59" s="120"/>
      <c r="R59" s="121"/>
      <c r="S59" s="122"/>
      <c r="T59" s="120"/>
      <c r="U59" s="120"/>
      <c r="V59" s="120"/>
      <c r="W59" s="121"/>
      <c r="X59" s="122"/>
      <c r="Y59" s="120"/>
      <c r="Z59" s="120"/>
      <c r="AA59" s="120"/>
      <c r="AB59" s="121"/>
      <c r="AC59" s="133"/>
    </row>
    <row r="60" spans="2:29" ht="15.75" customHeight="1" x14ac:dyDescent="0.25">
      <c r="B60" s="191"/>
      <c r="C60" s="186"/>
      <c r="D60" s="112"/>
      <c r="E60" s="106"/>
      <c r="F60" s="106"/>
      <c r="G60" s="106"/>
      <c r="H60" s="109"/>
      <c r="I60" s="103"/>
      <c r="J60" s="97"/>
      <c r="K60" s="97"/>
      <c r="L60" s="97"/>
      <c r="M60" s="100"/>
      <c r="N60" s="103"/>
      <c r="O60" s="97"/>
      <c r="P60" s="97"/>
      <c r="Q60" s="97"/>
      <c r="R60" s="100"/>
      <c r="S60" s="103"/>
      <c r="T60" s="97"/>
      <c r="U60" s="97"/>
      <c r="V60" s="97"/>
      <c r="W60" s="100"/>
      <c r="X60" s="103"/>
      <c r="Y60" s="97"/>
      <c r="Z60" s="97"/>
      <c r="AA60" s="97"/>
      <c r="AB60" s="100"/>
      <c r="AC60" s="134"/>
    </row>
    <row r="61" spans="2:29" ht="15.75" customHeight="1" thickBot="1" x14ac:dyDescent="0.3">
      <c r="B61" s="192"/>
      <c r="C61" s="187"/>
      <c r="D61" s="113"/>
      <c r="E61" s="107"/>
      <c r="F61" s="107"/>
      <c r="G61" s="107"/>
      <c r="H61" s="110"/>
      <c r="I61" s="104"/>
      <c r="J61" s="98"/>
      <c r="K61" s="98"/>
      <c r="L61" s="98"/>
      <c r="M61" s="101"/>
      <c r="N61" s="104"/>
      <c r="O61" s="98"/>
      <c r="P61" s="98"/>
      <c r="Q61" s="98"/>
      <c r="R61" s="101"/>
      <c r="S61" s="104"/>
      <c r="T61" s="98"/>
      <c r="U61" s="98"/>
      <c r="V61" s="98"/>
      <c r="W61" s="101"/>
      <c r="X61" s="104"/>
      <c r="Y61" s="98"/>
      <c r="Z61" s="98"/>
      <c r="AA61" s="98"/>
      <c r="AB61" s="101"/>
      <c r="AC61" s="135"/>
    </row>
    <row r="62" spans="2:29" ht="15.75" customHeight="1" x14ac:dyDescent="0.25">
      <c r="B62" s="39"/>
      <c r="C62" s="40"/>
    </row>
    <row r="63" spans="2:29" ht="15.75" customHeight="1" x14ac:dyDescent="0.25">
      <c r="B63" s="39"/>
      <c r="C63" s="40"/>
      <c r="F63" s="21"/>
      <c r="J63" s="21"/>
      <c r="N63" s="21"/>
      <c r="R63" s="21"/>
      <c r="V63" s="21"/>
      <c r="Z63" s="21"/>
    </row>
    <row r="64" spans="2:29" ht="15.75" customHeight="1" x14ac:dyDescent="0.25">
      <c r="B64" s="39"/>
      <c r="C64" s="40"/>
    </row>
    <row r="65" spans="2:34" ht="15.75" customHeight="1" x14ac:dyDescent="0.25">
      <c r="B65" s="39"/>
      <c r="C65" s="40"/>
    </row>
    <row r="66" spans="2:34" ht="15.75" customHeight="1" x14ac:dyDescent="0.25">
      <c r="B66" s="40"/>
      <c r="C66" s="40"/>
    </row>
    <row r="67" spans="2:34" ht="15.75" customHeight="1" x14ac:dyDescent="0.25">
      <c r="B67" s="40"/>
      <c r="C67" s="40"/>
    </row>
    <row r="68" spans="2:34" ht="15.75" customHeight="1" x14ac:dyDescent="0.25">
      <c r="B68" s="40"/>
      <c r="C68" s="40"/>
    </row>
    <row r="69" spans="2:34" ht="15.75" customHeight="1" x14ac:dyDescent="0.25"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  <c r="AH69" s="144"/>
    </row>
    <row r="70" spans="2:34" ht="15.75" customHeight="1" x14ac:dyDescent="0.25">
      <c r="B70" s="41"/>
      <c r="C70" s="41"/>
    </row>
    <row r="71" spans="2:34" ht="15.75" customHeight="1" x14ac:dyDescent="0.25">
      <c r="B71" s="132" t="s">
        <v>71</v>
      </c>
      <c r="C71" s="132"/>
      <c r="D71" s="132"/>
      <c r="E71" s="132"/>
      <c r="F71" s="132"/>
      <c r="G71" s="132"/>
      <c r="H71" s="132"/>
      <c r="I71" s="132"/>
      <c r="J71" s="132"/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54"/>
      <c r="AE71" s="54"/>
      <c r="AF71" s="54"/>
      <c r="AG71" s="54"/>
      <c r="AH71" s="54"/>
    </row>
    <row r="72" spans="2:34" ht="15.75" customHeight="1" x14ac:dyDescent="0.25"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</row>
    <row r="73" spans="2:34" ht="15.75" customHeight="1" x14ac:dyDescent="0.25">
      <c r="B73" s="50"/>
      <c r="C73" s="50"/>
    </row>
    <row r="74" spans="2:34" ht="15.75" customHeight="1" x14ac:dyDescent="0.3">
      <c r="B74" s="42"/>
      <c r="C74" s="42"/>
      <c r="K74" s="8"/>
      <c r="L74" s="8"/>
      <c r="M74" s="8"/>
      <c r="N74" s="8"/>
      <c r="O74" s="8"/>
      <c r="P74" s="36"/>
      <c r="Q74" s="36"/>
      <c r="R74" s="8"/>
      <c r="S74" s="8"/>
      <c r="T74" s="7"/>
      <c r="U74" s="8"/>
      <c r="V74" s="8"/>
      <c r="W74" s="8"/>
      <c r="X74" s="8"/>
      <c r="Y74" s="8"/>
      <c r="Z74" s="8"/>
      <c r="AA74" s="36"/>
      <c r="AB74" s="36"/>
    </row>
    <row r="75" spans="2:34" ht="15.75" customHeight="1" thickBot="1" x14ac:dyDescent="0.3">
      <c r="B75" s="43"/>
      <c r="C75" s="43"/>
      <c r="L75" s="37"/>
    </row>
    <row r="76" spans="2:34" ht="15.75" customHeight="1" thickBot="1" x14ac:dyDescent="0.3">
      <c r="B76" s="38" t="s">
        <v>48</v>
      </c>
      <c r="C76" s="38" t="s">
        <v>57</v>
      </c>
      <c r="D76" s="47">
        <v>1</v>
      </c>
      <c r="E76" s="48">
        <v>2</v>
      </c>
      <c r="F76" s="48">
        <v>3</v>
      </c>
      <c r="G76" s="48">
        <v>4</v>
      </c>
      <c r="H76" s="49">
        <v>5</v>
      </c>
      <c r="I76" s="47">
        <v>6</v>
      </c>
      <c r="J76" s="48">
        <v>7</v>
      </c>
      <c r="K76" s="48">
        <v>8</v>
      </c>
      <c r="L76" s="48">
        <v>9</v>
      </c>
      <c r="M76" s="49">
        <v>10</v>
      </c>
      <c r="N76" s="47">
        <v>11</v>
      </c>
      <c r="O76" s="48">
        <v>12</v>
      </c>
      <c r="P76" s="48">
        <v>13</v>
      </c>
      <c r="Q76" s="48">
        <v>14</v>
      </c>
      <c r="R76" s="49">
        <v>15</v>
      </c>
      <c r="S76" s="47">
        <v>16</v>
      </c>
      <c r="T76" s="48">
        <v>17</v>
      </c>
      <c r="U76" s="48">
        <v>18</v>
      </c>
      <c r="V76" s="48">
        <v>19</v>
      </c>
      <c r="W76" s="49">
        <v>20</v>
      </c>
      <c r="X76" s="47">
        <v>21</v>
      </c>
      <c r="Y76" s="48">
        <v>22</v>
      </c>
      <c r="Z76" s="48">
        <v>23</v>
      </c>
      <c r="AA76" s="48">
        <v>24</v>
      </c>
      <c r="AB76" s="49">
        <v>25</v>
      </c>
      <c r="AC76" s="30" t="s">
        <v>1</v>
      </c>
    </row>
    <row r="77" spans="2:34" ht="15.75" customHeight="1" x14ac:dyDescent="0.25">
      <c r="B77" s="190">
        <f>VLOOKUP(C77,Tabla2[],2,FALSE)</f>
        <v>0</v>
      </c>
      <c r="C77" s="185">
        <v>76</v>
      </c>
      <c r="D77" s="129"/>
      <c r="E77" s="114"/>
      <c r="F77" s="114"/>
      <c r="G77" s="114"/>
      <c r="H77" s="117"/>
      <c r="I77" s="111"/>
      <c r="J77" s="105"/>
      <c r="K77" s="105"/>
      <c r="L77" s="105"/>
      <c r="M77" s="108"/>
      <c r="N77" s="111"/>
      <c r="O77" s="105"/>
      <c r="P77" s="105"/>
      <c r="Q77" s="105"/>
      <c r="R77" s="108"/>
      <c r="S77" s="111"/>
      <c r="T77" s="105"/>
      <c r="U77" s="105"/>
      <c r="V77" s="105"/>
      <c r="W77" s="108"/>
      <c r="X77" s="111"/>
      <c r="Y77" s="105"/>
      <c r="Z77" s="105"/>
      <c r="AA77" s="105"/>
      <c r="AB77" s="108"/>
      <c r="AC77" s="133"/>
    </row>
    <row r="78" spans="2:34" ht="15.75" customHeight="1" x14ac:dyDescent="0.25">
      <c r="B78" s="191"/>
      <c r="C78" s="186"/>
      <c r="D78" s="130"/>
      <c r="E78" s="115"/>
      <c r="F78" s="115"/>
      <c r="G78" s="115"/>
      <c r="H78" s="118"/>
      <c r="I78" s="112"/>
      <c r="J78" s="106"/>
      <c r="K78" s="106"/>
      <c r="L78" s="106"/>
      <c r="M78" s="109"/>
      <c r="N78" s="112"/>
      <c r="O78" s="106"/>
      <c r="P78" s="106"/>
      <c r="Q78" s="106"/>
      <c r="R78" s="109"/>
      <c r="S78" s="112"/>
      <c r="T78" s="106"/>
      <c r="U78" s="106"/>
      <c r="V78" s="106"/>
      <c r="W78" s="109"/>
      <c r="X78" s="112"/>
      <c r="Y78" s="106"/>
      <c r="Z78" s="106"/>
      <c r="AA78" s="106"/>
      <c r="AB78" s="109"/>
      <c r="AC78" s="134"/>
    </row>
    <row r="79" spans="2:34" ht="15.75" customHeight="1" thickBot="1" x14ac:dyDescent="0.3">
      <c r="B79" s="192"/>
      <c r="C79" s="187"/>
      <c r="D79" s="131"/>
      <c r="E79" s="116"/>
      <c r="F79" s="116"/>
      <c r="G79" s="116"/>
      <c r="H79" s="119"/>
      <c r="I79" s="113"/>
      <c r="J79" s="107"/>
      <c r="K79" s="107"/>
      <c r="L79" s="107"/>
      <c r="M79" s="110"/>
      <c r="N79" s="113"/>
      <c r="O79" s="107"/>
      <c r="P79" s="107"/>
      <c r="Q79" s="107"/>
      <c r="R79" s="110"/>
      <c r="S79" s="113"/>
      <c r="T79" s="107"/>
      <c r="U79" s="107"/>
      <c r="V79" s="107"/>
      <c r="W79" s="110"/>
      <c r="X79" s="113"/>
      <c r="Y79" s="107"/>
      <c r="Z79" s="107"/>
      <c r="AA79" s="107"/>
      <c r="AB79" s="110"/>
      <c r="AC79" s="135"/>
    </row>
    <row r="80" spans="2:34" ht="15.75" customHeight="1" x14ac:dyDescent="0.25">
      <c r="B80" s="190">
        <f>VLOOKUP(C80,Tabla2[],2,FALSE)</f>
        <v>0</v>
      </c>
      <c r="C80" s="185">
        <v>67</v>
      </c>
      <c r="D80" s="93"/>
      <c r="E80" s="123"/>
      <c r="F80" s="123"/>
      <c r="G80" s="123"/>
      <c r="H80" s="126"/>
      <c r="I80" s="102"/>
      <c r="J80" s="96"/>
      <c r="K80" s="96"/>
      <c r="L80" s="96"/>
      <c r="M80" s="99"/>
      <c r="N80" s="102"/>
      <c r="O80" s="96"/>
      <c r="P80" s="96"/>
      <c r="Q80" s="96"/>
      <c r="R80" s="99"/>
      <c r="S80" s="102"/>
      <c r="T80" s="96"/>
      <c r="U80" s="96"/>
      <c r="V80" s="96"/>
      <c r="W80" s="99"/>
      <c r="X80" s="111"/>
      <c r="Y80" s="105"/>
      <c r="Z80" s="105"/>
      <c r="AA80" s="105"/>
      <c r="AB80" s="108"/>
      <c r="AC80" s="133"/>
    </row>
    <row r="81" spans="2:29" ht="15.75" customHeight="1" x14ac:dyDescent="0.25">
      <c r="B81" s="191"/>
      <c r="C81" s="186"/>
      <c r="D81" s="94"/>
      <c r="E81" s="124"/>
      <c r="F81" s="124"/>
      <c r="G81" s="124"/>
      <c r="H81" s="127"/>
      <c r="I81" s="103"/>
      <c r="J81" s="97"/>
      <c r="K81" s="97"/>
      <c r="L81" s="97"/>
      <c r="M81" s="100"/>
      <c r="N81" s="103"/>
      <c r="O81" s="97"/>
      <c r="P81" s="97"/>
      <c r="Q81" s="97"/>
      <c r="R81" s="100"/>
      <c r="S81" s="103"/>
      <c r="T81" s="97"/>
      <c r="U81" s="97"/>
      <c r="V81" s="97"/>
      <c r="W81" s="100"/>
      <c r="X81" s="112"/>
      <c r="Y81" s="106"/>
      <c r="Z81" s="106"/>
      <c r="AA81" s="106"/>
      <c r="AB81" s="109"/>
      <c r="AC81" s="134"/>
    </row>
    <row r="82" spans="2:29" ht="15.75" customHeight="1" thickBot="1" x14ac:dyDescent="0.3">
      <c r="B82" s="192"/>
      <c r="C82" s="187"/>
      <c r="D82" s="95"/>
      <c r="E82" s="125"/>
      <c r="F82" s="125"/>
      <c r="G82" s="125"/>
      <c r="H82" s="128"/>
      <c r="I82" s="104"/>
      <c r="J82" s="98"/>
      <c r="K82" s="98"/>
      <c r="L82" s="98"/>
      <c r="M82" s="101"/>
      <c r="N82" s="104"/>
      <c r="O82" s="98"/>
      <c r="P82" s="98"/>
      <c r="Q82" s="98"/>
      <c r="R82" s="101"/>
      <c r="S82" s="104"/>
      <c r="T82" s="98"/>
      <c r="U82" s="98"/>
      <c r="V82" s="98"/>
      <c r="W82" s="101"/>
      <c r="X82" s="113"/>
      <c r="Y82" s="107"/>
      <c r="Z82" s="107"/>
      <c r="AA82" s="107"/>
      <c r="AB82" s="110"/>
      <c r="AC82" s="135"/>
    </row>
    <row r="83" spans="2:29" ht="15.75" customHeight="1" x14ac:dyDescent="0.25">
      <c r="B83" s="190" t="str">
        <f>VLOOKUP(C83,Tabla2[],2,FALSE)</f>
        <v>curri</v>
      </c>
      <c r="C83" s="185">
        <v>5</v>
      </c>
      <c r="D83" s="93"/>
      <c r="E83" s="123"/>
      <c r="F83" s="123"/>
      <c r="G83" s="123"/>
      <c r="H83" s="126"/>
      <c r="I83" s="102"/>
      <c r="J83" s="96"/>
      <c r="K83" s="96"/>
      <c r="L83" s="96"/>
      <c r="M83" s="99"/>
      <c r="N83" s="102"/>
      <c r="O83" s="96"/>
      <c r="P83" s="96"/>
      <c r="Q83" s="96"/>
      <c r="R83" s="99"/>
      <c r="S83" s="111"/>
      <c r="T83" s="105"/>
      <c r="U83" s="105"/>
      <c r="V83" s="105"/>
      <c r="W83" s="108"/>
      <c r="X83" s="102"/>
      <c r="Y83" s="96"/>
      <c r="Z83" s="96"/>
      <c r="AA83" s="96"/>
      <c r="AB83" s="99"/>
      <c r="AC83" s="133"/>
    </row>
    <row r="84" spans="2:29" ht="15.75" customHeight="1" x14ac:dyDescent="0.25">
      <c r="B84" s="191"/>
      <c r="C84" s="186"/>
      <c r="D84" s="94"/>
      <c r="E84" s="124"/>
      <c r="F84" s="124"/>
      <c r="G84" s="124"/>
      <c r="H84" s="127"/>
      <c r="I84" s="103"/>
      <c r="J84" s="97"/>
      <c r="K84" s="97"/>
      <c r="L84" s="97"/>
      <c r="M84" s="100"/>
      <c r="N84" s="103"/>
      <c r="O84" s="97"/>
      <c r="P84" s="97"/>
      <c r="Q84" s="97"/>
      <c r="R84" s="100"/>
      <c r="S84" s="112"/>
      <c r="T84" s="106"/>
      <c r="U84" s="106"/>
      <c r="V84" s="106"/>
      <c r="W84" s="109"/>
      <c r="X84" s="103"/>
      <c r="Y84" s="97"/>
      <c r="Z84" s="97"/>
      <c r="AA84" s="97"/>
      <c r="AB84" s="100"/>
      <c r="AC84" s="134"/>
    </row>
    <row r="85" spans="2:29" ht="15.75" customHeight="1" thickBot="1" x14ac:dyDescent="0.3">
      <c r="B85" s="192"/>
      <c r="C85" s="187"/>
      <c r="D85" s="95"/>
      <c r="E85" s="125"/>
      <c r="F85" s="125"/>
      <c r="G85" s="125"/>
      <c r="H85" s="128"/>
      <c r="I85" s="104"/>
      <c r="J85" s="98"/>
      <c r="K85" s="98"/>
      <c r="L85" s="98"/>
      <c r="M85" s="101"/>
      <c r="N85" s="104"/>
      <c r="O85" s="98"/>
      <c r="P85" s="98"/>
      <c r="Q85" s="98"/>
      <c r="R85" s="101"/>
      <c r="S85" s="113"/>
      <c r="T85" s="107"/>
      <c r="U85" s="107"/>
      <c r="V85" s="107"/>
      <c r="W85" s="110"/>
      <c r="X85" s="104"/>
      <c r="Y85" s="98"/>
      <c r="Z85" s="98"/>
      <c r="AA85" s="98"/>
      <c r="AB85" s="101"/>
      <c r="AC85" s="135"/>
    </row>
    <row r="86" spans="2:29" ht="15.75" customHeight="1" x14ac:dyDescent="0.25">
      <c r="B86" s="190" t="e">
        <f>VLOOKUP(C86,Tabla2[],2,FALSE)</f>
        <v>#N/A</v>
      </c>
      <c r="C86" s="185"/>
      <c r="D86" s="93"/>
      <c r="E86" s="123"/>
      <c r="F86" s="123"/>
      <c r="G86" s="123"/>
      <c r="H86" s="126"/>
      <c r="I86" s="102"/>
      <c r="J86" s="96"/>
      <c r="K86" s="96"/>
      <c r="L86" s="96"/>
      <c r="M86" s="99"/>
      <c r="N86" s="111"/>
      <c r="O86" s="105"/>
      <c r="P86" s="105"/>
      <c r="Q86" s="105"/>
      <c r="R86" s="108"/>
      <c r="S86" s="102"/>
      <c r="T86" s="96"/>
      <c r="U86" s="96"/>
      <c r="V86" s="96"/>
      <c r="W86" s="99"/>
      <c r="X86" s="102"/>
      <c r="Y86" s="96"/>
      <c r="Z86" s="96"/>
      <c r="AA86" s="96"/>
      <c r="AB86" s="99"/>
      <c r="AC86" s="133"/>
    </row>
    <row r="87" spans="2:29" ht="15.75" customHeight="1" x14ac:dyDescent="0.25">
      <c r="B87" s="191"/>
      <c r="C87" s="186"/>
      <c r="D87" s="94"/>
      <c r="E87" s="124"/>
      <c r="F87" s="124"/>
      <c r="G87" s="124"/>
      <c r="H87" s="127"/>
      <c r="I87" s="103"/>
      <c r="J87" s="97"/>
      <c r="K87" s="97"/>
      <c r="L87" s="97"/>
      <c r="M87" s="100"/>
      <c r="N87" s="112"/>
      <c r="O87" s="106"/>
      <c r="P87" s="106"/>
      <c r="Q87" s="106"/>
      <c r="R87" s="109"/>
      <c r="S87" s="103"/>
      <c r="T87" s="97"/>
      <c r="U87" s="97"/>
      <c r="V87" s="97"/>
      <c r="W87" s="100"/>
      <c r="X87" s="103"/>
      <c r="Y87" s="97"/>
      <c r="Z87" s="97"/>
      <c r="AA87" s="97"/>
      <c r="AB87" s="100"/>
      <c r="AC87" s="134"/>
    </row>
    <row r="88" spans="2:29" ht="15.75" customHeight="1" thickBot="1" x14ac:dyDescent="0.3">
      <c r="B88" s="192"/>
      <c r="C88" s="187"/>
      <c r="D88" s="95"/>
      <c r="E88" s="125"/>
      <c r="F88" s="125"/>
      <c r="G88" s="125"/>
      <c r="H88" s="128"/>
      <c r="I88" s="104"/>
      <c r="J88" s="98"/>
      <c r="K88" s="98"/>
      <c r="L88" s="98"/>
      <c r="M88" s="101"/>
      <c r="N88" s="113"/>
      <c r="O88" s="107"/>
      <c r="P88" s="107"/>
      <c r="Q88" s="107"/>
      <c r="R88" s="110"/>
      <c r="S88" s="104"/>
      <c r="T88" s="98"/>
      <c r="U88" s="98"/>
      <c r="V88" s="98"/>
      <c r="W88" s="101"/>
      <c r="X88" s="104"/>
      <c r="Y88" s="98"/>
      <c r="Z88" s="98"/>
      <c r="AA88" s="98"/>
      <c r="AB88" s="101"/>
      <c r="AC88" s="135"/>
    </row>
    <row r="89" spans="2:29" ht="15.75" customHeight="1" x14ac:dyDescent="0.25">
      <c r="B89" s="190" t="e">
        <f>VLOOKUP(C89,Tabla2[],2,FALSE)</f>
        <v>#N/A</v>
      </c>
      <c r="C89" s="185"/>
      <c r="D89" s="93"/>
      <c r="E89" s="123"/>
      <c r="F89" s="123"/>
      <c r="G89" s="123"/>
      <c r="H89" s="126"/>
      <c r="I89" s="111"/>
      <c r="J89" s="105"/>
      <c r="K89" s="105"/>
      <c r="L89" s="105"/>
      <c r="M89" s="108"/>
      <c r="N89" s="102"/>
      <c r="O89" s="96"/>
      <c r="P89" s="96"/>
      <c r="Q89" s="96"/>
      <c r="R89" s="99"/>
      <c r="S89" s="102"/>
      <c r="T89" s="96"/>
      <c r="U89" s="96"/>
      <c r="V89" s="96"/>
      <c r="W89" s="99"/>
      <c r="X89" s="102"/>
      <c r="Y89" s="96"/>
      <c r="Z89" s="96"/>
      <c r="AA89" s="96"/>
      <c r="AB89" s="99"/>
      <c r="AC89" s="133"/>
    </row>
    <row r="90" spans="2:29" ht="15.75" customHeight="1" x14ac:dyDescent="0.25">
      <c r="B90" s="191"/>
      <c r="C90" s="186"/>
      <c r="D90" s="94"/>
      <c r="E90" s="124"/>
      <c r="F90" s="124"/>
      <c r="G90" s="124"/>
      <c r="H90" s="127"/>
      <c r="I90" s="112"/>
      <c r="J90" s="106"/>
      <c r="K90" s="106"/>
      <c r="L90" s="106"/>
      <c r="M90" s="109"/>
      <c r="N90" s="103"/>
      <c r="O90" s="97"/>
      <c r="P90" s="97"/>
      <c r="Q90" s="97"/>
      <c r="R90" s="100"/>
      <c r="S90" s="103"/>
      <c r="T90" s="97"/>
      <c r="U90" s="97"/>
      <c r="V90" s="97"/>
      <c r="W90" s="100"/>
      <c r="X90" s="103"/>
      <c r="Y90" s="97"/>
      <c r="Z90" s="97"/>
      <c r="AA90" s="97"/>
      <c r="AB90" s="100"/>
      <c r="AC90" s="134"/>
    </row>
    <row r="91" spans="2:29" ht="15.75" customHeight="1" thickBot="1" x14ac:dyDescent="0.3">
      <c r="B91" s="192"/>
      <c r="C91" s="187"/>
      <c r="D91" s="95"/>
      <c r="E91" s="125"/>
      <c r="F91" s="125"/>
      <c r="G91" s="125"/>
      <c r="H91" s="128"/>
      <c r="I91" s="113"/>
      <c r="J91" s="107"/>
      <c r="K91" s="107"/>
      <c r="L91" s="107"/>
      <c r="M91" s="110"/>
      <c r="N91" s="104"/>
      <c r="O91" s="98"/>
      <c r="P91" s="98"/>
      <c r="Q91" s="98"/>
      <c r="R91" s="101"/>
      <c r="S91" s="104"/>
      <c r="T91" s="98"/>
      <c r="U91" s="98"/>
      <c r="V91" s="98"/>
      <c r="W91" s="101"/>
      <c r="X91" s="104"/>
      <c r="Y91" s="98"/>
      <c r="Z91" s="98"/>
      <c r="AA91" s="98"/>
      <c r="AB91" s="101"/>
      <c r="AC91" s="135"/>
    </row>
    <row r="92" spans="2:29" ht="15.75" customHeight="1" x14ac:dyDescent="0.25">
      <c r="B92" s="190" t="e">
        <f>VLOOKUP(C92,Tabla2[],2,FALSE)</f>
        <v>#N/A</v>
      </c>
      <c r="C92" s="185"/>
      <c r="D92" s="111"/>
      <c r="E92" s="105"/>
      <c r="F92" s="105"/>
      <c r="G92" s="105"/>
      <c r="H92" s="108"/>
      <c r="I92" s="122"/>
      <c r="J92" s="120"/>
      <c r="K92" s="120"/>
      <c r="L92" s="120"/>
      <c r="M92" s="121"/>
      <c r="N92" s="122"/>
      <c r="O92" s="120"/>
      <c r="P92" s="120"/>
      <c r="Q92" s="120"/>
      <c r="R92" s="121"/>
      <c r="S92" s="122"/>
      <c r="T92" s="120"/>
      <c r="U92" s="120"/>
      <c r="V92" s="120"/>
      <c r="W92" s="121"/>
      <c r="X92" s="122"/>
      <c r="Y92" s="120"/>
      <c r="Z92" s="120"/>
      <c r="AA92" s="120"/>
      <c r="AB92" s="121"/>
      <c r="AC92" s="133"/>
    </row>
    <row r="93" spans="2:29" ht="15.75" customHeight="1" x14ac:dyDescent="0.25">
      <c r="B93" s="191"/>
      <c r="C93" s="186"/>
      <c r="D93" s="112"/>
      <c r="E93" s="106"/>
      <c r="F93" s="106"/>
      <c r="G93" s="106"/>
      <c r="H93" s="109"/>
      <c r="I93" s="103"/>
      <c r="J93" s="97"/>
      <c r="K93" s="97"/>
      <c r="L93" s="97"/>
      <c r="M93" s="100"/>
      <c r="N93" s="103"/>
      <c r="O93" s="97"/>
      <c r="P93" s="97"/>
      <c r="Q93" s="97"/>
      <c r="R93" s="100"/>
      <c r="S93" s="103"/>
      <c r="T93" s="97"/>
      <c r="U93" s="97"/>
      <c r="V93" s="97"/>
      <c r="W93" s="100"/>
      <c r="X93" s="103"/>
      <c r="Y93" s="97"/>
      <c r="Z93" s="97"/>
      <c r="AA93" s="97"/>
      <c r="AB93" s="100"/>
      <c r="AC93" s="134"/>
    </row>
    <row r="94" spans="2:29" ht="15.75" customHeight="1" thickBot="1" x14ac:dyDescent="0.3">
      <c r="B94" s="192"/>
      <c r="C94" s="187"/>
      <c r="D94" s="113"/>
      <c r="E94" s="107"/>
      <c r="F94" s="107"/>
      <c r="G94" s="107"/>
      <c r="H94" s="110"/>
      <c r="I94" s="104"/>
      <c r="J94" s="98"/>
      <c r="K94" s="98"/>
      <c r="L94" s="98"/>
      <c r="M94" s="101"/>
      <c r="N94" s="104"/>
      <c r="O94" s="98"/>
      <c r="P94" s="98"/>
      <c r="Q94" s="98"/>
      <c r="R94" s="101"/>
      <c r="S94" s="104"/>
      <c r="T94" s="98"/>
      <c r="U94" s="98"/>
      <c r="V94" s="98"/>
      <c r="W94" s="101"/>
      <c r="X94" s="104"/>
      <c r="Y94" s="98"/>
      <c r="Z94" s="98"/>
      <c r="AA94" s="98"/>
      <c r="AB94" s="101"/>
      <c r="AC94" s="135"/>
    </row>
    <row r="95" spans="2:29" ht="15.75" customHeight="1" x14ac:dyDescent="0.25">
      <c r="B95" s="39"/>
      <c r="C95" s="40"/>
    </row>
    <row r="96" spans="2:29" ht="15.75" customHeight="1" x14ac:dyDescent="0.25">
      <c r="B96" s="39"/>
      <c r="C96" s="40"/>
      <c r="F96" s="21"/>
      <c r="J96" s="21"/>
      <c r="N96" s="21"/>
      <c r="R96" s="21"/>
      <c r="V96" s="21"/>
      <c r="Z96" s="21"/>
    </row>
    <row r="97" spans="2:3" ht="15.75" customHeight="1" x14ac:dyDescent="0.25">
      <c r="B97" s="39"/>
      <c r="C97" s="40"/>
    </row>
    <row r="98" spans="2:3" ht="15.75" customHeight="1" x14ac:dyDescent="0.25">
      <c r="B98" s="39"/>
      <c r="C98" s="40"/>
    </row>
    <row r="99" spans="2:3" ht="15.75" customHeight="1" x14ac:dyDescent="0.25">
      <c r="B99" s="40"/>
      <c r="C99" s="40"/>
    </row>
    <row r="100" spans="2:3" ht="15.75" customHeight="1" x14ac:dyDescent="0.25"/>
    <row r="101" spans="2:3" ht="15.75" customHeight="1" x14ac:dyDescent="0.25"/>
    <row r="102" spans="2:3" ht="15.75" customHeight="1" x14ac:dyDescent="0.25"/>
    <row r="103" spans="2:3" ht="15.75" customHeight="1" x14ac:dyDescent="0.25"/>
    <row r="104" spans="2:3" ht="15.75" customHeight="1" x14ac:dyDescent="0.25"/>
    <row r="105" spans="2:3" ht="15.75" customHeight="1" x14ac:dyDescent="0.25"/>
    <row r="106" spans="2:3" ht="15.75" customHeight="1" x14ac:dyDescent="0.25"/>
    <row r="107" spans="2:3" ht="15.75" customHeight="1" x14ac:dyDescent="0.25"/>
    <row r="108" spans="2:3" ht="15.75" customHeight="1" x14ac:dyDescent="0.25"/>
    <row r="109" spans="2:3" ht="15.75" customHeight="1" x14ac:dyDescent="0.25"/>
    <row r="110" spans="2:3" ht="15.75" customHeight="1" x14ac:dyDescent="0.25"/>
    <row r="111" spans="2:3" ht="15.75" customHeight="1" x14ac:dyDescent="0.25"/>
    <row r="112" spans="2:3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</sheetData>
  <mergeCells count="511">
    <mergeCell ref="P92:P94"/>
    <mergeCell ref="Q92:Q94"/>
    <mergeCell ref="L83:L85"/>
    <mergeCell ref="M83:M85"/>
    <mergeCell ref="N83:N85"/>
    <mergeCell ref="O83:O85"/>
    <mergeCell ref="P83:P85"/>
    <mergeCell ref="Q83:Q85"/>
    <mergeCell ref="R83:R85"/>
    <mergeCell ref="AB83:AB85"/>
    <mergeCell ref="X83:X85"/>
    <mergeCell ref="Z83:Z85"/>
    <mergeCell ref="J89:J91"/>
    <mergeCell ref="K89:K91"/>
    <mergeCell ref="L89:L91"/>
    <mergeCell ref="M89:M91"/>
    <mergeCell ref="D92:D94"/>
    <mergeCell ref="E92:E94"/>
    <mergeCell ref="F92:F94"/>
    <mergeCell ref="G92:G94"/>
    <mergeCell ref="H92:H94"/>
    <mergeCell ref="Z86:Z88"/>
    <mergeCell ref="N86:N88"/>
    <mergeCell ref="O86:O88"/>
    <mergeCell ref="P86:P88"/>
    <mergeCell ref="Q86:Q88"/>
    <mergeCell ref="R86:R88"/>
    <mergeCell ref="S83:S85"/>
    <mergeCell ref="P89:P91"/>
    <mergeCell ref="Q89:Q91"/>
    <mergeCell ref="R89:R91"/>
    <mergeCell ref="S89:S91"/>
    <mergeCell ref="T89:T91"/>
    <mergeCell ref="V59:V61"/>
    <mergeCell ref="W59:W61"/>
    <mergeCell ref="X59:X61"/>
    <mergeCell ref="AB80:AB82"/>
    <mergeCell ref="R77:R79"/>
    <mergeCell ref="S77:S79"/>
    <mergeCell ref="T77:T79"/>
    <mergeCell ref="AB77:AB79"/>
    <mergeCell ref="AA86:AA88"/>
    <mergeCell ref="AB86:AB88"/>
    <mergeCell ref="T80:T82"/>
    <mergeCell ref="U80:U82"/>
    <mergeCell ref="V80:V82"/>
    <mergeCell ref="W80:W82"/>
    <mergeCell ref="X80:X82"/>
    <mergeCell ref="Y80:Y82"/>
    <mergeCell ref="Z80:Z82"/>
    <mergeCell ref="AA80:AA82"/>
    <mergeCell ref="Y83:Y85"/>
    <mergeCell ref="AA83:AA85"/>
    <mergeCell ref="U83:U85"/>
    <mergeCell ref="V83:V85"/>
    <mergeCell ref="W83:W85"/>
    <mergeCell ref="Y86:Y88"/>
    <mergeCell ref="B26:B28"/>
    <mergeCell ref="C26:C28"/>
    <mergeCell ref="N26:N28"/>
    <mergeCell ref="I26:I28"/>
    <mergeCell ref="J26:J28"/>
    <mergeCell ref="K26:K28"/>
    <mergeCell ref="Y77:Y79"/>
    <mergeCell ref="Z77:Z79"/>
    <mergeCell ref="AA77:AA79"/>
    <mergeCell ref="Q53:Q55"/>
    <mergeCell ref="R53:R55"/>
    <mergeCell ref="I56:I58"/>
    <mergeCell ref="J56:J58"/>
    <mergeCell ref="K56:K58"/>
    <mergeCell ref="L56:L58"/>
    <mergeCell ref="M56:M58"/>
    <mergeCell ref="P56:P58"/>
    <mergeCell ref="Q56:Q58"/>
    <mergeCell ref="R56:R58"/>
    <mergeCell ref="Y59:Y61"/>
    <mergeCell ref="Z59:Z61"/>
    <mergeCell ref="AA59:AA61"/>
    <mergeCell ref="U77:U79"/>
    <mergeCell ref="P59:P61"/>
    <mergeCell ref="G26:G28"/>
    <mergeCell ref="H26:H28"/>
    <mergeCell ref="X47:X49"/>
    <mergeCell ref="Y47:Y49"/>
    <mergeCell ref="Z47:Z49"/>
    <mergeCell ref="AA47:AA49"/>
    <mergeCell ref="AB47:AB49"/>
    <mergeCell ref="S50:S52"/>
    <mergeCell ref="T50:T52"/>
    <mergeCell ref="U50:U52"/>
    <mergeCell ref="V50:V52"/>
    <mergeCell ref="W50:W52"/>
    <mergeCell ref="Y50:Y52"/>
    <mergeCell ref="Z50:Z52"/>
    <mergeCell ref="AA50:AA52"/>
    <mergeCell ref="AB50:AB52"/>
    <mergeCell ref="L26:L28"/>
    <mergeCell ref="M26:M28"/>
    <mergeCell ref="W26:W28"/>
    <mergeCell ref="X26:X28"/>
    <mergeCell ref="O26:O28"/>
    <mergeCell ref="P26:P28"/>
    <mergeCell ref="Q26:Q28"/>
    <mergeCell ref="R26:R28"/>
    <mergeCell ref="B3:AH3"/>
    <mergeCell ref="B11:B13"/>
    <mergeCell ref="C11:C13"/>
    <mergeCell ref="D11:D13"/>
    <mergeCell ref="E11:E13"/>
    <mergeCell ref="F11:F13"/>
    <mergeCell ref="G11:G13"/>
    <mergeCell ref="H11:H13"/>
    <mergeCell ref="I11:I13"/>
    <mergeCell ref="B6:AH6"/>
    <mergeCell ref="J11:J13"/>
    <mergeCell ref="K11:K13"/>
    <mergeCell ref="L11:L13"/>
    <mergeCell ref="M11:M13"/>
    <mergeCell ref="N11:N13"/>
    <mergeCell ref="O11:O13"/>
    <mergeCell ref="P11:P13"/>
    <mergeCell ref="AA11:AA13"/>
    <mergeCell ref="AB11:AB13"/>
    <mergeCell ref="AC11:AC13"/>
    <mergeCell ref="W11:W13"/>
    <mergeCell ref="Q11:Q13"/>
    <mergeCell ref="R11:R13"/>
    <mergeCell ref="S11:S13"/>
    <mergeCell ref="AC14:AC16"/>
    <mergeCell ref="Y26:Y28"/>
    <mergeCell ref="Z26:Z28"/>
    <mergeCell ref="AA26:AA28"/>
    <mergeCell ref="AB26:AB28"/>
    <mergeCell ref="AC26:AC28"/>
    <mergeCell ref="Z23:Z25"/>
    <mergeCell ref="AA23:AA25"/>
    <mergeCell ref="AB23:AB25"/>
    <mergeCell ref="AC23:AC25"/>
    <mergeCell ref="Y23:Y25"/>
    <mergeCell ref="AC20:AC22"/>
    <mergeCell ref="Y14:Y16"/>
    <mergeCell ref="Z14:Z16"/>
    <mergeCell ref="AA14:AA16"/>
    <mergeCell ref="AB14:AB16"/>
    <mergeCell ref="Y17:Y19"/>
    <mergeCell ref="Z17:Z19"/>
    <mergeCell ref="AA17:AA19"/>
    <mergeCell ref="AB17:AB19"/>
    <mergeCell ref="AA20:AA22"/>
    <mergeCell ref="AB20:AB22"/>
    <mergeCell ref="X23:X25"/>
    <mergeCell ref="S20:S22"/>
    <mergeCell ref="AC17:AC19"/>
    <mergeCell ref="Q23:Q25"/>
    <mergeCell ref="R23:R25"/>
    <mergeCell ref="B23:B25"/>
    <mergeCell ref="C23:C25"/>
    <mergeCell ref="D23:D25"/>
    <mergeCell ref="E23:E25"/>
    <mergeCell ref="F23:F25"/>
    <mergeCell ref="G23:G25"/>
    <mergeCell ref="H23:H25"/>
    <mergeCell ref="S23:S25"/>
    <mergeCell ref="T23:T25"/>
    <mergeCell ref="S17:S19"/>
    <mergeCell ref="T17:T19"/>
    <mergeCell ref="U17:U19"/>
    <mergeCell ref="V17:V19"/>
    <mergeCell ref="W17:W19"/>
    <mergeCell ref="X17:X19"/>
    <mergeCell ref="I23:I25"/>
    <mergeCell ref="J23:J25"/>
    <mergeCell ref="K23:K25"/>
    <mergeCell ref="L23:L25"/>
    <mergeCell ref="U23:U25"/>
    <mergeCell ref="V23:V25"/>
    <mergeCell ref="W23:W25"/>
    <mergeCell ref="N23:N25"/>
    <mergeCell ref="O23:O25"/>
    <mergeCell ref="P23:P25"/>
    <mergeCell ref="M23:M25"/>
    <mergeCell ref="K20:K22"/>
    <mergeCell ref="L20:L22"/>
    <mergeCell ref="M20:M22"/>
    <mergeCell ref="Q20:Q22"/>
    <mergeCell ref="R20:R22"/>
    <mergeCell ref="B17:B19"/>
    <mergeCell ref="C17:C19"/>
    <mergeCell ref="D17:D19"/>
    <mergeCell ref="E17:E19"/>
    <mergeCell ref="F17:F19"/>
    <mergeCell ref="G17:G19"/>
    <mergeCell ref="N20:N22"/>
    <mergeCell ref="O20:O22"/>
    <mergeCell ref="P20:P22"/>
    <mergeCell ref="B20:B22"/>
    <mergeCell ref="C20:C22"/>
    <mergeCell ref="D20:D22"/>
    <mergeCell ref="E20:E22"/>
    <mergeCell ref="F20:F22"/>
    <mergeCell ref="G20:G22"/>
    <mergeCell ref="H20:H22"/>
    <mergeCell ref="I20:I22"/>
    <mergeCell ref="J20:J22"/>
    <mergeCell ref="B14:B16"/>
    <mergeCell ref="V14:V16"/>
    <mergeCell ref="W14:W16"/>
    <mergeCell ref="H17:H19"/>
    <mergeCell ref="I17:I19"/>
    <mergeCell ref="J17:J19"/>
    <mergeCell ref="K17:K19"/>
    <mergeCell ref="L17:L19"/>
    <mergeCell ref="M17:M19"/>
    <mergeCell ref="N17:N19"/>
    <mergeCell ref="O17:O19"/>
    <mergeCell ref="P17:P19"/>
    <mergeCell ref="C14:C16"/>
    <mergeCell ref="D14:D16"/>
    <mergeCell ref="E14:E16"/>
    <mergeCell ref="F14:F16"/>
    <mergeCell ref="G14:G16"/>
    <mergeCell ref="H14:H16"/>
    <mergeCell ref="I14:I16"/>
    <mergeCell ref="J14:J16"/>
    <mergeCell ref="K14:K16"/>
    <mergeCell ref="L14:L16"/>
    <mergeCell ref="M14:M16"/>
    <mergeCell ref="N14:N16"/>
    <mergeCell ref="T11:T13"/>
    <mergeCell ref="U11:U13"/>
    <mergeCell ref="V11:V13"/>
    <mergeCell ref="X11:X13"/>
    <mergeCell ref="Y11:Y13"/>
    <mergeCell ref="Z11:Z13"/>
    <mergeCell ref="X14:X16"/>
    <mergeCell ref="T20:T22"/>
    <mergeCell ref="U20:U22"/>
    <mergeCell ref="V20:V22"/>
    <mergeCell ref="W20:W22"/>
    <mergeCell ref="X20:X22"/>
    <mergeCell ref="Y20:Y22"/>
    <mergeCell ref="Z20:Z22"/>
    <mergeCell ref="O14:O16"/>
    <mergeCell ref="P14:P16"/>
    <mergeCell ref="Q14:Q16"/>
    <mergeCell ref="R14:R16"/>
    <mergeCell ref="S14:S16"/>
    <mergeCell ref="T14:T16"/>
    <mergeCell ref="U14:U16"/>
    <mergeCell ref="Q17:Q19"/>
    <mergeCell ref="R17:R19"/>
    <mergeCell ref="S26:S28"/>
    <mergeCell ref="T26:T28"/>
    <mergeCell ref="U26:U28"/>
    <mergeCell ref="V26:V28"/>
    <mergeCell ref="B36:AH36"/>
    <mergeCell ref="D26:D28"/>
    <mergeCell ref="E26:E28"/>
    <mergeCell ref="F26:F28"/>
    <mergeCell ref="B44:B46"/>
    <mergeCell ref="C44:C46"/>
    <mergeCell ref="D44:D46"/>
    <mergeCell ref="E44:E46"/>
    <mergeCell ref="F44:F46"/>
    <mergeCell ref="G44:G46"/>
    <mergeCell ref="H44:H46"/>
    <mergeCell ref="I44:I46"/>
    <mergeCell ref="J44:J46"/>
    <mergeCell ref="K44:K46"/>
    <mergeCell ref="L44:L46"/>
    <mergeCell ref="M44:M46"/>
    <mergeCell ref="N44:N46"/>
    <mergeCell ref="O44:O46"/>
    <mergeCell ref="P44:P46"/>
    <mergeCell ref="Q44:Q46"/>
    <mergeCell ref="R44:R46"/>
    <mergeCell ref="S44:S46"/>
    <mergeCell ref="T44:T46"/>
    <mergeCell ref="U44:U46"/>
    <mergeCell ref="V44:V46"/>
    <mergeCell ref="W44:W46"/>
    <mergeCell ref="X44:X46"/>
    <mergeCell ref="Y44:Y46"/>
    <mergeCell ref="Z44:Z46"/>
    <mergeCell ref="AA44:AA46"/>
    <mergeCell ref="AB44:AB46"/>
    <mergeCell ref="AC44:AC46"/>
    <mergeCell ref="B47:B49"/>
    <mergeCell ref="C47:C49"/>
    <mergeCell ref="D47:D49"/>
    <mergeCell ref="E47:E49"/>
    <mergeCell ref="F47:F49"/>
    <mergeCell ref="G47:G49"/>
    <mergeCell ref="H47:H49"/>
    <mergeCell ref="I47:I49"/>
    <mergeCell ref="J47:J49"/>
    <mergeCell ref="K47:K49"/>
    <mergeCell ref="L47:L49"/>
    <mergeCell ref="M47:M49"/>
    <mergeCell ref="N47:N49"/>
    <mergeCell ref="O47:O49"/>
    <mergeCell ref="P47:P49"/>
    <mergeCell ref="Q47:Q49"/>
    <mergeCell ref="R47:R49"/>
    <mergeCell ref="S47:S49"/>
    <mergeCell ref="T47:T49"/>
    <mergeCell ref="U47:U49"/>
    <mergeCell ref="V47:V49"/>
    <mergeCell ref="W47:W49"/>
    <mergeCell ref="AC47:AC49"/>
    <mergeCell ref="B50:B52"/>
    <mergeCell ref="C50:C52"/>
    <mergeCell ref="D50:D52"/>
    <mergeCell ref="E50:E52"/>
    <mergeCell ref="F50:F52"/>
    <mergeCell ref="G50:G52"/>
    <mergeCell ref="H50:H52"/>
    <mergeCell ref="I50:I52"/>
    <mergeCell ref="J50:J52"/>
    <mergeCell ref="K50:K52"/>
    <mergeCell ref="L50:L52"/>
    <mergeCell ref="M50:M52"/>
    <mergeCell ref="N50:N52"/>
    <mergeCell ref="O50:O52"/>
    <mergeCell ref="P50:P52"/>
    <mergeCell ref="Q50:Q52"/>
    <mergeCell ref="R50:R52"/>
    <mergeCell ref="X50:X52"/>
    <mergeCell ref="AC50:AC52"/>
    <mergeCell ref="B53:B55"/>
    <mergeCell ref="C53:C55"/>
    <mergeCell ref="D53:D55"/>
    <mergeCell ref="E53:E55"/>
    <mergeCell ref="F53:F55"/>
    <mergeCell ref="G53:G55"/>
    <mergeCell ref="H53:H55"/>
    <mergeCell ref="I53:I55"/>
    <mergeCell ref="J53:J55"/>
    <mergeCell ref="AA56:AA58"/>
    <mergeCell ref="AB56:AB58"/>
    <mergeCell ref="K53:K55"/>
    <mergeCell ref="L53:L55"/>
    <mergeCell ref="M53:M55"/>
    <mergeCell ref="S53:S55"/>
    <mergeCell ref="T53:T55"/>
    <mergeCell ref="U53:U55"/>
    <mergeCell ref="V53:V55"/>
    <mergeCell ref="W53:W55"/>
    <mergeCell ref="X53:X55"/>
    <mergeCell ref="B56:B58"/>
    <mergeCell ref="C56:C58"/>
    <mergeCell ref="D56:D58"/>
    <mergeCell ref="E56:E58"/>
    <mergeCell ref="F56:F58"/>
    <mergeCell ref="G56:G58"/>
    <mergeCell ref="H56:H58"/>
    <mergeCell ref="N56:N58"/>
    <mergeCell ref="O56:O58"/>
    <mergeCell ref="AC56:AC58"/>
    <mergeCell ref="N53:N55"/>
    <mergeCell ref="O53:O55"/>
    <mergeCell ref="P53:P55"/>
    <mergeCell ref="I59:I61"/>
    <mergeCell ref="J59:J61"/>
    <mergeCell ref="K59:K61"/>
    <mergeCell ref="L59:L61"/>
    <mergeCell ref="M59:M61"/>
    <mergeCell ref="N59:N61"/>
    <mergeCell ref="O59:O61"/>
    <mergeCell ref="Y53:Y55"/>
    <mergeCell ref="Z53:Z55"/>
    <mergeCell ref="AA53:AA55"/>
    <mergeCell ref="AB53:AB55"/>
    <mergeCell ref="AC53:AC55"/>
    <mergeCell ref="S56:S58"/>
    <mergeCell ref="T56:T58"/>
    <mergeCell ref="U56:U58"/>
    <mergeCell ref="V56:V58"/>
    <mergeCell ref="W56:W58"/>
    <mergeCell ref="X56:X58"/>
    <mergeCell ref="Y56:Y58"/>
    <mergeCell ref="Z56:Z58"/>
    <mergeCell ref="AB59:AB61"/>
    <mergeCell ref="AC59:AC61"/>
    <mergeCell ref="B69:AH69"/>
    <mergeCell ref="B77:B79"/>
    <mergeCell ref="C77:C79"/>
    <mergeCell ref="D77:D79"/>
    <mergeCell ref="E77:E79"/>
    <mergeCell ref="F77:F79"/>
    <mergeCell ref="G77:G79"/>
    <mergeCell ref="H77:H79"/>
    <mergeCell ref="I77:I79"/>
    <mergeCell ref="J77:J79"/>
    <mergeCell ref="K77:K79"/>
    <mergeCell ref="L77:L79"/>
    <mergeCell ref="M77:M79"/>
    <mergeCell ref="N77:N79"/>
    <mergeCell ref="O77:O79"/>
    <mergeCell ref="P77:P79"/>
    <mergeCell ref="Q77:Q79"/>
    <mergeCell ref="Q59:Q61"/>
    <mergeCell ref="R59:R61"/>
    <mergeCell ref="S59:S61"/>
    <mergeCell ref="T59:T61"/>
    <mergeCell ref="U59:U61"/>
    <mergeCell ref="B59:B61"/>
    <mergeCell ref="C59:C61"/>
    <mergeCell ref="B80:B82"/>
    <mergeCell ref="C80:C82"/>
    <mergeCell ref="D80:D82"/>
    <mergeCell ref="E80:E82"/>
    <mergeCell ref="F80:F82"/>
    <mergeCell ref="G80:G82"/>
    <mergeCell ref="H80:H82"/>
    <mergeCell ref="D59:D61"/>
    <mergeCell ref="E59:E61"/>
    <mergeCell ref="F59:F61"/>
    <mergeCell ref="G59:G61"/>
    <mergeCell ref="H59:H61"/>
    <mergeCell ref="I80:I82"/>
    <mergeCell ref="J80:J82"/>
    <mergeCell ref="D83:D85"/>
    <mergeCell ref="E83:E85"/>
    <mergeCell ref="F83:F85"/>
    <mergeCell ref="G83:G85"/>
    <mergeCell ref="H83:H85"/>
    <mergeCell ref="I83:I85"/>
    <mergeCell ref="J83:J85"/>
    <mergeCell ref="AC77:AC79"/>
    <mergeCell ref="K80:K82"/>
    <mergeCell ref="L80:L82"/>
    <mergeCell ref="M80:M82"/>
    <mergeCell ref="N80:N82"/>
    <mergeCell ref="O80:O82"/>
    <mergeCell ref="P80:P82"/>
    <mergeCell ref="Q80:Q82"/>
    <mergeCell ref="R80:R82"/>
    <mergeCell ref="S80:S82"/>
    <mergeCell ref="AC80:AC82"/>
    <mergeCell ref="V77:V79"/>
    <mergeCell ref="W77:W79"/>
    <mergeCell ref="X77:X79"/>
    <mergeCell ref="AC83:AC85"/>
    <mergeCell ref="B86:B88"/>
    <mergeCell ref="C86:C88"/>
    <mergeCell ref="D86:D88"/>
    <mergeCell ref="E86:E88"/>
    <mergeCell ref="F86:F88"/>
    <mergeCell ref="G86:G88"/>
    <mergeCell ref="H86:H88"/>
    <mergeCell ref="I86:I88"/>
    <mergeCell ref="J86:J88"/>
    <mergeCell ref="K86:K88"/>
    <mergeCell ref="L86:L88"/>
    <mergeCell ref="M86:M88"/>
    <mergeCell ref="S86:S88"/>
    <mergeCell ref="T86:T88"/>
    <mergeCell ref="U86:U88"/>
    <mergeCell ref="V86:V88"/>
    <mergeCell ref="W86:W88"/>
    <mergeCell ref="X86:X88"/>
    <mergeCell ref="AC86:AC88"/>
    <mergeCell ref="K83:K85"/>
    <mergeCell ref="B83:B85"/>
    <mergeCell ref="C83:C85"/>
    <mergeCell ref="T83:T85"/>
    <mergeCell ref="B92:B94"/>
    <mergeCell ref="C92:C94"/>
    <mergeCell ref="I92:I94"/>
    <mergeCell ref="J92:J94"/>
    <mergeCell ref="K92:K94"/>
    <mergeCell ref="L92:L94"/>
    <mergeCell ref="M92:M94"/>
    <mergeCell ref="N92:N94"/>
    <mergeCell ref="O92:O94"/>
    <mergeCell ref="B89:B91"/>
    <mergeCell ref="C89:C91"/>
    <mergeCell ref="D89:D91"/>
    <mergeCell ref="E89:E91"/>
    <mergeCell ref="F89:F91"/>
    <mergeCell ref="G89:G91"/>
    <mergeCell ref="H89:H91"/>
    <mergeCell ref="N89:N91"/>
    <mergeCell ref="O89:O91"/>
    <mergeCell ref="I89:I91"/>
    <mergeCell ref="B5:AC5"/>
    <mergeCell ref="B38:AC38"/>
    <mergeCell ref="B71:AC71"/>
    <mergeCell ref="U92:U94"/>
    <mergeCell ref="V92:V94"/>
    <mergeCell ref="W92:W94"/>
    <mergeCell ref="X92:X94"/>
    <mergeCell ref="Y89:Y91"/>
    <mergeCell ref="Z89:Z91"/>
    <mergeCell ref="AA89:AA91"/>
    <mergeCell ref="AB89:AB91"/>
    <mergeCell ref="AC89:AC91"/>
    <mergeCell ref="Y92:Y94"/>
    <mergeCell ref="Z92:Z94"/>
    <mergeCell ref="AA92:AA94"/>
    <mergeCell ref="AB92:AB94"/>
    <mergeCell ref="AC92:AC94"/>
    <mergeCell ref="U89:U91"/>
    <mergeCell ref="V89:V91"/>
    <mergeCell ref="W89:W91"/>
    <mergeCell ref="X89:X91"/>
    <mergeCell ref="R92:R94"/>
    <mergeCell ref="S92:S94"/>
    <mergeCell ref="T92:T94"/>
  </mergeCells>
  <pageMargins left="0.39370078740157483" right="0.19685039370078741" top="0.39370078740157483" bottom="0.59055118110236227" header="0" footer="0"/>
  <pageSetup paperSize="9" orientation="landscape" r:id="rId1"/>
  <headerFooter alignWithMargins="0"/>
  <rowBreaks count="3" manualBreakCount="3">
    <brk id="33" max="16383" man="1"/>
    <brk id="66" max="16383" man="1"/>
    <brk id="99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INSCRIPCION </vt:lpstr>
      <vt:lpstr>ESCUADRAS</vt:lpstr>
      <vt:lpstr>PUNTUACIONES</vt:lpstr>
      <vt:lpstr>RESULTADOS FINALES</vt:lpstr>
      <vt:lpstr>1          </vt:lpstr>
      <vt:lpstr>2           </vt:lpstr>
      <vt:lpstr>3         </vt:lpstr>
      <vt:lpstr>4            </vt:lpstr>
      <vt:lpstr>EQUIPOS</vt:lpstr>
      <vt:lpstr>DESEMPATES</vt:lpstr>
      <vt:lpstr>'1          '!Área_de_impresión</vt:lpstr>
      <vt:lpstr>'2           '!Área_de_impresión</vt:lpstr>
      <vt:lpstr>'3         '!Área_de_impresión</vt:lpstr>
      <vt:lpstr>'4            '!Área_de_impresión</vt:lpstr>
      <vt:lpstr>ESCUADRAS!Títulos_a_imprimir</vt:lpstr>
      <vt:lpstr>'INSCRIPCION '!Títulos_a_imprimir</vt:lpstr>
      <vt:lpstr>PUNTUACIONES!Títulos_a_imprimir</vt:lpstr>
      <vt:lpstr>'RESULTADOS FINALES'!Títulos_a_imprimir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S.E.F.</dc:creator>
  <cp:lastModifiedBy>Darío Gómez del Mazo</cp:lastModifiedBy>
  <cp:lastPrinted>2025-05-24T20:37:03Z</cp:lastPrinted>
  <dcterms:created xsi:type="dcterms:W3CDTF">1998-07-09T12:02:19Z</dcterms:created>
  <dcterms:modified xsi:type="dcterms:W3CDTF">2025-08-26T06:56:47Z</dcterms:modified>
</cp:coreProperties>
</file>